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ciadeaduanapirazzoli-my.sharepoint.com/personal/pablo_pirazzoli_cl/Documents/AA_PIRAZZOLI/Proyectos/PROVISORIO_MINERVA/"/>
    </mc:Choice>
  </mc:AlternateContent>
  <xr:revisionPtr revIDLastSave="0" documentId="8_{C39F16CA-2C40-4AC2-AC37-DCF0E665585B}" xr6:coauthVersionLast="47" xr6:coauthVersionMax="47" xr10:uidLastSave="{00000000-0000-0000-0000-000000000000}"/>
  <bookViews>
    <workbookView xWindow="-110" yWindow="-110" windowWidth="19420" windowHeight="11500" firstSheet="2" activeTab="2" xr2:uid="{7618C72B-C967-4346-827E-EFA46EAC6289}"/>
  </bookViews>
  <sheets>
    <sheet name="Hoja1" sheetId="1" r:id="rId1"/>
    <sheet name="Hoja2" sheetId="2" r:id="rId2"/>
    <sheet name="Hoja3" sheetId="3" r:id="rId3"/>
  </sheets>
  <definedNames>
    <definedName name="CARGA">Hoja2!$B$2:$B$9</definedName>
    <definedName name="INSTRUCCIONES">Hoja2!$D$2:$D$3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E4" authorId="0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F4" authorId="0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G4" authorId="0" shapeId="0" xr:uid="{2689B8DE-9462-4E6E-93F4-7D245E52CA93}">
      <text>
        <r>
          <rPr>
            <sz val="11"/>
            <color theme="1"/>
            <rFont val="Calibri"/>
            <family val="2"/>
            <scheme val="minor"/>
          </rPr>
          <t xml:space="preserve">Melanie Morales:
estado </t>
        </r>
      </text>
    </comment>
    <comment ref="AJ4" authorId="1" shapeId="0" xr:uid="{C793D38A-A645-44D4-A83E-E0B586915A0D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2" authorId="0" shapeId="0" xr:uid="{8C3E76E0-F7ED-449F-A037-C60C34A76D81}">
      <text>
        <r>
          <rPr>
            <sz val="11"/>
            <color theme="1"/>
            <rFont val="Calibri"/>
            <family val="2"/>
            <scheme val="minor"/>
          </rPr>
          <t xml:space="preserve">Melanie Morales:
estado </t>
        </r>
      </text>
    </comment>
    <comment ref="AK2" authorId="0" shapeId="0" xr:uid="{8CB99075-5C2A-4223-8B27-9307A602F3A6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M2" authorId="0" shapeId="0" xr:uid="{6915D522-FFF1-4E82-AB69-EC23F2146CE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Q2" authorId="1" shapeId="0" xr:uid="{A67D7084-9081-4B6C-8FD9-D9EDAEBF5AE4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<sst xmlns="http://schemas.openxmlformats.org/spreadsheetml/2006/main" count="786" uniqueCount="405">
  <si>
    <t>INFORMACION OPERATIVA</t>
  </si>
  <si>
    <t>Estados Regulatorios y Vistos Buenos: Visualización individual del estado de:</t>
  </si>
  <si>
    <t>Estado Documental y Seguimiento con Historial:</t>
  </si>
  <si>
    <r>
      <t>En caso de observaciones</t>
    </r>
    <r>
      <rPr>
        <sz val="11"/>
        <color rgb="FF000000"/>
        <rFont val="Calibri"/>
        <family val="2"/>
        <scheme val="minor"/>
      </rPr>
      <t>:   Es fundamental que exista un historial cronológico con fechas, que permita trazabilidad completa y respaldo ante auditorías.</t>
    </r>
  </si>
  <si>
    <t>Fechas Clave y Tipo de Cambio:</t>
  </si>
  <si>
    <t>Valor del dólar considerado</t>
  </si>
  <si>
    <t>Referencia interna.(factura comercial)</t>
  </si>
  <si>
    <t>Número de despacho.</t>
  </si>
  <si>
    <t>Referencia de cliente.</t>
  </si>
  <si>
    <t xml:space="preserve">Tipo de carga </t>
  </si>
  <si>
    <t>Origen de la carga.</t>
  </si>
  <si>
    <t>Paso aduanero (cuando corresponda).</t>
  </si>
  <si>
    <t>MIC / CRT.</t>
  </si>
  <si>
    <t>Patente del camión (TRACTO)</t>
  </si>
  <si>
    <t>Patente del camión (REMOLQUE)</t>
  </si>
  <si>
    <t xml:space="preserve">N° CONTENEDOR </t>
  </si>
  <si>
    <t>Casilla de cliente final.</t>
  </si>
  <si>
    <t>Dirección de descarga que saldrá en la guía. DESTINO</t>
  </si>
  <si>
    <t>Nombre del chofer e identificación con la que ingresó.</t>
  </si>
  <si>
    <t>Estado: INSTRUCCIÓN de DESCARGA</t>
  </si>
  <si>
    <t>CDA SEREMI</t>
  </si>
  <si>
    <t>Resolucion Sanitaria UYD</t>
  </si>
  <si>
    <t>SAG</t>
  </si>
  <si>
    <t>IIPA</t>
  </si>
  <si>
    <t>Fecha de aceptacion DIN</t>
  </si>
  <si>
    <t>DIN</t>
  </si>
  <si>
    <t xml:space="preserve">COMPROBANTE PAGO TGR </t>
  </si>
  <si>
    <t>Fecha de aprobación/liberación.</t>
  </si>
  <si>
    <t>Observaciones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</si>
  <si>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</si>
  <si>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</si>
  <si>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</si>
  <si>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</si>
  <si>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</si>
  <si>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</si>
  <si>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Fecha de ingreso ALMACENISTA</t>
  </si>
  <si>
    <t>Fecha de presentación de documentos.( DESPACHO)</t>
  </si>
  <si>
    <t>Fecha de liberación.( SALIDA DE ALMACEN)</t>
  </si>
  <si>
    <t>Estado actual del proceso.</t>
  </si>
  <si>
    <t>SELLO AGA</t>
  </si>
  <si>
    <t>SELLO PUERTO</t>
  </si>
  <si>
    <t xml:space="preserve">FACTURA AGENCIA </t>
  </si>
  <si>
    <t>FECHA FACTURA AGENCIA</t>
  </si>
  <si>
    <t>Al día de presentación del despacho.</t>
  </si>
  <si>
    <t>Al día de liberación de la carga.</t>
  </si>
  <si>
    <t xml:space="preserve">ESTADO OPERACION </t>
  </si>
  <si>
    <t xml:space="preserve">O/87250-6 </t>
  </si>
  <si>
    <t>Carne de Bovino enfriada</t>
  </si>
  <si>
    <t>Brasil</t>
  </si>
  <si>
    <t xml:space="preserve">Los Andes </t>
  </si>
  <si>
    <t>BR547044923 / 33737</t>
  </si>
  <si>
    <t>SWY2C62</t>
  </si>
  <si>
    <t>RYP8I48</t>
  </si>
  <si>
    <t>(MINERVA)</t>
  </si>
  <si>
    <t xml:space="preserve">ALMARFRIGO </t>
  </si>
  <si>
    <t>NELSON RAMON GONZALES</t>
  </si>
  <si>
    <t>EMITIDA</t>
  </si>
  <si>
    <t>0520260012446CDA</t>
  </si>
  <si>
    <t>IGUAL A AF</t>
  </si>
  <si>
    <t>Solo envio de doctos draft</t>
  </si>
  <si>
    <t xml:space="preserve">ok </t>
  </si>
  <si>
    <t>05/03/2026 09:35 hrs</t>
  </si>
  <si>
    <t xml:space="preserve">PENDIENTE </t>
  </si>
  <si>
    <t>En Almacén</t>
  </si>
  <si>
    <t>EN CURSO</t>
  </si>
  <si>
    <t xml:space="preserve">CN 6526-1 </t>
  </si>
  <si>
    <t xml:space="preserve">Grasa Vacuna Congelada                                      </t>
  </si>
  <si>
    <t>Paraguay</t>
  </si>
  <si>
    <t>PY23TMA1134/ 32028</t>
  </si>
  <si>
    <t>AALJ416</t>
  </si>
  <si>
    <t>AALJ421</t>
  </si>
  <si>
    <t>CIAL ICE STAR</t>
  </si>
  <si>
    <t>PENDIENTE</t>
  </si>
  <si>
    <t>0520260011071CDA</t>
  </si>
  <si>
    <t>SO/6370-22</t>
  </si>
  <si>
    <t>BR547044933 / 32413</t>
  </si>
  <si>
    <t>RXM4D24</t>
  </si>
  <si>
    <t>RLL3F14</t>
  </si>
  <si>
    <t>WALMART</t>
  </si>
  <si>
    <t>(papeleta / mic)</t>
  </si>
  <si>
    <t>0520260011763CDA</t>
  </si>
  <si>
    <t>DOCS ORIGINALES PENDIENTES</t>
  </si>
  <si>
    <t>LIBERADO</t>
  </si>
  <si>
    <t xml:space="preserve">SO/6370-23 </t>
  </si>
  <si>
    <t>BR547044931</t>
  </si>
  <si>
    <t>RXY9C34</t>
  </si>
  <si>
    <t>RXW9H24</t>
  </si>
  <si>
    <t>0520260010619CDA</t>
  </si>
  <si>
    <t>SO/6370-26</t>
  </si>
  <si>
    <t>BR547044941 / 34269</t>
  </si>
  <si>
    <t>QJG8563</t>
  </si>
  <si>
    <t>SXW7I81</t>
  </si>
  <si>
    <t>0520260010919CDA</t>
  </si>
  <si>
    <t>CN 25221</t>
  </si>
  <si>
    <t>2026PYSANJOSE044</t>
  </si>
  <si>
    <t>TISJ001</t>
  </si>
  <si>
    <t>TISJ004</t>
  </si>
  <si>
    <t>ICESTAR</t>
  </si>
  <si>
    <t>0520260011333CDA</t>
  </si>
  <si>
    <t>SO/6360-28</t>
  </si>
  <si>
    <t>BR547044939</t>
  </si>
  <si>
    <t>RXQ0G36</t>
  </si>
  <si>
    <t>RYK0I89</t>
  </si>
  <si>
    <t>0520260011336CDA</t>
  </si>
  <si>
    <t>SO/6360-25</t>
  </si>
  <si>
    <t>BR547044872 / 32539</t>
  </si>
  <si>
    <t>TDX0H19</t>
  </si>
  <si>
    <t>SXM2B63</t>
  </si>
  <si>
    <t>0520260011220CDA</t>
  </si>
  <si>
    <t xml:space="preserve">C.O. ERROR </t>
  </si>
  <si>
    <t xml:space="preserve">SO/6356-4 </t>
  </si>
  <si>
    <t>Carne de Bovino congelada</t>
  </si>
  <si>
    <t>BR453909363</t>
  </si>
  <si>
    <t>RHG9B61</t>
  </si>
  <si>
    <t>RLA8I71</t>
  </si>
  <si>
    <t>0520260011285CDA</t>
  </si>
  <si>
    <t xml:space="preserve">O/87304-3 </t>
  </si>
  <si>
    <t>BR261615121</t>
  </si>
  <si>
    <t>GHG7D55</t>
  </si>
  <si>
    <t>RLB4D02</t>
  </si>
  <si>
    <t>0520260011841CDA</t>
  </si>
  <si>
    <t xml:space="preserve"> SO/6356-5 </t>
  </si>
  <si>
    <t>BR168811718</t>
  </si>
  <si>
    <t>RLB6G92</t>
  </si>
  <si>
    <t>MFV6036</t>
  </si>
  <si>
    <t>0520260011208CDA</t>
  </si>
  <si>
    <t>CN 6357-10</t>
  </si>
  <si>
    <t>2026PYSANJOSE049</t>
  </si>
  <si>
    <t>LJWL11</t>
  </si>
  <si>
    <t>KDHS40</t>
  </si>
  <si>
    <t>0520260011782CDA</t>
  </si>
  <si>
    <t>CN 6358-10</t>
  </si>
  <si>
    <t>26PYFOODS314</t>
  </si>
  <si>
    <t>AAAE804</t>
  </si>
  <si>
    <t>AAAE476</t>
  </si>
  <si>
    <t>0520260011535CDA</t>
  </si>
  <si>
    <t>CN 6359-8</t>
  </si>
  <si>
    <t>PYLG066/2026</t>
  </si>
  <si>
    <t>AAGN977</t>
  </si>
  <si>
    <t>AAAE634</t>
  </si>
  <si>
    <t>0520260011407CDA</t>
  </si>
  <si>
    <t xml:space="preserve">SO/6354-43 </t>
  </si>
  <si>
    <t>BR547044989</t>
  </si>
  <si>
    <t>JBG8A84</t>
  </si>
  <si>
    <t>RYM5E22</t>
  </si>
  <si>
    <t>0520260011476CDA</t>
  </si>
  <si>
    <t>C.O. VALIDAR</t>
  </si>
  <si>
    <t xml:space="preserve">SO/6354-37 </t>
  </si>
  <si>
    <t>BR547044911</t>
  </si>
  <si>
    <t>RYB8I87</t>
  </si>
  <si>
    <t>0520260011359CDA</t>
  </si>
  <si>
    <t>CN 25320-6</t>
  </si>
  <si>
    <t>PYLG070/2026</t>
  </si>
  <si>
    <t>AAHI130</t>
  </si>
  <si>
    <t>AAKB750</t>
  </si>
  <si>
    <t>RAMIREZ</t>
  </si>
  <si>
    <t>0520260011416CDA</t>
  </si>
  <si>
    <t xml:space="preserve">SO/6354-41 </t>
  </si>
  <si>
    <t>BR547044956</t>
  </si>
  <si>
    <t>RYX9E71</t>
  </si>
  <si>
    <t>RYP2J71</t>
  </si>
  <si>
    <t>0520260011864CDA</t>
  </si>
  <si>
    <t>O/87315-2</t>
  </si>
  <si>
    <t>BR547044967</t>
  </si>
  <si>
    <t>RXT9I23</t>
  </si>
  <si>
    <t>RXO5E92</t>
  </si>
  <si>
    <t>0520260011897CDA</t>
  </si>
  <si>
    <t xml:space="preserve">O/87568 </t>
  </si>
  <si>
    <t>BR698100492</t>
  </si>
  <si>
    <t>RYC0I37</t>
  </si>
  <si>
    <t>RLI0I42</t>
  </si>
  <si>
    <t>0520260011917CDA</t>
  </si>
  <si>
    <t xml:space="preserve">CN 6360-30 </t>
  </si>
  <si>
    <t>PYLG072/2026</t>
  </si>
  <si>
    <t>0520260011516CDA</t>
  </si>
  <si>
    <t>SO/6397-2P</t>
  </si>
  <si>
    <t>BR707400447</t>
  </si>
  <si>
    <t>SQA4B99</t>
  </si>
  <si>
    <t>SPZ5D39</t>
  </si>
  <si>
    <t>0520260011946CDA</t>
  </si>
  <si>
    <t xml:space="preserve"> SO/6456-3 </t>
  </si>
  <si>
    <t>BR512203456</t>
  </si>
  <si>
    <t>RGM7C35</t>
  </si>
  <si>
    <t>QJB2B11</t>
  </si>
  <si>
    <t>0520260012067CDA</t>
  </si>
  <si>
    <t>SO/6354-39</t>
  </si>
  <si>
    <t>BR547044938 / 32433</t>
  </si>
  <si>
    <t>SXA9J22</t>
  </si>
  <si>
    <t>SXA1F12</t>
  </si>
  <si>
    <t>0520260011881CDA</t>
  </si>
  <si>
    <t xml:space="preserve">SO/6370-27 </t>
  </si>
  <si>
    <t>BR547044995</t>
  </si>
  <si>
    <t>RLI5A86</t>
  </si>
  <si>
    <t>RYF1C29</t>
  </si>
  <si>
    <t>0520260012044CDA</t>
  </si>
  <si>
    <t>SO/6354-42</t>
  </si>
  <si>
    <t>BR547044969</t>
  </si>
  <si>
    <t>QTL0655</t>
  </si>
  <si>
    <t>RYL9J02</t>
  </si>
  <si>
    <t>0520260012066CDA</t>
  </si>
  <si>
    <t>SO/6331-15</t>
  </si>
  <si>
    <t>Argentina</t>
  </si>
  <si>
    <t>052024TC2026</t>
  </si>
  <si>
    <t>AG826IT</t>
  </si>
  <si>
    <t>AG337WM</t>
  </si>
  <si>
    <t xml:space="preserve">0520260012059CDA </t>
  </si>
  <si>
    <t>SO/6330-11</t>
  </si>
  <si>
    <t>052AR219400890</t>
  </si>
  <si>
    <t>RBTW67</t>
  </si>
  <si>
    <t>JB6491</t>
  </si>
  <si>
    <t>0520260011708CDA</t>
  </si>
  <si>
    <t xml:space="preserve"> SO/6354-38 </t>
  </si>
  <si>
    <t>BR547044953</t>
  </si>
  <si>
    <t>RDS0192</t>
  </si>
  <si>
    <t>TPY4177</t>
  </si>
  <si>
    <t>0520260012068CDA</t>
  </si>
  <si>
    <t xml:space="preserve">O/87772-1 </t>
  </si>
  <si>
    <t>BR547044927</t>
  </si>
  <si>
    <t>RLM6H97</t>
  </si>
  <si>
    <t>QIT8604</t>
  </si>
  <si>
    <t>0520260011858CDA</t>
  </si>
  <si>
    <t xml:space="preserve">O/87772-2 </t>
  </si>
  <si>
    <t>BR547045030</t>
  </si>
  <si>
    <t>TDQ9141</t>
  </si>
  <si>
    <t>SXV1F31</t>
  </si>
  <si>
    <t>0520260012143CDA</t>
  </si>
  <si>
    <t xml:space="preserve">SO/6360-31 </t>
  </si>
  <si>
    <t>BR547045033</t>
  </si>
  <si>
    <t>RXZ4F56</t>
  </si>
  <si>
    <t>RYC8F45</t>
  </si>
  <si>
    <t>0520260012308CDA</t>
  </si>
  <si>
    <t>SO/6354-45</t>
  </si>
  <si>
    <t>BR547045016</t>
  </si>
  <si>
    <t>RXY9E54</t>
  </si>
  <si>
    <t>RXK1C65</t>
  </si>
  <si>
    <t>0520260011913CDA</t>
  </si>
  <si>
    <t>SO/6370-29</t>
  </si>
  <si>
    <t>BR547045026</t>
  </si>
  <si>
    <t>SXI7A02</t>
  </si>
  <si>
    <t>RYW5J12</t>
  </si>
  <si>
    <t>0520260012190CDA</t>
  </si>
  <si>
    <t xml:space="preserve">SO/6354-46 </t>
  </si>
  <si>
    <t>BR547045038</t>
  </si>
  <si>
    <t>RXW2G34</t>
  </si>
  <si>
    <t>SXA7D71</t>
  </si>
  <si>
    <t>0520260012109CDA</t>
  </si>
  <si>
    <t xml:space="preserve">CN 6360-29 </t>
  </si>
  <si>
    <t>PY23TMA1138</t>
  </si>
  <si>
    <t>ADRI 003</t>
  </si>
  <si>
    <t>ADRI 002</t>
  </si>
  <si>
    <t>0520260012345CDA</t>
  </si>
  <si>
    <t xml:space="preserve">AR/18899-1 </t>
  </si>
  <si>
    <t>052AR219400891</t>
  </si>
  <si>
    <t>HDLX77</t>
  </si>
  <si>
    <t>HGKX36</t>
  </si>
  <si>
    <t>TOTTUS</t>
  </si>
  <si>
    <t>0520260012228CDA</t>
  </si>
  <si>
    <t xml:space="preserve">SO/6362-3 </t>
  </si>
  <si>
    <t>BR453909370</t>
  </si>
  <si>
    <t>RHR6J21</t>
  </si>
  <si>
    <t>RLG5E30</t>
  </si>
  <si>
    <t>0520260011922CDA</t>
  </si>
  <si>
    <t xml:space="preserve">SO/6354-44 </t>
  </si>
  <si>
    <t>BR547045035</t>
  </si>
  <si>
    <t>SYU4C97</t>
  </si>
  <si>
    <t>RYT3J70</t>
  </si>
  <si>
    <t>0520260012239CDA</t>
  </si>
  <si>
    <t>SO/6362-1</t>
  </si>
  <si>
    <t>BR633202432</t>
  </si>
  <si>
    <t>SVR4A13</t>
  </si>
  <si>
    <t>SXJ3J97</t>
  </si>
  <si>
    <t>CN 6357-8</t>
  </si>
  <si>
    <t>26PYFOODS316</t>
  </si>
  <si>
    <t>AARP790</t>
  </si>
  <si>
    <t>AAAE475</t>
  </si>
  <si>
    <t>0520260012113CDA</t>
  </si>
  <si>
    <t xml:space="preserve">SO/6456-4 </t>
  </si>
  <si>
    <t>BR453909378</t>
  </si>
  <si>
    <t>SEK6H34</t>
  </si>
  <si>
    <t>SXX0174</t>
  </si>
  <si>
    <t>0520260012536CDA</t>
  </si>
  <si>
    <t xml:space="preserve">SO/6356-6 </t>
  </si>
  <si>
    <t>BR453909383</t>
  </si>
  <si>
    <t>SDZ5E28</t>
  </si>
  <si>
    <t>REA1E31</t>
  </si>
  <si>
    <t>0520260012538CDA</t>
  </si>
  <si>
    <t>SO/6330-13</t>
  </si>
  <si>
    <t>052AR219400892</t>
  </si>
  <si>
    <t>HFST22</t>
  </si>
  <si>
    <t>JL7542</t>
  </si>
  <si>
    <t>0520260011930CDA</t>
  </si>
  <si>
    <t>CN 25314-3</t>
  </si>
  <si>
    <t>2026PYSANJOSE053</t>
  </si>
  <si>
    <t>AAHX504</t>
  </si>
  <si>
    <t>BETO050</t>
  </si>
  <si>
    <t>0520260012240CDA</t>
  </si>
  <si>
    <t xml:space="preserve">AR/18699-5 </t>
  </si>
  <si>
    <t>083029TC2026</t>
  </si>
  <si>
    <t>AF325OC</t>
  </si>
  <si>
    <t>AF363HN</t>
  </si>
  <si>
    <t>RENDIC</t>
  </si>
  <si>
    <t>0520260011949CDA</t>
  </si>
  <si>
    <t>CN 25235-2</t>
  </si>
  <si>
    <t>PYLG073/2026</t>
  </si>
  <si>
    <t>AAJK151</t>
  </si>
  <si>
    <t>AAIL683</t>
  </si>
  <si>
    <t>KARMAC</t>
  </si>
  <si>
    <t>0520260011980SCD</t>
  </si>
  <si>
    <t xml:space="preserve">Pend. arribo </t>
  </si>
  <si>
    <t>SO/6330-12</t>
  </si>
  <si>
    <t>05217470TKBA26</t>
  </si>
  <si>
    <t>PDKT55</t>
  </si>
  <si>
    <t>KYPP95</t>
  </si>
  <si>
    <t>0520260012282CDA</t>
  </si>
  <si>
    <t>SO/6370-30</t>
  </si>
  <si>
    <t>BR547045046</t>
  </si>
  <si>
    <t>RYZ5B71</t>
  </si>
  <si>
    <t>TPU5H98</t>
  </si>
  <si>
    <t>0520260012566CDA</t>
  </si>
  <si>
    <t>SO/6362-4</t>
  </si>
  <si>
    <t>BR512203463</t>
  </si>
  <si>
    <t>SXB9E75</t>
  </si>
  <si>
    <t>SXA8C05</t>
  </si>
  <si>
    <t>0520260012574CDA</t>
  </si>
  <si>
    <t xml:space="preserve">O/87315-3 </t>
  </si>
  <si>
    <t>BR261615139</t>
  </si>
  <si>
    <t>RYB9H52</t>
  </si>
  <si>
    <t>RLH1B24</t>
  </si>
  <si>
    <t>PEND</t>
  </si>
  <si>
    <t xml:space="preserve">SO/6397-10 </t>
  </si>
  <si>
    <t>BR707400448</t>
  </si>
  <si>
    <t>RRX1H82</t>
  </si>
  <si>
    <t>RRTSB32</t>
  </si>
  <si>
    <t>0520260012454CDA</t>
  </si>
  <si>
    <t>SO/6369-10</t>
  </si>
  <si>
    <t>BR547044982</t>
  </si>
  <si>
    <t>RYH3D89</t>
  </si>
  <si>
    <t>RXK9A35</t>
  </si>
  <si>
    <t>0520260012350CDA</t>
  </si>
  <si>
    <t>SO/6575-1</t>
  </si>
  <si>
    <t>0520052026CH</t>
  </si>
  <si>
    <t>HLZW91</t>
  </si>
  <si>
    <t>PWST38</t>
  </si>
  <si>
    <t>0520260012510CDA</t>
  </si>
  <si>
    <t>CN 25320-5</t>
  </si>
  <si>
    <t>PYLG074/2026</t>
  </si>
  <si>
    <t>CN 25412-1</t>
  </si>
  <si>
    <t>PY23TMA1140</t>
  </si>
  <si>
    <t>AASC 567</t>
  </si>
  <si>
    <t>AARP 529</t>
  </si>
  <si>
    <t>0520260012505CDA</t>
  </si>
  <si>
    <t>CN 25368-2</t>
  </si>
  <si>
    <t>PYLG075/2026</t>
  </si>
  <si>
    <t>FRIGOZETA</t>
  </si>
  <si>
    <t>CN 6358-13</t>
  </si>
  <si>
    <t>PYLG076/2026</t>
  </si>
  <si>
    <t>SO/6397-7</t>
  </si>
  <si>
    <t>BR547045048</t>
  </si>
  <si>
    <t>SO/6354-48</t>
  </si>
  <si>
    <t>SO/6362-5</t>
  </si>
  <si>
    <t>O/88092</t>
  </si>
  <si>
    <t>SO/6370-32</t>
  </si>
  <si>
    <t>ESTADO DE OPERACION</t>
  </si>
  <si>
    <t>CARGA</t>
  </si>
  <si>
    <t>INSRUCCION DESCARGA</t>
  </si>
  <si>
    <t>OBSERVACION DOCUMENTAL</t>
  </si>
  <si>
    <t>EN TRANSITO</t>
  </si>
  <si>
    <t>carga en viaje a puerto</t>
  </si>
  <si>
    <t>PRESENTACIÓN SAG OBJETADA</t>
  </si>
  <si>
    <t>CORREGIR documentos</t>
  </si>
  <si>
    <t>FINALIZADA</t>
  </si>
  <si>
    <t>ARRIBADA EN PUERTO</t>
  </si>
  <si>
    <t>carga ingresa a puerto</t>
  </si>
  <si>
    <t>GUIA DESPACHO EMITIDA</t>
  </si>
  <si>
    <t>PRESENTACIÓN SEREMI OBJETADA</t>
  </si>
  <si>
    <t>Documentos pendientes</t>
  </si>
  <si>
    <t>URGENTE</t>
  </si>
  <si>
    <t>EN ALMACEN</t>
  </si>
  <si>
    <t>boleta emitida/ carga ingresa a Ext Contopsa</t>
  </si>
  <si>
    <t>PRESENTACION SAG - SEREMI OBJETADA</t>
  </si>
  <si>
    <t>Documentos OK</t>
  </si>
  <si>
    <t xml:space="preserve">INSPECCIONADO </t>
  </si>
  <si>
    <t>INSPECCION  RECHAZADA</t>
  </si>
  <si>
    <t>DESPACHADO</t>
  </si>
  <si>
    <t>espera instrucciones descarga</t>
  </si>
  <si>
    <t>salida de almacen</t>
  </si>
  <si>
    <t>INFO CARGA</t>
  </si>
  <si>
    <t>Estados Regulatorios y Vistos Buenos: Visualización individual del estado de: SAG - SEREMI - ADUANA</t>
  </si>
  <si>
    <t>Estado actual de OPERACION</t>
  </si>
  <si>
    <t>Recepción de documentación (fecha correo)</t>
  </si>
  <si>
    <t>Estado actual de la OPERACION</t>
  </si>
  <si>
    <t xml:space="preserve">Observaciones: </t>
  </si>
  <si>
    <t>MODIFICACION - CORRECCIÓN SOLICITADA (Fecha)</t>
  </si>
  <si>
    <t>MODIFICACION/ DOCUMENTO SOLICITADO</t>
  </si>
  <si>
    <t>Dirección de descarga  (Guia Despacho DESTINO)</t>
  </si>
  <si>
    <t>FECHA PRESENTACION CDA SEREMI</t>
  </si>
  <si>
    <t>FECHA PRESENTACION UYD</t>
  </si>
  <si>
    <t>PRESENTACION INSCRIPCION CDA SAG</t>
  </si>
  <si>
    <t>FECHA INSCRIPCION CDA SAG</t>
  </si>
  <si>
    <t>FECHA EMISION IIPA</t>
  </si>
  <si>
    <t>Fecha liberación - SALIDA.</t>
  </si>
  <si>
    <t>GUIA DE DESPACHO</t>
  </si>
  <si>
    <t>DOLAR : presentación del despacho.</t>
  </si>
  <si>
    <t>DOLAR: liberación de la carga.</t>
  </si>
  <si>
    <t xml:space="preserve">(descripcion 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</si>
</sst>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9"/>
      <color rgb="FF000000"/>
      <name val="System-Ui"/>
      <charset val="1"/>
    </font>
    <font>
      <sz val="11"/>
      <color rgb="FF000000"/>
      <name val="Calibri"/>
      <charset val="1"/>
    </font>
    <font>
      <sz val="8"/>
      <color theme="1"/>
      <name val="Arial"/>
      <charset val="1"/>
    </font>
    <font>
      <sz val="11"/>
      <color rgb="FF000000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u/>
      <sz val="11"/>
      <color theme="1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9F9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2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0" fillId="0" borderId="9" xfId="0" applyBorder="1"/>
    <xf numFmtId="0" fontId="9" fillId="0" borderId="9" xfId="0" applyFont="1" applyBorder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9" xfId="0" applyFont="1" applyBorder="1"/>
    <xf numFmtId="0" fontId="8" fillId="0" borderId="9" xfId="1" applyBorder="1"/>
    <xf numFmtId="0" fontId="4" fillId="3" borderId="12" xfId="0" applyFont="1" applyFill="1" applyBorder="1" applyAlignment="1">
      <alignment horizontal="center" vertical="center" wrapText="1"/>
    </xf>
    <xf numFmtId="43" fontId="3" fillId="0" borderId="0" xfId="0" applyNumberFormat="1" applyFont="1"/>
    <xf numFmtId="43" fontId="0" fillId="0" borderId="0" xfId="0" applyNumberFormat="1"/>
    <xf numFmtId="0" fontId="9" fillId="0" borderId="9" xfId="0" applyFont="1" applyBorder="1" applyAlignment="1">
      <alignment horizontal="center"/>
    </xf>
    <xf numFmtId="0" fontId="10" fillId="0" borderId="9" xfId="0" applyFont="1" applyBorder="1"/>
    <xf numFmtId="14" fontId="3" fillId="0" borderId="9" xfId="0" applyNumberFormat="1" applyFont="1" applyBorder="1"/>
    <xf numFmtId="0" fontId="11" fillId="0" borderId="9" xfId="0" applyFont="1" applyBorder="1"/>
    <xf numFmtId="0" fontId="3" fillId="0" borderId="9" xfId="0" applyFont="1" applyBorder="1" applyAlignment="1">
      <alignment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43" fontId="4" fillId="3" borderId="15" xfId="0" applyNumberFormat="1" applyFont="1" applyFill="1" applyBorder="1" applyAlignment="1">
      <alignment horizontal="center" vertical="center" wrapText="1"/>
    </xf>
    <xf numFmtId="0" fontId="0" fillId="0" borderId="11" xfId="0" applyBorder="1"/>
    <xf numFmtId="43" fontId="0" fillId="0" borderId="17" xfId="0" applyNumberFormat="1" applyBorder="1"/>
    <xf numFmtId="0" fontId="0" fillId="0" borderId="18" xfId="0" applyBorder="1"/>
    <xf numFmtId="0" fontId="3" fillId="0" borderId="11" xfId="0" applyFont="1" applyBorder="1" applyAlignment="1">
      <alignment wrapText="1"/>
    </xf>
    <xf numFmtId="0" fontId="3" fillId="0" borderId="18" xfId="0" applyFont="1" applyBorder="1"/>
    <xf numFmtId="0" fontId="3" fillId="0" borderId="11" xfId="0" applyFont="1" applyBorder="1"/>
    <xf numFmtId="43" fontId="3" fillId="0" borderId="17" xfId="0" applyNumberFormat="1" applyFont="1" applyBorder="1"/>
    <xf numFmtId="0" fontId="0" fillId="0" borderId="17" xfId="0" applyBorder="1"/>
    <xf numFmtId="0" fontId="3" fillId="0" borderId="17" xfId="0" applyFont="1" applyBorder="1"/>
    <xf numFmtId="0" fontId="3" fillId="0" borderId="17" xfId="0" applyFont="1" applyBorder="1" applyAlignment="1">
      <alignment wrapText="1"/>
    </xf>
    <xf numFmtId="0" fontId="9" fillId="0" borderId="18" xfId="0" applyFont="1" applyBorder="1" applyAlignment="1">
      <alignment horizontal="center"/>
    </xf>
    <xf numFmtId="0" fontId="9" fillId="0" borderId="18" xfId="0" applyFont="1" applyBorder="1"/>
    <xf numFmtId="0" fontId="0" fillId="0" borderId="21" xfId="0" applyBorder="1"/>
    <xf numFmtId="0" fontId="0" fillId="0" borderId="20" xfId="0" applyBorder="1"/>
    <xf numFmtId="43" fontId="0" fillId="0" borderId="21" xfId="0" applyNumberFormat="1" applyBorder="1"/>
    <xf numFmtId="0" fontId="0" fillId="0" borderId="9" xfId="0" applyBorder="1" applyAlignment="1">
      <alignment horizontal="center"/>
    </xf>
    <xf numFmtId="14" fontId="8" fillId="0" borderId="0" xfId="1" applyNumberFormat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center"/>
    </xf>
    <xf numFmtId="0" fontId="9" fillId="0" borderId="19" xfId="0" applyFont="1" applyBorder="1"/>
    <xf numFmtId="0" fontId="0" fillId="0" borderId="9" xfId="0" applyBorder="1" applyAlignment="1">
      <alignment wrapText="1"/>
    </xf>
    <xf numFmtId="43" fontId="4" fillId="3" borderId="2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7" xfId="0" applyFont="1" applyBorder="1" applyAlignment="1">
      <alignment wrapText="1"/>
    </xf>
    <xf numFmtId="22" fontId="13" fillId="0" borderId="0" xfId="0" applyNumberFormat="1" applyFont="1"/>
    <xf numFmtId="0" fontId="13" fillId="0" borderId="9" xfId="0" applyFont="1" applyBorder="1"/>
    <xf numFmtId="0" fontId="13" fillId="0" borderId="9" xfId="0" applyFont="1" applyBorder="1" applyAlignment="1">
      <alignment horizontal="center"/>
    </xf>
    <xf numFmtId="22" fontId="13" fillId="0" borderId="9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9" xfId="0" applyFont="1" applyBorder="1" applyAlignment="1">
      <alignment wrapText="1"/>
    </xf>
    <xf numFmtId="0" fontId="10" fillId="0" borderId="17" xfId="0" applyFont="1" applyBorder="1"/>
    <xf numFmtId="0" fontId="0" fillId="0" borderId="26" xfId="0" applyBorder="1"/>
    <xf numFmtId="0" fontId="0" fillId="0" borderId="25" xfId="0" applyBorder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8" fillId="0" borderId="18" xfId="1" applyNumberFormat="1" applyBorder="1" applyAlignment="1">
      <alignment readingOrder="1"/>
    </xf>
    <xf numFmtId="14" fontId="8" fillId="0" borderId="9" xfId="1" applyNumberFormat="1" applyFill="1" applyBorder="1"/>
    <xf numFmtId="0" fontId="8" fillId="0" borderId="0" xfId="1" applyAlignment="1">
      <alignment horizontal="center"/>
    </xf>
    <xf numFmtId="14" fontId="0" fillId="0" borderId="9" xfId="0" applyNumberFormat="1" applyBorder="1"/>
    <xf numFmtId="4" fontId="0" fillId="0" borderId="9" xfId="0" applyNumberFormat="1" applyBorder="1"/>
    <xf numFmtId="0" fontId="8" fillId="0" borderId="11" xfId="1" applyBorder="1" applyAlignment="1">
      <alignment horizontal="center"/>
    </xf>
    <xf numFmtId="14" fontId="8" fillId="0" borderId="9" xfId="1" applyNumberFormat="1" applyBorder="1"/>
    <xf numFmtId="14" fontId="8" fillId="0" borderId="9" xfId="1" applyNumberFormat="1" applyBorder="1" applyAlignment="1">
      <alignment readingOrder="1"/>
    </xf>
    <xf numFmtId="0" fontId="13" fillId="0" borderId="0" xfId="0" applyFont="1"/>
    <xf numFmtId="0" fontId="2" fillId="0" borderId="0" xfId="0" applyFont="1"/>
    <xf numFmtId="0" fontId="18" fillId="0" borderId="0" xfId="0" applyFont="1"/>
    <xf numFmtId="0" fontId="0" fillId="0" borderId="27" xfId="0" applyBorder="1"/>
    <xf numFmtId="0" fontId="4" fillId="3" borderId="9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/>
    </xf>
    <xf numFmtId="0" fontId="12" fillId="0" borderId="9" xfId="0" applyFont="1" applyBorder="1"/>
    <xf numFmtId="0" fontId="14" fillId="4" borderId="9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/>
    </xf>
    <xf numFmtId="14" fontId="14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6" fillId="0" borderId="9" xfId="0" applyNumberFormat="1" applyFont="1" applyBorder="1"/>
    <xf numFmtId="0" fontId="3" fillId="0" borderId="16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43" fontId="3" fillId="0" borderId="11" xfId="0" applyNumberFormat="1" applyFont="1" applyBorder="1"/>
    <xf numFmtId="43" fontId="0" fillId="0" borderId="11" xfId="0" applyNumberFormat="1" applyBorder="1"/>
    <xf numFmtId="43" fontId="0" fillId="0" borderId="20" xfId="0" applyNumberFormat="1" applyBorder="1"/>
    <xf numFmtId="0" fontId="18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16" fillId="0" borderId="11" xfId="1" applyFont="1" applyBorder="1" applyAlignment="1">
      <alignment horizontal="center"/>
    </xf>
    <xf numFmtId="0" fontId="8" fillId="0" borderId="20" xfId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3" borderId="15" xfId="0" applyFont="1" applyFill="1" applyBorder="1" applyAlignment="1">
      <alignment horizontal="center" vertical="center" wrapText="1"/>
    </xf>
    <xf numFmtId="0" fontId="8" fillId="0" borderId="17" xfId="1" applyBorder="1" applyAlignment="1">
      <alignment horizontal="center"/>
    </xf>
    <xf numFmtId="0" fontId="16" fillId="0" borderId="17" xfId="1" applyFont="1" applyBorder="1" applyAlignment="1">
      <alignment horizontal="center"/>
    </xf>
    <xf numFmtId="0" fontId="8" fillId="0" borderId="21" xfId="1" applyBorder="1" applyAlignment="1">
      <alignment horizontal="center"/>
    </xf>
    <xf numFmtId="0" fontId="8" fillId="0" borderId="29" xfId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0" xfId="1"/>
    <xf numFmtId="0" fontId="8" fillId="0" borderId="11" xfId="1" applyBorder="1"/>
    <xf numFmtId="0" fontId="4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22" fontId="3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2" fontId="0" fillId="0" borderId="9" xfId="0" applyNumberFormat="1" applyBorder="1" applyAlignment="1">
      <alignment horizontal="center"/>
    </xf>
    <xf numFmtId="22" fontId="3" fillId="0" borderId="18" xfId="0" applyNumberFormat="1" applyFont="1" applyBorder="1" applyAlignment="1">
      <alignment horizontal="center"/>
    </xf>
    <xf numFmtId="22" fontId="3" fillId="0" borderId="0" xfId="0" applyNumberFormat="1" applyFont="1"/>
    <xf numFmtId="22" fontId="3" fillId="0" borderId="9" xfId="0" applyNumberFormat="1" applyFont="1" applyBorder="1"/>
    <xf numFmtId="0" fontId="3" fillId="0" borderId="22" xfId="0" applyFont="1" applyBorder="1" applyAlignment="1">
      <alignment horizontal="center"/>
    </xf>
    <xf numFmtId="22" fontId="3" fillId="0" borderId="16" xfId="0" applyNumberFormat="1" applyFont="1" applyBorder="1" applyAlignment="1">
      <alignment horizontal="center"/>
    </xf>
    <xf numFmtId="22" fontId="3" fillId="0" borderId="0" xfId="0" applyNumberFormat="1" applyFont="1" applyAlignment="1">
      <alignment horizontal="center"/>
    </xf>
    <xf numFmtId="22" fontId="19" fillId="0" borderId="9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2" fontId="3" fillId="0" borderId="17" xfId="0" applyNumberFormat="1" applyFont="1" applyBorder="1" applyAlignment="1">
      <alignment horizontal="center"/>
    </xf>
    <xf numFmtId="22" fontId="0" fillId="0" borderId="19" xfId="0" applyNumberFormat="1" applyBorder="1" applyAlignment="1">
      <alignment horizontal="center"/>
    </xf>
    <xf numFmtId="22" fontId="0" fillId="0" borderId="18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26" xfId="1" applyBorder="1" applyAlignment="1">
      <alignment horizontal="center"/>
    </xf>
    <xf numFmtId="0" fontId="8" fillId="0" borderId="25" xfId="1" applyBorder="1" applyAlignment="1">
      <alignment horizontal="center"/>
    </xf>
    <xf numFmtId="0" fontId="0" fillId="0" borderId="16" xfId="0" applyBorder="1"/>
    <xf numFmtId="0" fontId="3" fillId="0" borderId="21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6" borderId="10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43" fontId="4" fillId="6" borderId="15" xfId="0" applyNumberFormat="1" applyFont="1" applyFill="1" applyBorder="1" applyAlignment="1">
      <alignment vertical="center" wrapText="1"/>
    </xf>
    <xf numFmtId="43" fontId="4" fillId="6" borderId="24" xfId="0" applyNumberFormat="1" applyFont="1" applyFill="1" applyBorder="1" applyAlignment="1">
      <alignment vertical="center" wrapText="1"/>
    </xf>
    <xf numFmtId="0" fontId="13" fillId="0" borderId="9" xfId="0" applyFont="1" applyBorder="1" applyAlignment="1">
      <alignment horizontal="left"/>
    </xf>
    <xf numFmtId="0" fontId="9" fillId="8" borderId="9" xfId="0" applyFont="1" applyFill="1" applyBorder="1" applyAlignment="1">
      <alignment horizontal="center"/>
    </xf>
    <xf numFmtId="0" fontId="3" fillId="8" borderId="9" xfId="0" applyFont="1" applyFill="1" applyBorder="1"/>
    <xf numFmtId="0" fontId="9" fillId="8" borderId="9" xfId="0" applyFont="1" applyFill="1" applyBorder="1"/>
    <xf numFmtId="0" fontId="3" fillId="8" borderId="9" xfId="0" applyFont="1" applyFill="1" applyBorder="1" applyAlignment="1">
      <alignment horizontal="center"/>
    </xf>
    <xf numFmtId="0" fontId="10" fillId="8" borderId="17" xfId="0" applyFont="1" applyFill="1" applyBorder="1"/>
    <xf numFmtId="0" fontId="10" fillId="8" borderId="9" xfId="0" applyFont="1" applyFill="1" applyBorder="1"/>
    <xf numFmtId="0" fontId="8" fillId="8" borderId="9" xfId="1" applyFill="1" applyBorder="1"/>
    <xf numFmtId="0" fontId="8" fillId="8" borderId="11" xfId="1" applyFill="1" applyBorder="1" applyAlignment="1">
      <alignment horizontal="center"/>
    </xf>
    <xf numFmtId="0" fontId="8" fillId="8" borderId="17" xfId="1" applyFill="1" applyBorder="1" applyAlignment="1">
      <alignment horizontal="center"/>
    </xf>
    <xf numFmtId="14" fontId="8" fillId="8" borderId="9" xfId="1" applyNumberFormat="1" applyFill="1" applyBorder="1"/>
    <xf numFmtId="14" fontId="3" fillId="8" borderId="9" xfId="0" applyNumberFormat="1" applyFont="1" applyFill="1" applyBorder="1"/>
    <xf numFmtId="0" fontId="3" fillId="8" borderId="11" xfId="0" applyFont="1" applyFill="1" applyBorder="1"/>
    <xf numFmtId="22" fontId="3" fillId="8" borderId="9" xfId="0" applyNumberFormat="1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2" fillId="8" borderId="9" xfId="0" applyFont="1" applyFill="1" applyBorder="1"/>
    <xf numFmtId="0" fontId="0" fillId="8" borderId="9" xfId="0" applyFill="1" applyBorder="1"/>
    <xf numFmtId="43" fontId="3" fillId="8" borderId="17" xfId="0" applyNumberFormat="1" applyFont="1" applyFill="1" applyBorder="1"/>
    <xf numFmtId="43" fontId="3" fillId="8" borderId="11" xfId="0" applyNumberFormat="1" applyFont="1" applyFill="1" applyBorder="1"/>
    <xf numFmtId="0" fontId="0" fillId="8" borderId="17" xfId="0" applyFill="1" applyBorder="1"/>
    <xf numFmtId="0" fontId="0" fillId="8" borderId="9" xfId="0" applyFill="1" applyBorder="1" applyAlignment="1">
      <alignment horizontal="center"/>
    </xf>
    <xf numFmtId="0" fontId="0" fillId="8" borderId="11" xfId="0" applyFill="1" applyBorder="1"/>
    <xf numFmtId="22" fontId="0" fillId="8" borderId="9" xfId="0" applyNumberFormat="1" applyFill="1" applyBorder="1" applyAlignment="1">
      <alignment horizontal="center"/>
    </xf>
    <xf numFmtId="43" fontId="0" fillId="8" borderId="17" xfId="0" applyNumberFormat="1" applyFill="1" applyBorder="1"/>
    <xf numFmtId="43" fontId="0" fillId="8" borderId="11" xfId="0" applyNumberFormat="1" applyFill="1" applyBorder="1"/>
    <xf numFmtId="0" fontId="3" fillId="8" borderId="17" xfId="0" applyFont="1" applyFill="1" applyBorder="1"/>
    <xf numFmtId="22" fontId="3" fillId="8" borderId="18" xfId="0" applyNumberFormat="1" applyFont="1" applyFill="1" applyBorder="1" applyAlignment="1">
      <alignment horizontal="center"/>
    </xf>
    <xf numFmtId="22" fontId="3" fillId="8" borderId="0" xfId="0" applyNumberFormat="1" applyFont="1" applyFill="1"/>
    <xf numFmtId="22" fontId="3" fillId="8" borderId="9" xfId="0" applyNumberFormat="1" applyFont="1" applyFill="1" applyBorder="1"/>
    <xf numFmtId="0" fontId="3" fillId="8" borderId="22" xfId="0" applyFont="1" applyFill="1" applyBorder="1" applyAlignment="1">
      <alignment horizontal="center"/>
    </xf>
    <xf numFmtId="22" fontId="3" fillId="8" borderId="16" xfId="0" applyNumberFormat="1" applyFont="1" applyFill="1" applyBorder="1" applyAlignment="1">
      <alignment horizontal="center"/>
    </xf>
    <xf numFmtId="22" fontId="19" fillId="8" borderId="9" xfId="0" applyNumberFormat="1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 wrapText="1"/>
    </xf>
    <xf numFmtId="0" fontId="14" fillId="8" borderId="9" xfId="0" applyFont="1" applyFill="1" applyBorder="1" applyAlignment="1">
      <alignment horizontal="center" wrapText="1"/>
    </xf>
    <xf numFmtId="0" fontId="7" fillId="8" borderId="9" xfId="0" applyFont="1" applyFill="1" applyBorder="1"/>
    <xf numFmtId="0" fontId="3" fillId="8" borderId="9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wrapText="1"/>
    </xf>
    <xf numFmtId="0" fontId="3" fillId="8" borderId="11" xfId="0" applyFont="1" applyFill="1" applyBorder="1" applyAlignment="1">
      <alignment wrapText="1"/>
    </xf>
    <xf numFmtId="0" fontId="3" fillId="8" borderId="17" xfId="0" applyFont="1" applyFill="1" applyBorder="1" applyAlignment="1">
      <alignment wrapText="1"/>
    </xf>
    <xf numFmtId="0" fontId="3" fillId="8" borderId="0" xfId="0" applyFont="1" applyFill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8" borderId="18" xfId="0" applyFont="1" applyFill="1" applyBorder="1"/>
    <xf numFmtId="0" fontId="20" fillId="8" borderId="9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6" xfId="0" applyFont="1" applyFill="1" applyBorder="1"/>
    <xf numFmtId="22" fontId="3" fillId="8" borderId="17" xfId="0" applyNumberFormat="1" applyFont="1" applyFill="1" applyBorder="1" applyAlignment="1">
      <alignment horizontal="center"/>
    </xf>
    <xf numFmtId="0" fontId="8" fillId="8" borderId="0" xfId="1" applyFill="1" applyAlignment="1">
      <alignment horizontal="center"/>
    </xf>
    <xf numFmtId="22" fontId="0" fillId="8" borderId="19" xfId="0" applyNumberFormat="1" applyFill="1" applyBorder="1" applyAlignment="1">
      <alignment horizontal="center"/>
    </xf>
    <xf numFmtId="22" fontId="0" fillId="8" borderId="18" xfId="0" applyNumberFormat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15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8" xfId="0" applyFill="1" applyBorder="1"/>
    <xf numFmtId="0" fontId="8" fillId="8" borderId="20" xfId="1" applyFill="1" applyBorder="1" applyAlignment="1">
      <alignment horizontal="center"/>
    </xf>
    <xf numFmtId="0" fontId="8" fillId="8" borderId="21" xfId="1" applyFill="1" applyBorder="1" applyAlignment="1">
      <alignment horizontal="center"/>
    </xf>
    <xf numFmtId="14" fontId="8" fillId="8" borderId="17" xfId="1" applyNumberFormat="1" applyFill="1" applyBorder="1"/>
    <xf numFmtId="14" fontId="3" fillId="8" borderId="11" xfId="0" applyNumberFormat="1" applyFont="1" applyFill="1" applyBorder="1" applyAlignment="1">
      <alignment horizontal="center"/>
    </xf>
    <xf numFmtId="14" fontId="14" fillId="8" borderId="9" xfId="0" applyNumberFormat="1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8" fillId="0" borderId="9" xfId="1" applyBorder="1" applyAlignment="1">
      <alignment horizontal="center"/>
    </xf>
    <xf numFmtId="0" fontId="0" fillId="0" borderId="19" xfId="0" applyBorder="1"/>
    <xf numFmtId="0" fontId="9" fillId="8" borderId="11" xfId="0" applyFont="1" applyFill="1" applyBorder="1" applyAlignment="1">
      <alignment horizontal="center"/>
    </xf>
    <xf numFmtId="0" fontId="9" fillId="8" borderId="22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26" xfId="0" applyFont="1" applyFill="1" applyBorder="1" applyAlignment="1">
      <alignment horizontal="center"/>
    </xf>
    <xf numFmtId="0" fontId="9" fillId="8" borderId="28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7" fillId="0" borderId="9" xfId="0" applyFont="1" applyBorder="1"/>
    <xf numFmtId="0" fontId="6" fillId="0" borderId="11" xfId="0" applyFont="1" applyBorder="1"/>
    <xf numFmtId="0" fontId="7" fillId="0" borderId="11" xfId="0" applyFont="1" applyBorder="1"/>
    <xf numFmtId="14" fontId="3" fillId="0" borderId="17" xfId="0" applyNumberFormat="1" applyFont="1" applyBorder="1"/>
    <xf numFmtId="14" fontId="3" fillId="0" borderId="9" xfId="1" applyNumberFormat="1" applyFont="1" applyFill="1" applyBorder="1"/>
    <xf numFmtId="14" fontId="3" fillId="0" borderId="9" xfId="1" applyNumberFormat="1" applyFont="1" applyFill="1" applyBorder="1" applyAlignment="1">
      <alignment wrapText="1"/>
    </xf>
    <xf numFmtId="14" fontId="8" fillId="0" borderId="9" xfId="1" applyNumberFormat="1" applyFill="1" applyBorder="1" applyAlignment="1">
      <alignment wrapText="1"/>
    </xf>
    <xf numFmtId="14" fontId="3" fillId="0" borderId="9" xfId="1" applyNumberFormat="1" applyFont="1" applyFill="1" applyBorder="1" applyAlignment="1">
      <alignment readingOrder="1"/>
    </xf>
    <xf numFmtId="14" fontId="8" fillId="0" borderId="9" xfId="1" applyNumberFormat="1" applyFill="1" applyBorder="1" applyAlignment="1">
      <alignment readingOrder="1"/>
    </xf>
    <xf numFmtId="14" fontId="3" fillId="0" borderId="9" xfId="0" applyNumberFormat="1" applyFont="1" applyBorder="1" applyAlignment="1">
      <alignment readingOrder="1"/>
    </xf>
    <xf numFmtId="0" fontId="13" fillId="0" borderId="9" xfId="0" applyFont="1" applyBorder="1" applyAlignment="1">
      <alignment readingOrder="1"/>
    </xf>
    <xf numFmtId="0" fontId="8" fillId="0" borderId="9" xfId="1" applyNumberFormat="1" applyFill="1" applyBorder="1"/>
    <xf numFmtId="0" fontId="13" fillId="0" borderId="16" xfId="0" applyFont="1" applyBorder="1"/>
    <xf numFmtId="0" fontId="8" fillId="0" borderId="9" xfId="1" applyNumberFormat="1" applyFill="1" applyBorder="1" applyAlignment="1">
      <alignment wrapText="1"/>
    </xf>
    <xf numFmtId="0" fontId="8" fillId="0" borderId="9" xfId="1" applyNumberFormat="1" applyFill="1" applyBorder="1" applyAlignment="1">
      <alignment readingOrder="1"/>
    </xf>
    <xf numFmtId="0" fontId="8" fillId="0" borderId="11" xfId="1" applyNumberFormat="1" applyBorder="1"/>
    <xf numFmtId="0" fontId="8" fillId="0" borderId="11" xfId="1" applyNumberFormat="1" applyFill="1" applyBorder="1"/>
    <xf numFmtId="14" fontId="8" fillId="0" borderId="16" xfId="1" applyNumberFormat="1" applyFill="1" applyBorder="1"/>
    <xf numFmtId="0" fontId="8" fillId="0" borderId="22" xfId="1" applyBorder="1" applyAlignment="1">
      <alignment horizontal="center"/>
    </xf>
    <xf numFmtId="0" fontId="8" fillId="0" borderId="27" xfId="1" applyBorder="1" applyAlignment="1">
      <alignment horizontal="center"/>
    </xf>
    <xf numFmtId="0" fontId="8" fillId="0" borderId="23" xfId="1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26" xfId="1" applyBorder="1"/>
    <xf numFmtId="0" fontId="8" fillId="8" borderId="22" xfId="1" applyFill="1" applyBorder="1" applyAlignment="1">
      <alignment horizontal="center"/>
    </xf>
    <xf numFmtId="0" fontId="8" fillId="8" borderId="23" xfId="1" applyFill="1" applyBorder="1" applyAlignment="1">
      <alignment horizontal="center"/>
    </xf>
    <xf numFmtId="14" fontId="8" fillId="0" borderId="17" xfId="1" applyNumberFormat="1" applyFill="1" applyBorder="1"/>
    <xf numFmtId="14" fontId="8" fillId="0" borderId="17" xfId="1" applyNumberFormat="1" applyBorder="1"/>
    <xf numFmtId="0" fontId="0" fillId="8" borderId="21" xfId="0" applyFill="1" applyBorder="1"/>
    <xf numFmtId="14" fontId="8" fillId="8" borderId="21" xfId="1" applyNumberFormat="1" applyFill="1" applyBorder="1"/>
    <xf numFmtId="14" fontId="8" fillId="0" borderId="16" xfId="1" applyNumberFormat="1" applyBorder="1"/>
    <xf numFmtId="0" fontId="8" fillId="0" borderId="16" xfId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4" fillId="6" borderId="15" xfId="0" applyFont="1" applyFill="1" applyBorder="1" applyAlignment="1">
      <alignment vertical="center" wrapText="1"/>
    </xf>
    <xf numFmtId="0" fontId="8" fillId="8" borderId="26" xfId="1" applyFill="1" applyBorder="1" applyAlignment="1">
      <alignment horizontal="center"/>
    </xf>
    <xf numFmtId="0" fontId="19" fillId="8" borderId="16" xfId="0" applyFont="1" applyFill="1" applyBorder="1" applyAlignment="1">
      <alignment horizontal="center"/>
    </xf>
    <xf numFmtId="0" fontId="8" fillId="8" borderId="25" xfId="1" applyFill="1" applyBorder="1" applyAlignment="1">
      <alignment horizontal="center"/>
    </xf>
    <xf numFmtId="0" fontId="6" fillId="8" borderId="16" xfId="0" applyFont="1" applyFill="1" applyBorder="1"/>
    <xf numFmtId="14" fontId="6" fillId="8" borderId="16" xfId="0" applyNumberFormat="1" applyFont="1" applyFill="1" applyBorder="1"/>
    <xf numFmtId="14" fontId="8" fillId="8" borderId="16" xfId="1" applyNumberFormat="1" applyFill="1" applyBorder="1"/>
    <xf numFmtId="0" fontId="4" fillId="5" borderId="9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22" fontId="3" fillId="8" borderId="0" xfId="0" applyNumberFormat="1" applyFont="1" applyFill="1" applyAlignment="1">
      <alignment horizontal="center"/>
    </xf>
    <xf numFmtId="22" fontId="3" fillId="8" borderId="22" xfId="0" applyNumberFormat="1" applyFon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22" fontId="3" fillId="8" borderId="11" xfId="0" applyNumberFormat="1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22" fontId="3" fillId="8" borderId="18" xfId="0" applyNumberFormat="1" applyFont="1" applyFill="1" applyBorder="1"/>
    <xf numFmtId="22" fontId="3" fillId="8" borderId="21" xfId="0" applyNumberFormat="1" applyFont="1" applyFill="1" applyBorder="1"/>
    <xf numFmtId="0" fontId="0" fillId="8" borderId="26" xfId="0" applyFill="1" applyBorder="1"/>
    <xf numFmtId="0" fontId="10" fillId="8" borderId="11" xfId="0" applyFont="1" applyFill="1" applyBorder="1"/>
    <xf numFmtId="0" fontId="0" fillId="8" borderId="20" xfId="0" applyFill="1" applyBorder="1"/>
    <xf numFmtId="0" fontId="0" fillId="0" borderId="28" xfId="0" applyBorder="1"/>
    <xf numFmtId="0" fontId="19" fillId="8" borderId="25" xfId="0" applyFon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20" fillId="8" borderId="17" xfId="0" applyFon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0" borderId="0" xfId="1" applyBorder="1" applyAlignment="1">
      <alignment horizontal="center"/>
    </xf>
    <xf numFmtId="0" fontId="18" fillId="6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7" borderId="9" xfId="0" applyFont="1" applyFill="1" applyBorder="1" applyAlignment="1">
      <alignment vertical="center" wrapText="1"/>
    </xf>
    <xf numFmtId="0" fontId="9" fillId="8" borderId="16" xfId="0" applyFont="1" applyFill="1" applyBorder="1" applyAlignment="1">
      <alignment horizontal="center"/>
    </xf>
    <xf numFmtId="0" fontId="3" fillId="6" borderId="9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0" fillId="9" borderId="11" xfId="0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3" fillId="8" borderId="27" xfId="0" applyFont="1" applyFill="1" applyBorder="1" applyAlignment="1">
      <alignment horizontal="center"/>
    </xf>
    <xf numFmtId="14" fontId="3" fillId="8" borderId="27" xfId="0" applyNumberFormat="1" applyFont="1" applyFill="1" applyBorder="1" applyAlignment="1">
      <alignment horizontal="center"/>
    </xf>
    <xf numFmtId="0" fontId="0" fillId="8" borderId="16" xfId="0" applyFill="1" applyBorder="1"/>
    <xf numFmtId="0" fontId="8" fillId="8" borderId="16" xfId="1" applyFill="1" applyBorder="1"/>
    <xf numFmtId="0" fontId="5" fillId="5" borderId="27" xfId="0" applyFont="1" applyFill="1" applyBorder="1" applyAlignment="1">
      <alignment horizontal="center" wrapText="1"/>
    </xf>
    <xf numFmtId="0" fontId="5" fillId="5" borderId="30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/>
    <xf numFmtId="22" fontId="1" fillId="0" borderId="9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2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4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4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6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6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84" Type="http://schemas.openxmlformats.org/officeDocument/2006/relationships/vmlDrawing" Target="../drawings/vmlDrawing1.vml"/><Relationship Id="rId1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1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3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3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5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5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7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7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1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2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2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3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3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4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4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5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6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6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7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5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7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8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85" Type="http://schemas.openxmlformats.org/officeDocument/2006/relationships/comments" Target="../comments1.xml"/><Relationship Id="rId3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1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1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2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3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3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4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5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6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2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4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5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6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7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7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8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1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1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2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2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3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4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5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1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3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4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5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6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6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7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7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8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4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1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3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3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5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5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7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7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2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2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2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4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4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6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6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82" Type="http://schemas.openxmlformats.org/officeDocument/2006/relationships/hyperlink" Target="https://agenciadeaduanapirazzoli-my.sharepoint.com/:b:/g/personal/mmorales_pirazzoli_cl/IQAKYYA1DhsbSbz1EfnoXO_SAQBooDtCCCUs0mk5jDRjmjY?e=S9fu0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N225"/>
  <sheetViews>
    <sheetView topLeftCell="B1" zoomScale="70" zoomScaleNormal="70" workbookViewId="0">
      <pane xSplit="1" topLeftCell="O4" activePane="topRight" state="frozen"/>
      <selection pane="topRight" activeCell="W12" sqref="W12"/>
    </sheetView>
  </sheetViews>
  <sheetFormatPr defaultColWidth="11.42578125" defaultRowHeight="15"/>
  <cols>
    <col min="1" max="1" width="15.5703125" customWidth="1"/>
    <col min="2" max="2" width="9.140625"/>
    <col min="3" max="3" width="13.5703125" customWidth="1"/>
    <col min="4" max="4" width="27.28515625" customWidth="1"/>
    <col min="6" max="6" width="16.42578125" customWidth="1"/>
    <col min="7" max="7" width="21.140625" customWidth="1"/>
    <col min="8" max="8" width="16.42578125" style="89" customWidth="1"/>
    <col min="9" max="9" width="16.42578125" style="71" customWidth="1"/>
    <col min="10" max="10" width="16.42578125" customWidth="1"/>
    <col min="11" max="11" width="23.5703125" customWidth="1"/>
    <col min="12" max="12" width="22.5703125" customWidth="1"/>
    <col min="13" max="13" width="32.7109375" customWidth="1"/>
    <col min="14" max="14" width="22.140625" customWidth="1"/>
    <col min="15" max="15" width="13.42578125" style="61" customWidth="1"/>
    <col min="16" max="16" width="12.7109375" style="39" bestFit="1" customWidth="1"/>
    <col min="17" max="17" width="19.140625" style="61" customWidth="1"/>
    <col min="20" max="20" width="13.5703125" customWidth="1"/>
    <col min="21" max="21" width="18" customWidth="1"/>
    <col min="22" max="22" width="20.85546875" customWidth="1"/>
    <col min="23" max="23" width="29" bestFit="1" customWidth="1"/>
    <col min="24" max="24" width="22.42578125" customWidth="1"/>
    <col min="25" max="25" width="30.28515625" customWidth="1"/>
    <col min="26" max="26" width="13.7109375" customWidth="1"/>
    <col min="27" max="27" width="12.85546875" customWidth="1"/>
    <col min="28" max="28" width="19.85546875" customWidth="1"/>
    <col min="29" max="29" width="18.42578125" customWidth="1"/>
    <col min="30" max="30" width="15.85546875" customWidth="1"/>
    <col min="31" max="31" width="17.42578125" customWidth="1"/>
    <col min="32" max="32" width="16.7109375" customWidth="1"/>
    <col min="33" max="33" width="20.7109375" customWidth="1"/>
    <col min="34" max="35" width="19.140625" style="6" customWidth="1"/>
    <col min="36" max="36" width="14.42578125" style="6" customWidth="1"/>
    <col min="37" max="37" width="11.42578125" style="6"/>
    <col min="38" max="39" width="13.28515625" style="15" customWidth="1"/>
    <col min="40" max="40" width="30.42578125" style="6" customWidth="1"/>
    <col min="41" max="41" width="27.140625" customWidth="1"/>
  </cols>
  <sheetData>
    <row r="1" spans="1:40" ht="30" customHeight="1">
      <c r="A1" s="1"/>
      <c r="B1" s="1"/>
      <c r="C1" s="1"/>
      <c r="D1" s="1"/>
      <c r="E1" s="1"/>
      <c r="F1" s="1"/>
      <c r="G1" s="1"/>
      <c r="H1" s="87"/>
      <c r="I1" s="70"/>
      <c r="J1" s="1"/>
      <c r="K1" s="1"/>
      <c r="L1" s="1"/>
      <c r="M1" s="1"/>
      <c r="N1" s="1"/>
      <c r="O1" s="58"/>
      <c r="P1" s="94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1"/>
      <c r="AI1" s="11"/>
      <c r="AJ1" s="11"/>
      <c r="AL1" s="14"/>
      <c r="AM1" s="14"/>
    </row>
    <row r="2" spans="1:40" ht="57.95" customHeight="1">
      <c r="A2" s="1"/>
      <c r="B2" s="1"/>
      <c r="C2" s="1"/>
      <c r="D2" s="1"/>
      <c r="E2" s="1"/>
      <c r="F2" s="1"/>
      <c r="G2" s="1"/>
      <c r="H2" s="58"/>
      <c r="I2" s="1"/>
      <c r="J2" s="1"/>
      <c r="K2" s="1"/>
      <c r="L2" s="1"/>
      <c r="M2" s="1"/>
      <c r="N2" s="1"/>
      <c r="O2" s="58"/>
      <c r="P2" s="94"/>
      <c r="Q2" s="5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1"/>
      <c r="AI2" s="11"/>
      <c r="AJ2" s="11"/>
      <c r="AL2" s="14"/>
      <c r="AM2" s="14"/>
    </row>
    <row r="3" spans="1:40" ht="198">
      <c r="B3" s="8" t="s">
        <v>0</v>
      </c>
      <c r="C3" s="9"/>
      <c r="D3" s="9"/>
      <c r="E3" s="9"/>
      <c r="F3" s="9"/>
      <c r="G3" s="9"/>
      <c r="H3" s="114"/>
      <c r="I3" s="9"/>
      <c r="J3" s="9"/>
      <c r="K3" s="9"/>
      <c r="L3" s="9"/>
      <c r="M3" s="9"/>
      <c r="N3" s="10"/>
      <c r="O3" s="59" t="s">
        <v>1</v>
      </c>
      <c r="P3" s="95"/>
      <c r="Q3" s="60"/>
      <c r="R3" s="47"/>
      <c r="S3" s="47"/>
      <c r="T3" s="47"/>
      <c r="U3" s="47"/>
      <c r="V3" s="47"/>
      <c r="W3" s="48"/>
      <c r="X3" s="107" t="s">
        <v>2</v>
      </c>
      <c r="Y3" s="108"/>
      <c r="Z3" s="109" t="s">
        <v>3</v>
      </c>
      <c r="AA3" s="110"/>
      <c r="AB3" s="110"/>
      <c r="AC3" s="111"/>
      <c r="AD3" s="109" t="s">
        <v>4</v>
      </c>
      <c r="AE3" s="110"/>
      <c r="AF3" s="110"/>
      <c r="AG3" s="106"/>
      <c r="AH3" s="76"/>
      <c r="AI3" s="76"/>
      <c r="AJ3" s="11"/>
      <c r="AL3" s="105" t="s">
        <v>5</v>
      </c>
      <c r="AM3" s="106"/>
    </row>
    <row r="4" spans="1:40" ht="60.75">
      <c r="A4" s="2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21" t="s">
        <v>19</v>
      </c>
      <c r="O4" s="22" t="s">
        <v>20</v>
      </c>
      <c r="P4" s="74" t="s">
        <v>21</v>
      </c>
      <c r="Q4" s="99" t="s">
        <v>22</v>
      </c>
      <c r="R4" s="5" t="s">
        <v>23</v>
      </c>
      <c r="S4" s="5" t="s">
        <v>24</v>
      </c>
      <c r="T4" s="83" t="s">
        <v>25</v>
      </c>
      <c r="U4" s="5" t="s">
        <v>26</v>
      </c>
      <c r="V4" s="5" t="s">
        <v>27</v>
      </c>
      <c r="W4" s="21" t="s">
        <v>28</v>
      </c>
      <c r="X4" s="22" t="s">
        <v>29</v>
      </c>
      <c r="Y4" s="21" t="s">
        <v>30</v>
      </c>
      <c r="Z4" s="13" t="s">
        <v>31</v>
      </c>
      <c r="AA4" s="5" t="s">
        <v>32</v>
      </c>
      <c r="AB4" s="5" t="s">
        <v>33</v>
      </c>
      <c r="AC4" s="21" t="s">
        <v>34</v>
      </c>
      <c r="AD4" s="13" t="s">
        <v>35</v>
      </c>
      <c r="AE4" s="5" t="s">
        <v>36</v>
      </c>
      <c r="AF4" s="5" t="s">
        <v>37</v>
      </c>
      <c r="AG4" s="75" t="s">
        <v>38</v>
      </c>
      <c r="AH4" s="74" t="s">
        <v>39</v>
      </c>
      <c r="AI4" s="74" t="s">
        <v>40</v>
      </c>
      <c r="AJ4" s="82" t="s">
        <v>41</v>
      </c>
      <c r="AK4" s="45" t="s">
        <v>42</v>
      </c>
      <c r="AL4" s="23" t="s">
        <v>43</v>
      </c>
      <c r="AM4" s="46" t="s">
        <v>44</v>
      </c>
      <c r="AN4" s="93" t="s">
        <v>45</v>
      </c>
    </row>
    <row r="5" spans="1:40">
      <c r="A5" s="3"/>
      <c r="B5" s="16">
        <v>179930</v>
      </c>
      <c r="C5" s="11" t="s">
        <v>46</v>
      </c>
      <c r="D5" s="7" t="s">
        <v>47</v>
      </c>
      <c r="E5" s="11" t="s">
        <v>48</v>
      </c>
      <c r="F5" s="11" t="s">
        <v>49</v>
      </c>
      <c r="G5" s="7" t="s">
        <v>50</v>
      </c>
      <c r="H5" s="51" t="s">
        <v>51</v>
      </c>
      <c r="I5" s="50" t="s">
        <v>52</v>
      </c>
      <c r="J5" s="55"/>
      <c r="K5" s="17" t="s">
        <v>53</v>
      </c>
      <c r="L5" s="7" t="s">
        <v>54</v>
      </c>
      <c r="M5" s="17" t="s">
        <v>55</v>
      </c>
      <c r="N5" s="12" t="s">
        <v>56</v>
      </c>
      <c r="O5" s="67">
        <v>2605113227</v>
      </c>
      <c r="P5" s="115"/>
      <c r="Q5" s="100" t="s">
        <v>57</v>
      </c>
      <c r="R5" s="234"/>
      <c r="S5" s="84">
        <v>46087</v>
      </c>
      <c r="T5" s="248">
        <v>4090179930</v>
      </c>
      <c r="U5" s="68">
        <v>46087.725694444445</v>
      </c>
      <c r="V5" s="236" t="s">
        <v>58</v>
      </c>
      <c r="W5" s="11" t="s">
        <v>59</v>
      </c>
      <c r="X5" s="11"/>
      <c r="Y5" s="11" t="s">
        <v>60</v>
      </c>
      <c r="Z5" s="18">
        <v>46078</v>
      </c>
      <c r="AA5" s="11"/>
      <c r="AB5" s="11" t="s">
        <v>61</v>
      </c>
      <c r="AC5" s="29"/>
      <c r="AD5" s="52">
        <v>46083.859976851854</v>
      </c>
      <c r="AE5" s="94" t="s">
        <v>62</v>
      </c>
      <c r="AF5" s="94" t="s">
        <v>62</v>
      </c>
      <c r="AG5" s="53" t="s">
        <v>63</v>
      </c>
      <c r="AH5" s="77"/>
      <c r="AI5" s="77"/>
      <c r="AJ5" s="78"/>
      <c r="AL5" s="30">
        <v>0</v>
      </c>
      <c r="AM5" s="90">
        <v>0</v>
      </c>
      <c r="AN5" s="6" t="s">
        <v>64</v>
      </c>
    </row>
    <row r="6" spans="1:40">
      <c r="A6" s="3"/>
      <c r="B6" s="16">
        <v>179947</v>
      </c>
      <c r="C6" s="11" t="s">
        <v>65</v>
      </c>
      <c r="D6" s="7" t="s">
        <v>66</v>
      </c>
      <c r="E6" s="11" t="s">
        <v>67</v>
      </c>
      <c r="F6" s="11" t="s">
        <v>49</v>
      </c>
      <c r="G6" s="7" t="s">
        <v>68</v>
      </c>
      <c r="H6" s="51" t="s">
        <v>69</v>
      </c>
      <c r="I6" s="50" t="s">
        <v>70</v>
      </c>
      <c r="J6" s="31"/>
      <c r="K6" s="6"/>
      <c r="L6" s="7" t="s">
        <v>71</v>
      </c>
      <c r="M6" s="6"/>
      <c r="N6" s="6" t="s">
        <v>72</v>
      </c>
      <c r="O6" s="96">
        <v>2605101385</v>
      </c>
      <c r="P6" s="315">
        <v>2605109992</v>
      </c>
      <c r="Q6" s="101" t="s">
        <v>73</v>
      </c>
      <c r="R6" s="29"/>
      <c r="S6" s="18">
        <v>46085</v>
      </c>
      <c r="T6" s="249">
        <v>4090179947</v>
      </c>
      <c r="U6" s="68">
        <v>46085.553472222222</v>
      </c>
      <c r="V6" s="31"/>
      <c r="W6" s="6"/>
      <c r="X6" s="6"/>
      <c r="Y6" s="6"/>
      <c r="Z6" s="6"/>
      <c r="AA6" s="6"/>
      <c r="AB6" s="6"/>
      <c r="AC6" s="24"/>
      <c r="AD6" s="52">
        <v>46080.908217592594</v>
      </c>
      <c r="AE6" s="118">
        <v>46086.655057870368</v>
      </c>
      <c r="AF6" s="39" t="s">
        <v>62</v>
      </c>
      <c r="AG6" s="53" t="s">
        <v>63</v>
      </c>
      <c r="AH6" s="77"/>
      <c r="AI6" s="77"/>
      <c r="AJ6" s="11"/>
      <c r="AL6" s="25">
        <v>857.58</v>
      </c>
      <c r="AM6" s="91"/>
    </row>
    <row r="7" spans="1:40">
      <c r="A7" s="3"/>
      <c r="B7" s="16">
        <v>179972</v>
      </c>
      <c r="C7" s="11" t="s">
        <v>74</v>
      </c>
      <c r="D7" s="7" t="s">
        <v>47</v>
      </c>
      <c r="E7" s="11" t="s">
        <v>48</v>
      </c>
      <c r="F7" s="11" t="s">
        <v>49</v>
      </c>
      <c r="G7" s="7" t="s">
        <v>75</v>
      </c>
      <c r="H7" s="51" t="s">
        <v>76</v>
      </c>
      <c r="I7" s="50" t="s">
        <v>77</v>
      </c>
      <c r="J7" s="32"/>
      <c r="K7" s="11"/>
      <c r="L7" s="7" t="s">
        <v>78</v>
      </c>
      <c r="M7" s="11" t="s">
        <v>79</v>
      </c>
      <c r="N7" s="11" t="s">
        <v>72</v>
      </c>
      <c r="O7" s="96">
        <v>2605106362</v>
      </c>
      <c r="P7" s="224">
        <v>2605107634</v>
      </c>
      <c r="Q7" s="101" t="s">
        <v>80</v>
      </c>
      <c r="R7" s="29"/>
      <c r="S7" s="237">
        <v>46085</v>
      </c>
      <c r="T7" s="113">
        <v>4090179972</v>
      </c>
      <c r="U7" s="40">
        <v>46085.652777777781</v>
      </c>
      <c r="V7" s="32"/>
      <c r="W7" s="11" t="s">
        <v>81</v>
      </c>
      <c r="X7" s="11"/>
      <c r="Y7" s="11" t="s">
        <v>81</v>
      </c>
      <c r="Z7" s="11"/>
      <c r="AA7" s="11"/>
      <c r="AB7" s="11"/>
      <c r="AC7" s="29"/>
      <c r="AD7" s="52">
        <v>46082.479074074072</v>
      </c>
      <c r="AE7" s="116">
        <v>46085.753275462965</v>
      </c>
      <c r="AF7" s="119">
        <v>46085.83252314815</v>
      </c>
      <c r="AG7" s="117" t="s">
        <v>82</v>
      </c>
      <c r="AH7" s="77"/>
      <c r="AI7" s="77"/>
      <c r="AJ7" s="78"/>
      <c r="AL7" s="25">
        <v>857.58</v>
      </c>
      <c r="AM7" s="90"/>
    </row>
    <row r="8" spans="1:40" ht="17.25" customHeight="1">
      <c r="A8" s="3"/>
      <c r="B8" s="16">
        <v>180001</v>
      </c>
      <c r="C8" s="11" t="s">
        <v>83</v>
      </c>
      <c r="D8" s="7" t="s">
        <v>47</v>
      </c>
      <c r="E8" s="11" t="s">
        <v>48</v>
      </c>
      <c r="F8" s="11" t="s">
        <v>49</v>
      </c>
      <c r="G8" s="7" t="s">
        <v>84</v>
      </c>
      <c r="H8" s="51" t="s">
        <v>85</v>
      </c>
      <c r="I8" s="50" t="s">
        <v>86</v>
      </c>
      <c r="J8" s="32"/>
      <c r="K8" s="11"/>
      <c r="L8" s="7" t="s">
        <v>78</v>
      </c>
      <c r="M8" s="11"/>
      <c r="N8" s="11" t="s">
        <v>72</v>
      </c>
      <c r="O8" s="96">
        <v>260595504</v>
      </c>
      <c r="P8" s="315">
        <v>260597318</v>
      </c>
      <c r="Q8" s="101" t="s">
        <v>87</v>
      </c>
      <c r="R8" s="29"/>
      <c r="S8" s="237">
        <v>46079</v>
      </c>
      <c r="T8" s="244">
        <v>4090180001</v>
      </c>
      <c r="U8" s="250">
        <v>46087</v>
      </c>
      <c r="V8" s="32"/>
      <c r="W8" s="11"/>
      <c r="X8" s="11"/>
      <c r="Y8" s="11"/>
      <c r="Z8" s="11"/>
      <c r="AA8" s="11"/>
      <c r="AB8" s="11"/>
      <c r="AC8" s="29"/>
      <c r="AD8" s="52">
        <v>46086.792349537034</v>
      </c>
      <c r="AE8" s="120">
        <v>46087.774537037039</v>
      </c>
      <c r="AF8" s="121">
        <v>46087.825578703705</v>
      </c>
      <c r="AG8" s="122" t="s">
        <v>82</v>
      </c>
      <c r="AH8" s="77"/>
      <c r="AI8" s="77"/>
      <c r="AJ8" s="11"/>
      <c r="AL8" s="25">
        <v>857.95</v>
      </c>
      <c r="AM8" s="90"/>
    </row>
    <row r="9" spans="1:40">
      <c r="A9" s="4"/>
      <c r="B9" s="16">
        <v>180023</v>
      </c>
      <c r="C9" s="11" t="s">
        <v>88</v>
      </c>
      <c r="D9" s="7" t="s">
        <v>47</v>
      </c>
      <c r="E9" s="11" t="s">
        <v>48</v>
      </c>
      <c r="F9" s="11" t="s">
        <v>49</v>
      </c>
      <c r="G9" s="7" t="s">
        <v>89</v>
      </c>
      <c r="H9" s="51" t="s">
        <v>90</v>
      </c>
      <c r="I9" s="50" t="s">
        <v>91</v>
      </c>
      <c r="J9" s="55"/>
      <c r="K9" s="17"/>
      <c r="L9" s="7" t="s">
        <v>78</v>
      </c>
      <c r="M9" s="17"/>
      <c r="N9" s="11" t="s">
        <v>72</v>
      </c>
      <c r="O9" s="96">
        <v>260598254</v>
      </c>
      <c r="P9" s="224">
        <v>260599583</v>
      </c>
      <c r="Q9" s="101" t="s">
        <v>92</v>
      </c>
      <c r="R9" s="29"/>
      <c r="S9" s="237">
        <v>46080</v>
      </c>
      <c r="T9" s="244">
        <v>4090180023</v>
      </c>
      <c r="U9" s="63">
        <v>46085</v>
      </c>
      <c r="V9" s="31"/>
      <c r="W9" s="6"/>
      <c r="X9" s="6"/>
      <c r="Y9" s="6"/>
      <c r="Z9" s="6"/>
      <c r="AA9" s="6"/>
      <c r="AB9" s="6"/>
      <c r="AC9" s="24"/>
      <c r="AD9" s="52">
        <v>46084.790868055556</v>
      </c>
      <c r="AE9" s="52">
        <v>46084.790868055556</v>
      </c>
      <c r="AF9" s="123">
        <v>46085.734293981484</v>
      </c>
      <c r="AG9" s="53" t="s">
        <v>82</v>
      </c>
      <c r="AH9" s="77"/>
      <c r="AI9" s="77"/>
      <c r="AJ9" s="11"/>
      <c r="AL9" s="25">
        <v>857.95</v>
      </c>
      <c r="AM9" s="91"/>
    </row>
    <row r="10" spans="1:40">
      <c r="A10" s="1">
        <v>1</v>
      </c>
      <c r="B10" s="16">
        <v>180040</v>
      </c>
      <c r="C10" s="11" t="s">
        <v>93</v>
      </c>
      <c r="D10" s="7" t="s">
        <v>47</v>
      </c>
      <c r="E10" s="11" t="s">
        <v>67</v>
      </c>
      <c r="F10" s="11" t="s">
        <v>49</v>
      </c>
      <c r="G10" s="7" t="s">
        <v>94</v>
      </c>
      <c r="H10" s="51" t="s">
        <v>95</v>
      </c>
      <c r="I10" s="50" t="s">
        <v>96</v>
      </c>
      <c r="J10" s="31"/>
      <c r="K10" s="6"/>
      <c r="L10" s="7" t="s">
        <v>97</v>
      </c>
      <c r="M10" s="6"/>
      <c r="N10" s="11" t="s">
        <v>72</v>
      </c>
      <c r="O10" s="96">
        <v>2605101685</v>
      </c>
      <c r="P10" s="315">
        <v>2605107573</v>
      </c>
      <c r="Q10" s="101" t="s">
        <v>98</v>
      </c>
      <c r="R10" s="29"/>
      <c r="S10" s="237">
        <v>46084</v>
      </c>
      <c r="T10" s="244">
        <v>4090180040</v>
      </c>
      <c r="U10" s="63">
        <v>46084</v>
      </c>
      <c r="V10" s="32"/>
      <c r="W10" s="11"/>
      <c r="X10" s="11"/>
      <c r="Y10" s="11"/>
      <c r="Z10" s="11"/>
      <c r="AA10" s="11"/>
      <c r="AB10" s="11"/>
      <c r="AC10" s="29"/>
      <c r="AD10" s="116">
        <v>46082.751284722224</v>
      </c>
      <c r="AE10" s="116">
        <v>46085.669062499997</v>
      </c>
      <c r="AF10" s="124">
        <v>46087.305219907408</v>
      </c>
      <c r="AG10" s="53" t="s">
        <v>82</v>
      </c>
      <c r="AH10" s="77"/>
      <c r="AI10" s="77"/>
      <c r="AJ10" s="11"/>
      <c r="AL10" s="25">
        <v>857.58</v>
      </c>
      <c r="AM10" s="90"/>
    </row>
    <row r="11" spans="1:40">
      <c r="A11" s="1"/>
      <c r="B11" s="16">
        <v>180056</v>
      </c>
      <c r="C11" s="11" t="s">
        <v>99</v>
      </c>
      <c r="D11" s="7" t="s">
        <v>47</v>
      </c>
      <c r="E11" s="11" t="s">
        <v>48</v>
      </c>
      <c r="F11" s="11" t="s">
        <v>49</v>
      </c>
      <c r="G11" s="7" t="s">
        <v>100</v>
      </c>
      <c r="H11" s="51" t="s">
        <v>101</v>
      </c>
      <c r="I11" s="50" t="s">
        <v>102</v>
      </c>
      <c r="J11" s="32"/>
      <c r="K11" s="11"/>
      <c r="L11" s="7" t="s">
        <v>78</v>
      </c>
      <c r="M11" s="11"/>
      <c r="N11" s="11" t="s">
        <v>72</v>
      </c>
      <c r="O11" s="96">
        <v>2605101914</v>
      </c>
      <c r="P11" s="315">
        <v>2605102768</v>
      </c>
      <c r="Q11" s="101" t="s">
        <v>103</v>
      </c>
      <c r="R11" s="29"/>
      <c r="S11" s="237">
        <v>46083</v>
      </c>
      <c r="T11" s="112">
        <v>4090180056</v>
      </c>
      <c r="U11" s="63">
        <v>46087</v>
      </c>
      <c r="V11" s="32"/>
      <c r="W11" s="11"/>
      <c r="X11" s="11"/>
      <c r="Y11" s="11"/>
      <c r="Z11" s="11"/>
      <c r="AA11" s="11"/>
      <c r="AB11" s="11"/>
      <c r="AC11" s="29"/>
      <c r="AD11" s="125">
        <v>46086.865740740737</v>
      </c>
      <c r="AE11" s="116">
        <v>46087.778796296298</v>
      </c>
      <c r="AF11" s="116">
        <v>46087.824224537035</v>
      </c>
      <c r="AG11" s="117" t="s">
        <v>82</v>
      </c>
      <c r="AH11" s="77"/>
      <c r="AI11" s="77"/>
      <c r="AJ11" s="11"/>
      <c r="AL11" s="25">
        <v>857.58</v>
      </c>
      <c r="AM11" s="90"/>
    </row>
    <row r="12" spans="1:40">
      <c r="A12" s="1"/>
      <c r="B12" s="16">
        <v>180057</v>
      </c>
      <c r="C12" s="11" t="s">
        <v>104</v>
      </c>
      <c r="D12" s="7" t="s">
        <v>47</v>
      </c>
      <c r="E12" s="11" t="s">
        <v>48</v>
      </c>
      <c r="F12" s="11" t="s">
        <v>49</v>
      </c>
      <c r="G12" s="7" t="s">
        <v>105</v>
      </c>
      <c r="H12" s="51" t="s">
        <v>106</v>
      </c>
      <c r="I12" s="50" t="s">
        <v>107</v>
      </c>
      <c r="J12" s="32"/>
      <c r="K12" s="11"/>
      <c r="L12" s="7" t="s">
        <v>78</v>
      </c>
      <c r="M12" s="11"/>
      <c r="N12" s="11" t="s">
        <v>72</v>
      </c>
      <c r="O12" s="96">
        <v>2605100691</v>
      </c>
      <c r="P12" s="315">
        <v>2605101997</v>
      </c>
      <c r="Q12" s="101" t="s">
        <v>108</v>
      </c>
      <c r="R12" s="113"/>
      <c r="S12" s="237">
        <v>46084</v>
      </c>
      <c r="T12" s="244">
        <v>4090180057</v>
      </c>
      <c r="U12" s="63">
        <v>46084</v>
      </c>
      <c r="V12" s="31"/>
      <c r="W12" s="19" t="s">
        <v>109</v>
      </c>
      <c r="X12" s="6"/>
      <c r="Y12" s="19" t="s">
        <v>109</v>
      </c>
      <c r="Z12" s="6"/>
      <c r="AA12" s="6"/>
      <c r="AB12" s="6"/>
      <c r="AC12" s="24"/>
      <c r="AD12" s="116">
        <v>46082.639456018522</v>
      </c>
      <c r="AE12" s="116">
        <v>46085.595659722225</v>
      </c>
      <c r="AF12" s="116">
        <v>46085.680081018516</v>
      </c>
      <c r="AG12" s="126" t="s">
        <v>82</v>
      </c>
      <c r="AH12" s="79"/>
      <c r="AI12" s="79"/>
      <c r="AJ12" s="11"/>
      <c r="AL12" s="25">
        <v>857.58</v>
      </c>
      <c r="AM12" s="91"/>
    </row>
    <row r="13" spans="1:40">
      <c r="A13" s="1"/>
      <c r="B13" s="16">
        <v>180059</v>
      </c>
      <c r="C13" s="11" t="s">
        <v>110</v>
      </c>
      <c r="D13" s="7" t="s">
        <v>111</v>
      </c>
      <c r="E13" s="11" t="s">
        <v>48</v>
      </c>
      <c r="F13" s="11" t="s">
        <v>49</v>
      </c>
      <c r="G13" s="7" t="s">
        <v>112</v>
      </c>
      <c r="H13" s="94" t="s">
        <v>113</v>
      </c>
      <c r="I13" s="11" t="s">
        <v>114</v>
      </c>
      <c r="J13" s="55"/>
      <c r="K13" s="17"/>
      <c r="L13" s="7" t="s">
        <v>78</v>
      </c>
      <c r="M13" s="17"/>
      <c r="N13" s="11" t="s">
        <v>72</v>
      </c>
      <c r="O13" s="96">
        <v>2605101437</v>
      </c>
      <c r="P13" s="315">
        <v>2605101999</v>
      </c>
      <c r="Q13" s="101" t="s">
        <v>115</v>
      </c>
      <c r="R13" s="235"/>
      <c r="S13" s="237">
        <v>46083</v>
      </c>
      <c r="T13" s="244">
        <v>4090180059</v>
      </c>
      <c r="U13" s="63">
        <v>46087</v>
      </c>
      <c r="V13" s="32"/>
      <c r="W13" s="11"/>
      <c r="X13" s="11"/>
      <c r="Y13" s="11"/>
      <c r="Z13" s="11"/>
      <c r="AA13" s="11"/>
      <c r="AB13" s="11"/>
      <c r="AC13" s="29"/>
      <c r="AD13" s="124">
        <v>46087.029641203706</v>
      </c>
      <c r="AE13" s="51" t="s">
        <v>62</v>
      </c>
      <c r="AF13" s="51" t="s">
        <v>62</v>
      </c>
      <c r="AG13" s="53" t="s">
        <v>63</v>
      </c>
      <c r="AH13" s="77"/>
      <c r="AI13" s="77"/>
      <c r="AJ13" s="11"/>
      <c r="AL13" s="25">
        <v>857.58</v>
      </c>
      <c r="AM13" s="90"/>
    </row>
    <row r="14" spans="1:40">
      <c r="A14" s="1"/>
      <c r="B14" s="16">
        <v>180066</v>
      </c>
      <c r="C14" s="11" t="s">
        <v>116</v>
      </c>
      <c r="D14" s="7" t="s">
        <v>47</v>
      </c>
      <c r="E14" s="11" t="s">
        <v>48</v>
      </c>
      <c r="F14" s="11" t="s">
        <v>49</v>
      </c>
      <c r="G14" s="7" t="s">
        <v>117</v>
      </c>
      <c r="H14" s="88" t="s">
        <v>118</v>
      </c>
      <c r="I14" s="54" t="s">
        <v>119</v>
      </c>
      <c r="J14" s="31"/>
      <c r="K14" s="6"/>
      <c r="L14" s="7" t="s">
        <v>97</v>
      </c>
      <c r="M14" s="6"/>
      <c r="N14" s="11" t="s">
        <v>72</v>
      </c>
      <c r="O14" s="96">
        <v>2605106858</v>
      </c>
      <c r="P14" s="315">
        <v>2605107743</v>
      </c>
      <c r="Q14" s="101" t="s">
        <v>120</v>
      </c>
      <c r="R14" s="113"/>
      <c r="S14" s="237">
        <v>46085</v>
      </c>
      <c r="T14" s="244">
        <v>4090180066</v>
      </c>
      <c r="U14" s="63"/>
      <c r="V14" s="32"/>
      <c r="W14" s="11"/>
      <c r="X14" s="20"/>
      <c r="Y14" s="11"/>
      <c r="Z14" s="20"/>
      <c r="AA14" s="11"/>
      <c r="AB14" s="11"/>
      <c r="AC14" s="27"/>
      <c r="AD14" s="51"/>
      <c r="AE14" s="51"/>
      <c r="AF14" s="51"/>
      <c r="AG14" s="53"/>
      <c r="AH14" s="77"/>
      <c r="AI14" s="77"/>
      <c r="AJ14" s="11"/>
      <c r="AL14" s="25">
        <v>857.58</v>
      </c>
      <c r="AM14" s="90"/>
    </row>
    <row r="15" spans="1:40">
      <c r="A15" s="1"/>
      <c r="B15" s="16">
        <v>180067</v>
      </c>
      <c r="C15" s="11" t="s">
        <v>121</v>
      </c>
      <c r="D15" s="7" t="s">
        <v>111</v>
      </c>
      <c r="E15" s="11" t="s">
        <v>48</v>
      </c>
      <c r="F15" s="11" t="s">
        <v>49</v>
      </c>
      <c r="G15" s="7" t="s">
        <v>122</v>
      </c>
      <c r="H15" s="82" t="s">
        <v>123</v>
      </c>
      <c r="I15" s="20" t="s">
        <v>124</v>
      </c>
      <c r="J15" s="33"/>
      <c r="K15" s="20"/>
      <c r="L15" s="7" t="s">
        <v>78</v>
      </c>
      <c r="M15" s="20"/>
      <c r="N15" s="11" t="s">
        <v>72</v>
      </c>
      <c r="O15" s="96">
        <v>2605100503</v>
      </c>
      <c r="P15" s="315">
        <v>2605102001</v>
      </c>
      <c r="Q15" s="101" t="s">
        <v>125</v>
      </c>
      <c r="R15" s="29"/>
      <c r="S15" s="237">
        <v>46083</v>
      </c>
      <c r="T15" s="244">
        <v>4090180067</v>
      </c>
      <c r="U15" s="63"/>
      <c r="V15" s="32"/>
      <c r="W15" s="19" t="s">
        <v>109</v>
      </c>
      <c r="X15" s="20"/>
      <c r="Y15" s="19" t="s">
        <v>109</v>
      </c>
      <c r="Z15" s="20"/>
      <c r="AA15" s="11"/>
      <c r="AB15" s="11"/>
      <c r="AC15" s="27"/>
      <c r="AD15" s="94"/>
      <c r="AE15" s="94"/>
      <c r="AF15" s="94"/>
      <c r="AG15" s="53"/>
      <c r="AH15" s="77"/>
      <c r="AI15" s="77"/>
      <c r="AJ15" s="11"/>
      <c r="AL15" s="25">
        <v>857.58</v>
      </c>
      <c r="AM15" s="90"/>
    </row>
    <row r="16" spans="1:40">
      <c r="A16" s="1"/>
      <c r="B16" s="16">
        <v>180070</v>
      </c>
      <c r="C16" s="11" t="s">
        <v>126</v>
      </c>
      <c r="D16" s="7" t="s">
        <v>47</v>
      </c>
      <c r="E16" s="11" t="s">
        <v>67</v>
      </c>
      <c r="F16" s="11" t="s">
        <v>49</v>
      </c>
      <c r="G16" s="7" t="s">
        <v>127</v>
      </c>
      <c r="H16" s="51" t="s">
        <v>128</v>
      </c>
      <c r="I16" s="50" t="s">
        <v>129</v>
      </c>
      <c r="J16" s="33"/>
      <c r="K16" s="20"/>
      <c r="L16" s="7" t="s">
        <v>78</v>
      </c>
      <c r="M16" s="20"/>
      <c r="N16" s="11" t="s">
        <v>72</v>
      </c>
      <c r="O16" s="96">
        <v>2605106749</v>
      </c>
      <c r="P16" s="315">
        <v>2605107710</v>
      </c>
      <c r="Q16" s="101" t="s">
        <v>130</v>
      </c>
      <c r="R16" s="29"/>
      <c r="S16" s="237">
        <v>46085</v>
      </c>
      <c r="T16" s="244">
        <v>4090180070</v>
      </c>
      <c r="U16" s="63">
        <v>46085</v>
      </c>
      <c r="V16" s="32"/>
      <c r="W16" s="11"/>
      <c r="X16" s="20"/>
      <c r="Y16" s="11"/>
      <c r="Z16" s="20"/>
      <c r="AA16" s="11"/>
      <c r="AB16" s="11"/>
      <c r="AC16" s="27"/>
      <c r="AD16" s="52">
        <v>46083.876631944448</v>
      </c>
      <c r="AE16" s="52">
        <v>46085.770775462966</v>
      </c>
      <c r="AF16" s="116">
        <v>46087.751863425925</v>
      </c>
      <c r="AG16" s="53" t="s">
        <v>63</v>
      </c>
      <c r="AH16" s="77"/>
      <c r="AI16" s="77"/>
      <c r="AJ16" s="11"/>
      <c r="AL16" s="25">
        <v>857.58</v>
      </c>
      <c r="AM16" s="90"/>
    </row>
    <row r="17" spans="1:39">
      <c r="A17" s="1"/>
      <c r="B17" s="16">
        <v>180072</v>
      </c>
      <c r="C17" s="11" t="s">
        <v>131</v>
      </c>
      <c r="D17" s="7" t="s">
        <v>47</v>
      </c>
      <c r="E17" s="11" t="s">
        <v>67</v>
      </c>
      <c r="F17" s="11" t="s">
        <v>49</v>
      </c>
      <c r="G17" s="7" t="s">
        <v>132</v>
      </c>
      <c r="H17" s="94" t="s">
        <v>133</v>
      </c>
      <c r="I17" s="11" t="s">
        <v>134</v>
      </c>
      <c r="J17" s="33"/>
      <c r="K17" s="20"/>
      <c r="L17" s="7" t="s">
        <v>78</v>
      </c>
      <c r="M17" s="20"/>
      <c r="N17" s="11" t="s">
        <v>72</v>
      </c>
      <c r="O17" s="96">
        <v>2605104506</v>
      </c>
      <c r="P17" s="315">
        <v>2605105058</v>
      </c>
      <c r="Q17" s="101" t="s">
        <v>135</v>
      </c>
      <c r="R17" s="29"/>
      <c r="S17" s="237">
        <v>46085</v>
      </c>
      <c r="T17" s="244">
        <v>4090180072</v>
      </c>
      <c r="U17" s="63">
        <v>46085</v>
      </c>
      <c r="V17" s="32"/>
      <c r="W17" s="11"/>
      <c r="X17" s="20"/>
      <c r="Y17" s="11"/>
      <c r="Z17" s="20"/>
      <c r="AA17" s="11"/>
      <c r="AB17" s="11"/>
      <c r="AC17" s="27"/>
      <c r="AD17" s="52">
        <v>46084.793206018519</v>
      </c>
      <c r="AE17" s="52">
        <v>46085.747789351852</v>
      </c>
      <c r="AF17" s="94" t="s">
        <v>62</v>
      </c>
      <c r="AG17" s="117" t="s">
        <v>63</v>
      </c>
      <c r="AH17" s="77"/>
      <c r="AI17" s="77"/>
      <c r="AJ17" s="11"/>
      <c r="AL17" s="25">
        <v>857.58</v>
      </c>
      <c r="AM17" s="90"/>
    </row>
    <row r="18" spans="1:39">
      <c r="A18" s="1"/>
      <c r="B18" s="16">
        <v>180073</v>
      </c>
      <c r="C18" s="11" t="s">
        <v>136</v>
      </c>
      <c r="D18" s="7" t="s">
        <v>47</v>
      </c>
      <c r="E18" s="11" t="s">
        <v>67</v>
      </c>
      <c r="F18" s="11" t="s">
        <v>49</v>
      </c>
      <c r="G18" s="7" t="s">
        <v>137</v>
      </c>
      <c r="H18" s="94" t="s">
        <v>138</v>
      </c>
      <c r="I18" s="20" t="s">
        <v>139</v>
      </c>
      <c r="J18" s="33"/>
      <c r="K18" s="20"/>
      <c r="L18" s="7" t="s">
        <v>78</v>
      </c>
      <c r="M18" s="20"/>
      <c r="N18" s="11" t="s">
        <v>72</v>
      </c>
      <c r="O18" s="96">
        <v>2605103079</v>
      </c>
      <c r="P18" s="39">
        <v>2605105078</v>
      </c>
      <c r="Q18" s="101" t="s">
        <v>140</v>
      </c>
      <c r="R18" s="29"/>
      <c r="S18" s="237">
        <v>46083</v>
      </c>
      <c r="T18" s="244">
        <v>4090180073</v>
      </c>
      <c r="U18" s="63">
        <v>46085</v>
      </c>
      <c r="V18" s="32"/>
      <c r="W18" s="11"/>
      <c r="X18" s="20"/>
      <c r="Y18" s="11"/>
      <c r="Z18" s="20"/>
      <c r="AA18" s="11"/>
      <c r="AB18" s="11"/>
      <c r="AC18" s="27"/>
      <c r="AD18" s="52">
        <v>46084.767557870371</v>
      </c>
      <c r="AE18" s="116">
        <v>46085.597418981481</v>
      </c>
      <c r="AF18" s="120">
        <v>46087.810104166667</v>
      </c>
      <c r="AG18" s="127" t="s">
        <v>82</v>
      </c>
      <c r="AH18" s="77"/>
      <c r="AI18" s="77"/>
      <c r="AJ18" s="11"/>
      <c r="AL18" s="25">
        <v>857.58</v>
      </c>
      <c r="AM18" s="90"/>
    </row>
    <row r="19" spans="1:39">
      <c r="A19" s="1"/>
      <c r="B19" s="16">
        <v>180074</v>
      </c>
      <c r="C19" s="11" t="s">
        <v>141</v>
      </c>
      <c r="D19" s="7" t="s">
        <v>47</v>
      </c>
      <c r="E19" s="11" t="s">
        <v>48</v>
      </c>
      <c r="F19" s="11" t="s">
        <v>49</v>
      </c>
      <c r="G19" s="7" t="s">
        <v>142</v>
      </c>
      <c r="H19" s="94" t="s">
        <v>143</v>
      </c>
      <c r="I19" s="11" t="s">
        <v>144</v>
      </c>
      <c r="J19" s="33"/>
      <c r="K19" s="20"/>
      <c r="L19" s="7" t="s">
        <v>78</v>
      </c>
      <c r="M19" s="20"/>
      <c r="N19" s="11" t="s">
        <v>72</v>
      </c>
      <c r="O19" s="96">
        <v>2605103668</v>
      </c>
      <c r="P19" s="39">
        <v>2605105134</v>
      </c>
      <c r="Q19" s="101" t="s">
        <v>145</v>
      </c>
      <c r="R19" s="29"/>
      <c r="S19" s="237">
        <v>46084</v>
      </c>
      <c r="T19" s="244">
        <v>4090180074</v>
      </c>
      <c r="U19" s="63">
        <v>46087</v>
      </c>
      <c r="V19" s="32"/>
      <c r="W19" s="19" t="s">
        <v>146</v>
      </c>
      <c r="X19" s="20"/>
      <c r="Y19" s="19" t="s">
        <v>146</v>
      </c>
      <c r="Z19" s="20"/>
      <c r="AA19" s="11"/>
      <c r="AB19" s="11"/>
      <c r="AC19" s="27"/>
      <c r="AD19" s="52">
        <v>46087.570914351854</v>
      </c>
      <c r="AE19" s="51" t="s">
        <v>62</v>
      </c>
      <c r="AF19" s="117" t="s">
        <v>62</v>
      </c>
      <c r="AG19" s="117" t="s">
        <v>63</v>
      </c>
      <c r="AH19" s="77"/>
      <c r="AI19" s="77"/>
      <c r="AJ19" s="11"/>
      <c r="AL19" s="25">
        <v>857.58</v>
      </c>
      <c r="AM19" s="90"/>
    </row>
    <row r="20" spans="1:39">
      <c r="A20" s="1"/>
      <c r="B20" s="16">
        <v>180075</v>
      </c>
      <c r="C20" s="11" t="s">
        <v>147</v>
      </c>
      <c r="D20" s="7" t="s">
        <v>47</v>
      </c>
      <c r="E20" s="11" t="s">
        <v>48</v>
      </c>
      <c r="F20" s="11" t="s">
        <v>49</v>
      </c>
      <c r="G20" s="7" t="s">
        <v>148</v>
      </c>
      <c r="H20" s="94" t="s">
        <v>149</v>
      </c>
      <c r="I20" s="11" t="s">
        <v>149</v>
      </c>
      <c r="J20" s="33"/>
      <c r="K20" s="20"/>
      <c r="L20" s="7" t="s">
        <v>78</v>
      </c>
      <c r="M20" s="20"/>
      <c r="N20" s="11" t="s">
        <v>72</v>
      </c>
      <c r="O20" s="96">
        <v>2605102035</v>
      </c>
      <c r="P20" s="315">
        <v>2605102626</v>
      </c>
      <c r="Q20" s="101" t="s">
        <v>150</v>
      </c>
      <c r="R20" s="29"/>
      <c r="S20" s="237">
        <v>46083</v>
      </c>
      <c r="T20" s="244">
        <v>4090180075</v>
      </c>
      <c r="U20" s="63"/>
      <c r="V20" s="32"/>
      <c r="W20" s="11"/>
      <c r="X20" s="20"/>
      <c r="Y20" s="11"/>
      <c r="Z20" s="20"/>
      <c r="AA20" s="11"/>
      <c r="AB20" s="11"/>
      <c r="AC20" s="27"/>
      <c r="AD20" s="116">
        <v>46087.64466435185</v>
      </c>
      <c r="AE20" s="94" t="s">
        <v>62</v>
      </c>
      <c r="AF20" s="51" t="s">
        <v>62</v>
      </c>
      <c r="AG20" s="129" t="s">
        <v>63</v>
      </c>
      <c r="AH20" s="77"/>
      <c r="AI20" s="77"/>
      <c r="AJ20" s="11"/>
      <c r="AL20" s="25">
        <v>857.58</v>
      </c>
      <c r="AM20" s="90"/>
    </row>
    <row r="21" spans="1:39">
      <c r="A21" s="1"/>
      <c r="B21" s="16">
        <v>180109</v>
      </c>
      <c r="C21" s="11" t="s">
        <v>151</v>
      </c>
      <c r="D21" s="7" t="s">
        <v>47</v>
      </c>
      <c r="E21" s="11" t="s">
        <v>67</v>
      </c>
      <c r="F21" s="11" t="s">
        <v>49</v>
      </c>
      <c r="G21" s="7" t="s">
        <v>152</v>
      </c>
      <c r="H21" s="94" t="s">
        <v>153</v>
      </c>
      <c r="I21" s="11" t="s">
        <v>154</v>
      </c>
      <c r="J21" s="33"/>
      <c r="K21" s="20"/>
      <c r="L21" s="7" t="s">
        <v>155</v>
      </c>
      <c r="M21" s="20"/>
      <c r="N21" s="11" t="s">
        <v>72</v>
      </c>
      <c r="O21" s="96">
        <v>2605103273</v>
      </c>
      <c r="P21" s="315">
        <v>2605104792</v>
      </c>
      <c r="Q21" s="101" t="s">
        <v>156</v>
      </c>
      <c r="R21" s="29"/>
      <c r="S21" s="237">
        <v>46084</v>
      </c>
      <c r="T21" s="244">
        <v>4090180109</v>
      </c>
      <c r="U21" s="63"/>
      <c r="V21" s="32"/>
      <c r="W21" s="11"/>
      <c r="X21" s="20"/>
      <c r="Y21" s="11"/>
      <c r="Z21" s="20"/>
      <c r="AA21" s="11"/>
      <c r="AB21" s="11"/>
      <c r="AC21" s="27"/>
      <c r="AD21" s="119">
        <v>46087.402025462965</v>
      </c>
      <c r="AE21" s="120">
        <v>46087.777962962966</v>
      </c>
      <c r="AF21" s="94" t="s">
        <v>62</v>
      </c>
      <c r="AG21" s="127" t="s">
        <v>63</v>
      </c>
      <c r="AH21" s="77"/>
      <c r="AI21" s="77"/>
      <c r="AJ21" s="11"/>
      <c r="AL21" s="25">
        <v>857.58</v>
      </c>
      <c r="AM21" s="90"/>
    </row>
    <row r="22" spans="1:39">
      <c r="A22" s="1"/>
      <c r="B22" s="16">
        <v>180110</v>
      </c>
      <c r="C22" s="11" t="s">
        <v>157</v>
      </c>
      <c r="D22" s="7" t="s">
        <v>47</v>
      </c>
      <c r="E22" s="11" t="s">
        <v>48</v>
      </c>
      <c r="F22" s="11" t="s">
        <v>49</v>
      </c>
      <c r="G22" s="7" t="s">
        <v>158</v>
      </c>
      <c r="H22" s="51" t="s">
        <v>159</v>
      </c>
      <c r="I22" s="50" t="s">
        <v>160</v>
      </c>
      <c r="J22" s="33"/>
      <c r="K22" s="20"/>
      <c r="L22" s="7" t="s">
        <v>78</v>
      </c>
      <c r="M22" s="20"/>
      <c r="N22" s="11" t="s">
        <v>72</v>
      </c>
      <c r="O22" s="96">
        <v>2605107269</v>
      </c>
      <c r="P22" s="315">
        <v>2605110378</v>
      </c>
      <c r="Q22" s="100" t="s">
        <v>161</v>
      </c>
      <c r="R22" s="29"/>
      <c r="S22" s="237">
        <v>46085</v>
      </c>
      <c r="T22" s="244">
        <v>4090180110</v>
      </c>
      <c r="U22" s="63">
        <v>46087</v>
      </c>
      <c r="V22" s="32"/>
      <c r="W22" s="11"/>
      <c r="X22" s="20"/>
      <c r="Y22" s="11"/>
      <c r="Z22" s="20"/>
      <c r="AA22" s="11"/>
      <c r="AB22" s="11"/>
      <c r="AC22" s="27"/>
      <c r="AD22" s="121">
        <v>46086.751331018517</v>
      </c>
      <c r="AE22" s="130">
        <v>46087.777962962966</v>
      </c>
      <c r="AF22" s="117" t="s">
        <v>62</v>
      </c>
      <c r="AG22" s="117" t="s">
        <v>63</v>
      </c>
      <c r="AH22" s="17"/>
      <c r="AI22" s="17"/>
      <c r="AJ22" s="11"/>
      <c r="AL22" s="25">
        <v>857.58</v>
      </c>
      <c r="AM22" s="90"/>
    </row>
    <row r="23" spans="1:39">
      <c r="B23" s="16">
        <v>180112</v>
      </c>
      <c r="C23" s="6" t="s">
        <v>162</v>
      </c>
      <c r="D23" s="7" t="s">
        <v>47</v>
      </c>
      <c r="E23" s="6" t="s">
        <v>48</v>
      </c>
      <c r="F23" s="11" t="s">
        <v>49</v>
      </c>
      <c r="G23" s="7" t="s">
        <v>163</v>
      </c>
      <c r="H23" s="51" t="s">
        <v>164</v>
      </c>
      <c r="I23" s="50" t="s">
        <v>165</v>
      </c>
      <c r="J23" s="31"/>
      <c r="K23" s="6"/>
      <c r="L23" s="7" t="s">
        <v>97</v>
      </c>
      <c r="M23" s="6"/>
      <c r="N23" s="6" t="s">
        <v>72</v>
      </c>
      <c r="O23" s="96">
        <v>2605107217</v>
      </c>
      <c r="P23" s="315">
        <v>2605110317</v>
      </c>
      <c r="Q23" s="64" t="s">
        <v>166</v>
      </c>
      <c r="R23" s="24"/>
      <c r="S23" s="237">
        <v>46085</v>
      </c>
      <c r="T23" s="244">
        <v>4090180112</v>
      </c>
      <c r="U23" s="63">
        <v>46087</v>
      </c>
      <c r="V23" s="31"/>
      <c r="W23" s="6"/>
      <c r="X23" s="6"/>
      <c r="Y23" s="6"/>
      <c r="Z23" s="6"/>
      <c r="AA23" s="6"/>
      <c r="AB23" s="6"/>
      <c r="AC23" s="24"/>
      <c r="AD23" s="131">
        <v>46087.459421296298</v>
      </c>
      <c r="AE23" s="132">
        <v>46087.787546296298</v>
      </c>
      <c r="AF23" s="43" t="s">
        <v>62</v>
      </c>
      <c r="AG23" s="133" t="s">
        <v>63</v>
      </c>
      <c r="AH23" s="80"/>
      <c r="AI23" s="80"/>
      <c r="AL23" s="25">
        <v>857.58</v>
      </c>
      <c r="AM23" s="91"/>
    </row>
    <row r="24" spans="1:39">
      <c r="B24" s="16">
        <v>180114</v>
      </c>
      <c r="C24" s="6" t="s">
        <v>167</v>
      </c>
      <c r="D24" s="7" t="s">
        <v>111</v>
      </c>
      <c r="E24" s="6" t="s">
        <v>48</v>
      </c>
      <c r="F24" s="11" t="s">
        <v>49</v>
      </c>
      <c r="G24" s="7" t="s">
        <v>168</v>
      </c>
      <c r="H24" s="94" t="s">
        <v>169</v>
      </c>
      <c r="I24" s="11" t="s">
        <v>170</v>
      </c>
      <c r="J24" s="31"/>
      <c r="K24" s="6"/>
      <c r="L24" s="7" t="s">
        <v>155</v>
      </c>
      <c r="M24" s="6"/>
      <c r="N24" s="6" t="s">
        <v>72</v>
      </c>
      <c r="O24" s="67">
        <v>2605107322</v>
      </c>
      <c r="P24" s="315">
        <v>2605110277</v>
      </c>
      <c r="Q24" s="100" t="s">
        <v>171</v>
      </c>
      <c r="R24" s="24"/>
      <c r="S24" s="237">
        <v>46085</v>
      </c>
      <c r="T24" s="244">
        <v>4090180114</v>
      </c>
      <c r="U24" s="63"/>
      <c r="V24" s="31"/>
      <c r="W24" s="6"/>
      <c r="X24" s="6"/>
      <c r="Y24" s="6"/>
      <c r="Z24" s="6"/>
      <c r="AA24" s="6"/>
      <c r="AB24" s="6"/>
      <c r="AC24" s="24"/>
      <c r="AD24" s="118">
        <v>46087.438958333332</v>
      </c>
      <c r="AE24" s="118">
        <v>46087.776701388888</v>
      </c>
      <c r="AF24" s="118">
        <v>46088.412118055552</v>
      </c>
      <c r="AG24" s="316" t="s">
        <v>82</v>
      </c>
      <c r="AH24" s="80"/>
      <c r="AI24" s="80"/>
      <c r="AL24" s="25">
        <v>857.58</v>
      </c>
      <c r="AM24" s="91"/>
    </row>
    <row r="25" spans="1:39">
      <c r="B25" s="16">
        <v>180115</v>
      </c>
      <c r="C25" s="6" t="s">
        <v>172</v>
      </c>
      <c r="D25" s="7" t="s">
        <v>47</v>
      </c>
      <c r="E25" s="6" t="s">
        <v>67</v>
      </c>
      <c r="F25" s="11" t="s">
        <v>49</v>
      </c>
      <c r="G25" s="7" t="s">
        <v>173</v>
      </c>
      <c r="H25" s="315"/>
      <c r="I25" s="317"/>
      <c r="J25" s="31"/>
      <c r="K25" s="6"/>
      <c r="L25" s="7" t="s">
        <v>78</v>
      </c>
      <c r="M25" s="6"/>
      <c r="N25" s="26" t="s">
        <v>72</v>
      </c>
      <c r="O25" s="97">
        <v>2605103977</v>
      </c>
      <c r="P25" s="315">
        <v>2605104765</v>
      </c>
      <c r="Q25" s="102" t="s">
        <v>174</v>
      </c>
      <c r="R25" s="37"/>
      <c r="S25" s="237">
        <v>46084</v>
      </c>
      <c r="T25" s="244">
        <v>4090180115</v>
      </c>
      <c r="U25" s="63"/>
      <c r="V25" s="31"/>
      <c r="W25" s="6"/>
      <c r="X25" s="6"/>
      <c r="Y25" s="6"/>
      <c r="Z25" s="6"/>
      <c r="AA25" s="6"/>
      <c r="AB25" s="6"/>
      <c r="AC25" s="24"/>
      <c r="AD25" s="315"/>
      <c r="AE25" s="315"/>
      <c r="AF25" s="315"/>
      <c r="AG25" s="316"/>
      <c r="AH25" s="80"/>
      <c r="AI25" s="80"/>
      <c r="AL25" s="25">
        <v>857.58</v>
      </c>
      <c r="AM25" s="91"/>
    </row>
    <row r="26" spans="1:39">
      <c r="B26" s="16">
        <v>180133</v>
      </c>
      <c r="C26" s="6" t="s">
        <v>175</v>
      </c>
      <c r="D26" s="7" t="s">
        <v>111</v>
      </c>
      <c r="E26" s="6" t="s">
        <v>48</v>
      </c>
      <c r="F26" s="11" t="s">
        <v>49</v>
      </c>
      <c r="G26" s="7" t="s">
        <v>176</v>
      </c>
      <c r="H26" s="39" t="s">
        <v>177</v>
      </c>
      <c r="I26" s="6" t="s">
        <v>178</v>
      </c>
      <c r="J26" s="31"/>
      <c r="K26" s="6"/>
      <c r="L26" s="7" t="s">
        <v>97</v>
      </c>
      <c r="M26" s="24"/>
      <c r="N26" s="6" t="s">
        <v>72</v>
      </c>
      <c r="O26" s="67">
        <v>2605108712</v>
      </c>
      <c r="P26" s="315">
        <v>2605110144</v>
      </c>
      <c r="Q26" s="101" t="s">
        <v>179</v>
      </c>
      <c r="R26" s="41"/>
      <c r="S26" s="237">
        <v>46085</v>
      </c>
      <c r="T26" s="244">
        <v>4090180133</v>
      </c>
      <c r="U26" s="63"/>
      <c r="V26" s="31"/>
      <c r="W26" s="6"/>
      <c r="X26" s="6"/>
      <c r="Y26" s="6"/>
      <c r="Z26" s="6"/>
      <c r="AA26" s="6"/>
      <c r="AB26" s="6"/>
      <c r="AC26" s="24"/>
      <c r="AD26" s="39"/>
      <c r="AE26" s="39"/>
      <c r="AF26" s="315"/>
      <c r="AG26" s="316"/>
      <c r="AH26" s="80"/>
      <c r="AI26" s="80"/>
      <c r="AL26" s="25">
        <v>857.58</v>
      </c>
      <c r="AM26" s="91"/>
    </row>
    <row r="27" spans="1:39">
      <c r="B27" s="16">
        <v>180136</v>
      </c>
      <c r="C27" s="6" t="s">
        <v>180</v>
      </c>
      <c r="D27" s="7" t="s">
        <v>66</v>
      </c>
      <c r="E27" s="6" t="s">
        <v>48</v>
      </c>
      <c r="F27" s="11" t="s">
        <v>49</v>
      </c>
      <c r="G27" s="7" t="s">
        <v>181</v>
      </c>
      <c r="H27" s="51" t="s">
        <v>182</v>
      </c>
      <c r="I27" s="50" t="s">
        <v>183</v>
      </c>
      <c r="J27" s="31"/>
      <c r="K27" s="6"/>
      <c r="L27" s="7" t="s">
        <v>97</v>
      </c>
      <c r="M27" s="24"/>
      <c r="N27" s="6" t="s">
        <v>72</v>
      </c>
      <c r="O27" s="67">
        <v>2605109923</v>
      </c>
      <c r="P27" s="315">
        <v>2605112548</v>
      </c>
      <c r="Q27" s="101" t="s">
        <v>184</v>
      </c>
      <c r="R27" s="41"/>
      <c r="S27" s="237">
        <v>46086</v>
      </c>
      <c r="T27" s="244">
        <v>4090180136</v>
      </c>
      <c r="U27" s="63">
        <v>46087</v>
      </c>
      <c r="V27" s="31"/>
      <c r="W27" s="6"/>
      <c r="X27" s="6"/>
      <c r="Y27" s="6"/>
      <c r="Z27" s="6"/>
      <c r="AA27" s="6"/>
      <c r="AB27" s="6"/>
      <c r="AC27" s="24"/>
      <c r="AD27" s="118">
        <v>46086.937673611108</v>
      </c>
      <c r="AE27" s="118">
        <v>46087.776747685188</v>
      </c>
      <c r="AF27" s="39" t="s">
        <v>62</v>
      </c>
      <c r="AG27" s="98" t="s">
        <v>63</v>
      </c>
      <c r="AH27" s="80"/>
      <c r="AI27" s="80"/>
      <c r="AL27" s="25">
        <v>857.58</v>
      </c>
      <c r="AM27" s="91"/>
    </row>
    <row r="28" spans="1:39">
      <c r="B28" s="16">
        <v>180137</v>
      </c>
      <c r="C28" s="6" t="s">
        <v>185</v>
      </c>
      <c r="D28" s="7" t="s">
        <v>47</v>
      </c>
      <c r="E28" s="6" t="s">
        <v>48</v>
      </c>
      <c r="F28" s="11" t="s">
        <v>49</v>
      </c>
      <c r="G28" s="7" t="s">
        <v>186</v>
      </c>
      <c r="H28" s="94" t="s">
        <v>187</v>
      </c>
      <c r="I28" s="11" t="s">
        <v>188</v>
      </c>
      <c r="J28" s="31"/>
      <c r="K28" s="6"/>
      <c r="L28" s="7" t="s">
        <v>78</v>
      </c>
      <c r="M28" s="24"/>
      <c r="N28" s="6" t="s">
        <v>72</v>
      </c>
      <c r="O28" s="96">
        <v>2605106196</v>
      </c>
      <c r="P28" s="224">
        <v>2605107984</v>
      </c>
      <c r="Q28" s="101" t="s">
        <v>189</v>
      </c>
      <c r="R28" s="41"/>
      <c r="S28" s="237">
        <v>46085</v>
      </c>
      <c r="T28" s="244">
        <v>4090180137</v>
      </c>
      <c r="U28" s="63">
        <v>46085</v>
      </c>
      <c r="V28" s="31"/>
      <c r="W28" s="6"/>
      <c r="X28" s="6"/>
      <c r="Y28" s="6"/>
      <c r="Z28" s="6"/>
      <c r="AA28" s="6"/>
      <c r="AB28" s="6"/>
      <c r="AC28" s="24"/>
      <c r="AD28" s="116">
        <v>46082.574502314812</v>
      </c>
      <c r="AE28" s="116">
        <v>46085.756076388891</v>
      </c>
      <c r="AF28" s="116">
        <v>46085.835439814815</v>
      </c>
      <c r="AG28" s="117" t="s">
        <v>82</v>
      </c>
      <c r="AH28" s="77"/>
      <c r="AI28" s="77"/>
      <c r="AL28" s="25">
        <v>857.58</v>
      </c>
      <c r="AM28" s="91"/>
    </row>
    <row r="29" spans="1:39">
      <c r="B29" s="16">
        <v>180139</v>
      </c>
      <c r="C29" s="6" t="s">
        <v>190</v>
      </c>
      <c r="D29" s="7" t="s">
        <v>47</v>
      </c>
      <c r="E29" s="6" t="s">
        <v>48</v>
      </c>
      <c r="F29" s="11" t="s">
        <v>49</v>
      </c>
      <c r="G29" s="7" t="s">
        <v>191</v>
      </c>
      <c r="H29" s="39" t="s">
        <v>192</v>
      </c>
      <c r="I29" s="6" t="s">
        <v>193</v>
      </c>
      <c r="J29" s="31"/>
      <c r="K29" s="6"/>
      <c r="L29" s="7" t="s">
        <v>78</v>
      </c>
      <c r="M29" s="24"/>
      <c r="N29" s="6" t="s">
        <v>72</v>
      </c>
      <c r="O29" s="96">
        <v>2605109152</v>
      </c>
      <c r="P29" s="315">
        <v>2605110090</v>
      </c>
      <c r="Q29" s="100" t="s">
        <v>194</v>
      </c>
      <c r="R29" s="41"/>
      <c r="S29" s="237">
        <v>46086</v>
      </c>
      <c r="T29" s="244">
        <v>4090180139</v>
      </c>
      <c r="U29" s="63"/>
      <c r="V29" s="31"/>
      <c r="W29" s="6"/>
      <c r="X29" s="6"/>
      <c r="Y29" s="6"/>
      <c r="Z29" s="6"/>
      <c r="AA29" s="6"/>
      <c r="AB29" s="6"/>
      <c r="AC29" s="24"/>
      <c r="AD29" s="39"/>
      <c r="AE29" s="315"/>
      <c r="AF29" s="315"/>
      <c r="AG29" s="134"/>
      <c r="AH29" s="81"/>
      <c r="AI29" s="81"/>
      <c r="AL29" s="25">
        <v>857.58</v>
      </c>
      <c r="AM29" s="91"/>
    </row>
    <row r="30" spans="1:39">
      <c r="B30" s="16">
        <v>180145</v>
      </c>
      <c r="C30" s="6" t="s">
        <v>195</v>
      </c>
      <c r="D30" s="7" t="s">
        <v>47</v>
      </c>
      <c r="E30" s="6" t="s">
        <v>48</v>
      </c>
      <c r="F30" s="11" t="s">
        <v>49</v>
      </c>
      <c r="G30" s="7" t="s">
        <v>196</v>
      </c>
      <c r="H30" s="51" t="s">
        <v>197</v>
      </c>
      <c r="I30" s="50" t="s">
        <v>198</v>
      </c>
      <c r="J30" s="31"/>
      <c r="K30" s="6"/>
      <c r="L30" s="7" t="s">
        <v>78</v>
      </c>
      <c r="M30" s="24"/>
      <c r="N30" s="6" t="s">
        <v>72</v>
      </c>
      <c r="O30" s="96">
        <v>2605109255</v>
      </c>
      <c r="P30" s="315">
        <v>2605110037</v>
      </c>
      <c r="Q30" s="100" t="s">
        <v>199</v>
      </c>
      <c r="S30" s="237">
        <v>46086</v>
      </c>
      <c r="T30" s="244">
        <v>4090180145</v>
      </c>
      <c r="U30" s="63">
        <v>46088</v>
      </c>
      <c r="V30" s="31"/>
      <c r="W30" s="6"/>
      <c r="X30" s="6"/>
      <c r="Y30" s="6"/>
      <c r="Z30" s="6"/>
      <c r="AA30" s="6"/>
      <c r="AB30" s="6"/>
      <c r="AC30" s="24"/>
      <c r="AD30" s="118">
        <v>46087.548402777778</v>
      </c>
      <c r="AE30" s="39" t="s">
        <v>62</v>
      </c>
      <c r="AF30" s="39" t="s">
        <v>62</v>
      </c>
      <c r="AG30" s="53" t="s">
        <v>63</v>
      </c>
      <c r="AH30" s="80"/>
      <c r="AI30" s="80"/>
      <c r="AL30" s="25">
        <v>857.58</v>
      </c>
      <c r="AM30" s="91"/>
    </row>
    <row r="31" spans="1:39">
      <c r="B31" s="16">
        <v>180146</v>
      </c>
      <c r="C31" s="6" t="s">
        <v>200</v>
      </c>
      <c r="D31" s="7" t="s">
        <v>47</v>
      </c>
      <c r="E31" s="6" t="s">
        <v>201</v>
      </c>
      <c r="F31" s="11" t="s">
        <v>49</v>
      </c>
      <c r="G31" s="7" t="s">
        <v>202</v>
      </c>
      <c r="H31" s="51" t="s">
        <v>203</v>
      </c>
      <c r="I31" s="50" t="s">
        <v>204</v>
      </c>
      <c r="J31" s="31"/>
      <c r="K31" s="6"/>
      <c r="L31" s="7" t="s">
        <v>78</v>
      </c>
      <c r="M31" s="24"/>
      <c r="N31" s="6" t="s">
        <v>72</v>
      </c>
      <c r="O31" s="96">
        <v>2605109265</v>
      </c>
      <c r="P31" s="315">
        <v>2605110562</v>
      </c>
      <c r="Q31" s="101" t="s">
        <v>205</v>
      </c>
      <c r="R31" s="41"/>
      <c r="S31" s="237">
        <v>46086</v>
      </c>
      <c r="T31" s="244">
        <v>4090180146</v>
      </c>
      <c r="U31" s="63">
        <v>46086</v>
      </c>
      <c r="V31" s="31"/>
      <c r="W31" s="6"/>
      <c r="X31" s="6"/>
      <c r="Y31" s="6"/>
      <c r="Z31" s="6"/>
      <c r="AA31" s="6"/>
      <c r="AB31" s="6"/>
      <c r="AC31" s="24"/>
      <c r="AD31" s="52">
        <v>46084.560254629629</v>
      </c>
      <c r="AE31" s="118">
        <v>46086.739374999997</v>
      </c>
      <c r="AF31" s="121">
        <v>46086.837060185186</v>
      </c>
      <c r="AG31" s="53" t="s">
        <v>82</v>
      </c>
      <c r="AH31" s="77"/>
      <c r="AI31" s="77"/>
      <c r="AL31" s="25">
        <v>857.58</v>
      </c>
      <c r="AM31" s="91"/>
    </row>
    <row r="32" spans="1:39">
      <c r="B32" s="16">
        <v>180147</v>
      </c>
      <c r="C32" s="6" t="s">
        <v>206</v>
      </c>
      <c r="D32" s="7" t="s">
        <v>47</v>
      </c>
      <c r="E32" s="6" t="s">
        <v>201</v>
      </c>
      <c r="F32" s="11" t="s">
        <v>49</v>
      </c>
      <c r="G32" s="7" t="s">
        <v>207</v>
      </c>
      <c r="H32" s="94" t="s">
        <v>208</v>
      </c>
      <c r="I32" s="11" t="s">
        <v>209</v>
      </c>
      <c r="J32" s="31"/>
      <c r="K32" s="6"/>
      <c r="L32" s="7" t="s">
        <v>78</v>
      </c>
      <c r="M32" s="24"/>
      <c r="N32" s="6" t="s">
        <v>72</v>
      </c>
      <c r="O32" s="67">
        <v>2605105649</v>
      </c>
      <c r="P32" s="315">
        <v>2605107389</v>
      </c>
      <c r="Q32" s="100" t="s">
        <v>210</v>
      </c>
      <c r="R32" s="41"/>
      <c r="S32" s="237">
        <v>46085</v>
      </c>
      <c r="T32" s="244">
        <v>4090180147</v>
      </c>
      <c r="U32" s="63">
        <v>46085</v>
      </c>
      <c r="V32" s="31"/>
      <c r="W32" s="6"/>
      <c r="X32" s="6"/>
      <c r="Y32" s="6"/>
      <c r="Z32" s="6"/>
      <c r="AA32" s="6"/>
      <c r="AB32" s="6"/>
      <c r="AC32" s="24"/>
      <c r="AD32" s="116">
        <v>46084.080914351849</v>
      </c>
      <c r="AE32" s="116">
        <v>46085.672048611108</v>
      </c>
      <c r="AF32" s="315" t="s">
        <v>62</v>
      </c>
      <c r="AG32" s="117" t="s">
        <v>63</v>
      </c>
      <c r="AH32" s="77"/>
      <c r="AI32" s="77"/>
      <c r="AL32" s="25">
        <v>857.58</v>
      </c>
      <c r="AM32" s="91"/>
    </row>
    <row r="33" spans="2:39">
      <c r="B33" s="16">
        <v>180152</v>
      </c>
      <c r="C33" s="6" t="s">
        <v>211</v>
      </c>
      <c r="D33" s="7" t="s">
        <v>47</v>
      </c>
      <c r="E33" s="6" t="s">
        <v>48</v>
      </c>
      <c r="F33" s="11" t="s">
        <v>49</v>
      </c>
      <c r="G33" s="7" t="s">
        <v>212</v>
      </c>
      <c r="H33" s="39" t="s">
        <v>213</v>
      </c>
      <c r="I33" s="317" t="s">
        <v>214</v>
      </c>
      <c r="J33" s="31"/>
      <c r="K33" s="6"/>
      <c r="L33" s="7" t="s">
        <v>78</v>
      </c>
      <c r="M33" s="24"/>
      <c r="N33" s="6" t="s">
        <v>72</v>
      </c>
      <c r="O33" s="67">
        <v>2605109941</v>
      </c>
      <c r="P33" s="315">
        <v>2605112533</v>
      </c>
      <c r="Q33" s="100" t="s">
        <v>215</v>
      </c>
      <c r="R33" s="41"/>
      <c r="S33" s="237">
        <v>46086</v>
      </c>
      <c r="T33" s="244">
        <v>4090180152</v>
      </c>
      <c r="U33" s="63"/>
      <c r="V33" s="31"/>
      <c r="W33" s="6"/>
      <c r="X33" s="6"/>
      <c r="Y33" s="6"/>
      <c r="Z33" s="6"/>
      <c r="AA33" s="6"/>
      <c r="AB33" s="6"/>
      <c r="AC33" s="24"/>
      <c r="AD33" s="39"/>
      <c r="AE33" s="315"/>
      <c r="AF33" s="315"/>
      <c r="AG33" s="316"/>
      <c r="AH33" s="80"/>
      <c r="AI33" s="80"/>
      <c r="AL33" s="25">
        <v>857.58</v>
      </c>
      <c r="AM33" s="91"/>
    </row>
    <row r="34" spans="2:39">
      <c r="B34" s="16">
        <v>180153</v>
      </c>
      <c r="C34" s="6" t="s">
        <v>216</v>
      </c>
      <c r="D34" s="7" t="s">
        <v>111</v>
      </c>
      <c r="E34" s="6" t="s">
        <v>48</v>
      </c>
      <c r="F34" s="11" t="s">
        <v>49</v>
      </c>
      <c r="G34" s="7" t="s">
        <v>217</v>
      </c>
      <c r="H34" s="39" t="s">
        <v>218</v>
      </c>
      <c r="I34" s="6" t="s">
        <v>219</v>
      </c>
      <c r="J34" s="31"/>
      <c r="K34" s="6"/>
      <c r="L34" s="7" t="s">
        <v>97</v>
      </c>
      <c r="M34" s="24"/>
      <c r="N34" s="6" t="s">
        <v>72</v>
      </c>
      <c r="O34" s="67">
        <v>2605105906</v>
      </c>
      <c r="P34" s="315">
        <v>2605107383</v>
      </c>
      <c r="Q34" s="100" t="s">
        <v>220</v>
      </c>
      <c r="R34" s="41"/>
      <c r="S34" s="237">
        <v>46085</v>
      </c>
      <c r="T34" s="244">
        <v>4090180153</v>
      </c>
      <c r="U34" s="63"/>
      <c r="V34" s="31"/>
      <c r="W34" s="6"/>
      <c r="X34" s="6"/>
      <c r="Y34" s="6"/>
      <c r="Z34" s="6"/>
      <c r="AA34" s="6"/>
      <c r="AB34" s="6"/>
      <c r="AC34" s="24"/>
      <c r="AD34" s="118">
        <v>46087.730578703704</v>
      </c>
      <c r="AE34" s="39" t="s">
        <v>62</v>
      </c>
      <c r="AF34" s="39" t="s">
        <v>62</v>
      </c>
      <c r="AG34" s="98" t="s">
        <v>63</v>
      </c>
      <c r="AH34" s="80"/>
      <c r="AI34" s="80"/>
      <c r="AL34" s="25">
        <v>857.58</v>
      </c>
      <c r="AM34" s="91"/>
    </row>
    <row r="35" spans="2:39">
      <c r="B35" s="16">
        <v>180154</v>
      </c>
      <c r="C35" s="6" t="s">
        <v>221</v>
      </c>
      <c r="D35" s="7" t="s">
        <v>111</v>
      </c>
      <c r="E35" s="6" t="s">
        <v>48</v>
      </c>
      <c r="F35" s="11" t="s">
        <v>49</v>
      </c>
      <c r="G35" s="7" t="s">
        <v>222</v>
      </c>
      <c r="H35" s="315" t="s">
        <v>223</v>
      </c>
      <c r="I35" s="317" t="s">
        <v>224</v>
      </c>
      <c r="J35" s="31"/>
      <c r="K35" s="6"/>
      <c r="L35" s="7" t="s">
        <v>97</v>
      </c>
      <c r="M35" s="24"/>
      <c r="N35" s="6" t="s">
        <v>72</v>
      </c>
      <c r="O35" s="67">
        <v>2605109424</v>
      </c>
      <c r="P35" s="315">
        <v>2605110377</v>
      </c>
      <c r="Q35" s="100" t="s">
        <v>225</v>
      </c>
      <c r="S35" s="237">
        <v>46086</v>
      </c>
      <c r="T35" s="244">
        <v>4090180154</v>
      </c>
      <c r="U35" s="63"/>
      <c r="V35" s="31"/>
      <c r="W35" s="6"/>
      <c r="X35" s="6"/>
      <c r="Y35" s="6"/>
      <c r="Z35" s="6"/>
      <c r="AA35" s="6"/>
      <c r="AB35" s="6"/>
      <c r="AC35" s="24"/>
      <c r="AD35" s="135"/>
      <c r="AE35" s="135"/>
      <c r="AF35" s="135"/>
      <c r="AG35" s="136"/>
      <c r="AH35" s="80"/>
      <c r="AI35" s="80"/>
      <c r="AL35" s="25">
        <v>857.58</v>
      </c>
      <c r="AM35" s="91"/>
    </row>
    <row r="36" spans="2:39">
      <c r="B36" s="16">
        <v>180178</v>
      </c>
      <c r="C36" s="6" t="s">
        <v>226</v>
      </c>
      <c r="D36" s="7" t="s">
        <v>47</v>
      </c>
      <c r="E36" s="6" t="s">
        <v>48</v>
      </c>
      <c r="F36" s="11" t="s">
        <v>49</v>
      </c>
      <c r="G36" s="7" t="s">
        <v>227</v>
      </c>
      <c r="H36" s="315" t="s">
        <v>228</v>
      </c>
      <c r="I36" s="317" t="s">
        <v>229</v>
      </c>
      <c r="J36" s="31"/>
      <c r="K36" s="6"/>
      <c r="L36" s="6" t="s">
        <v>78</v>
      </c>
      <c r="M36" s="24"/>
      <c r="N36" s="6" t="s">
        <v>72</v>
      </c>
      <c r="O36" s="67">
        <v>2605111544</v>
      </c>
      <c r="P36" s="315">
        <v>2605112433</v>
      </c>
      <c r="Q36" s="100" t="s">
        <v>230</v>
      </c>
      <c r="S36" s="237">
        <v>46087</v>
      </c>
      <c r="T36" s="244">
        <v>4090180178</v>
      </c>
      <c r="U36" s="317"/>
      <c r="V36" s="31"/>
      <c r="W36" s="6"/>
      <c r="X36" s="6"/>
      <c r="Y36" s="6"/>
      <c r="Z36" s="6"/>
      <c r="AA36" s="6"/>
      <c r="AB36" s="6"/>
      <c r="AC36" s="24"/>
      <c r="AD36" s="315"/>
      <c r="AE36" s="315"/>
      <c r="AF36" s="315"/>
      <c r="AG36" s="316"/>
      <c r="AH36" s="80"/>
      <c r="AI36" s="80"/>
      <c r="AL36" s="25"/>
      <c r="AM36" s="91"/>
    </row>
    <row r="37" spans="2:39">
      <c r="B37" s="16">
        <v>180180</v>
      </c>
      <c r="C37" s="6" t="s">
        <v>231</v>
      </c>
      <c r="D37" s="7" t="s">
        <v>47</v>
      </c>
      <c r="E37" s="6" t="s">
        <v>48</v>
      </c>
      <c r="F37" s="11" t="s">
        <v>49</v>
      </c>
      <c r="G37" s="7" t="s">
        <v>232</v>
      </c>
      <c r="H37" s="315" t="s">
        <v>233</v>
      </c>
      <c r="I37" s="317" t="s">
        <v>234</v>
      </c>
      <c r="J37" s="31"/>
      <c r="K37" s="6"/>
      <c r="L37" s="6" t="s">
        <v>78</v>
      </c>
      <c r="M37" s="24"/>
      <c r="N37" s="6" t="s">
        <v>72</v>
      </c>
      <c r="O37" s="96">
        <v>2605108064</v>
      </c>
      <c r="P37" s="315">
        <v>2605109863</v>
      </c>
      <c r="Q37" s="100" t="s">
        <v>235</v>
      </c>
      <c r="S37" s="237">
        <v>46086</v>
      </c>
      <c r="T37" s="244">
        <v>4090180180</v>
      </c>
      <c r="U37" s="6"/>
      <c r="V37" s="31"/>
      <c r="W37" s="6"/>
      <c r="X37" s="6"/>
      <c r="Y37" s="6"/>
      <c r="Z37" s="6"/>
      <c r="AA37" s="6"/>
      <c r="AB37" s="6"/>
      <c r="AC37" s="24"/>
      <c r="AD37" s="315"/>
      <c r="AE37" s="315"/>
      <c r="AF37" s="315"/>
      <c r="AG37" s="316"/>
      <c r="AH37" s="80"/>
      <c r="AI37" s="80"/>
      <c r="AL37" s="25"/>
      <c r="AM37" s="91"/>
    </row>
    <row r="38" spans="2:39">
      <c r="B38" s="16">
        <v>180181</v>
      </c>
      <c r="C38" s="6" t="s">
        <v>236</v>
      </c>
      <c r="D38" s="7" t="s">
        <v>47</v>
      </c>
      <c r="E38" s="6" t="s">
        <v>48</v>
      </c>
      <c r="F38" s="11" t="s">
        <v>49</v>
      </c>
      <c r="G38" s="7" t="s">
        <v>237</v>
      </c>
      <c r="H38" s="39" t="s">
        <v>238</v>
      </c>
      <c r="I38" s="6" t="s">
        <v>239</v>
      </c>
      <c r="J38" s="31"/>
      <c r="K38" s="6"/>
      <c r="L38" s="6" t="s">
        <v>78</v>
      </c>
      <c r="M38" s="24"/>
      <c r="N38" s="6" t="s">
        <v>72</v>
      </c>
      <c r="O38" s="67">
        <v>2605109685</v>
      </c>
      <c r="P38" s="315">
        <v>2605110139</v>
      </c>
      <c r="Q38" s="100" t="s">
        <v>240</v>
      </c>
      <c r="R38" s="41"/>
      <c r="S38" s="237">
        <v>46086</v>
      </c>
      <c r="T38" s="244">
        <v>4090180181</v>
      </c>
      <c r="U38" s="63"/>
      <c r="V38" s="31"/>
      <c r="W38" s="6"/>
      <c r="X38" s="6"/>
      <c r="Y38" s="6"/>
      <c r="Z38" s="6"/>
      <c r="AA38" s="6"/>
      <c r="AB38" s="6"/>
      <c r="AC38" s="24"/>
      <c r="AD38" s="315"/>
      <c r="AE38" s="315"/>
      <c r="AF38" s="315"/>
      <c r="AG38" s="316"/>
      <c r="AH38" s="80"/>
      <c r="AI38" s="80"/>
      <c r="AL38" s="25"/>
      <c r="AM38" s="91"/>
    </row>
    <row r="39" spans="2:39">
      <c r="B39" s="16">
        <v>180183</v>
      </c>
      <c r="C39" s="6" t="s">
        <v>241</v>
      </c>
      <c r="D39" s="7" t="s">
        <v>47</v>
      </c>
      <c r="E39" s="6" t="s">
        <v>48</v>
      </c>
      <c r="F39" s="11" t="s">
        <v>49</v>
      </c>
      <c r="G39" s="7" t="s">
        <v>242</v>
      </c>
      <c r="H39" s="39" t="s">
        <v>243</v>
      </c>
      <c r="I39" s="6" t="s">
        <v>244</v>
      </c>
      <c r="J39" s="31"/>
      <c r="K39" s="6"/>
      <c r="L39" s="6" t="s">
        <v>78</v>
      </c>
      <c r="M39" s="24"/>
      <c r="N39" s="26" t="s">
        <v>72</v>
      </c>
      <c r="O39" s="97">
        <v>2605109639</v>
      </c>
      <c r="P39" s="315">
        <v>2605110120</v>
      </c>
      <c r="Q39" s="102" t="s">
        <v>245</v>
      </c>
      <c r="S39" s="237">
        <v>46086</v>
      </c>
      <c r="T39" s="244">
        <v>4090180183</v>
      </c>
      <c r="U39" s="317"/>
      <c r="V39" s="31"/>
      <c r="W39" s="6"/>
      <c r="X39" s="6"/>
      <c r="Y39" s="6"/>
      <c r="Z39" s="6"/>
      <c r="AA39" s="6"/>
      <c r="AB39" s="6"/>
      <c r="AC39" s="24"/>
      <c r="AD39" s="315"/>
      <c r="AE39" s="315"/>
      <c r="AF39" s="315"/>
      <c r="AG39" s="316"/>
      <c r="AH39" s="80"/>
      <c r="AI39" s="80"/>
      <c r="AL39" s="25"/>
      <c r="AM39" s="91"/>
    </row>
    <row r="40" spans="2:39">
      <c r="B40" s="16">
        <v>180184</v>
      </c>
      <c r="C40" s="6" t="s">
        <v>246</v>
      </c>
      <c r="D40" s="7" t="s">
        <v>47</v>
      </c>
      <c r="E40" s="6" t="s">
        <v>67</v>
      </c>
      <c r="F40" s="11" t="s">
        <v>49</v>
      </c>
      <c r="G40" s="7" t="s">
        <v>247</v>
      </c>
      <c r="H40" s="39" t="s">
        <v>248</v>
      </c>
      <c r="I40" s="6" t="s">
        <v>249</v>
      </c>
      <c r="J40" s="31"/>
      <c r="K40" s="6"/>
      <c r="L40" s="6" t="s">
        <v>78</v>
      </c>
      <c r="M40" s="24"/>
      <c r="N40" s="6" t="s">
        <v>72</v>
      </c>
      <c r="O40" s="67">
        <v>2605111953</v>
      </c>
      <c r="P40" s="315">
        <v>2605112430</v>
      </c>
      <c r="Q40" s="100" t="s">
        <v>250</v>
      </c>
      <c r="R40" s="73"/>
      <c r="S40" s="237">
        <v>46087</v>
      </c>
      <c r="T40" s="244">
        <v>4090180184</v>
      </c>
      <c r="U40" s="6"/>
      <c r="V40" s="31"/>
      <c r="W40" s="6"/>
      <c r="X40" s="6"/>
      <c r="Y40" s="6"/>
      <c r="Z40" s="6"/>
      <c r="AA40" s="6"/>
      <c r="AB40" s="6"/>
      <c r="AC40" s="24"/>
      <c r="AD40" s="39"/>
      <c r="AE40" s="39"/>
      <c r="AF40" s="315"/>
      <c r="AG40" s="98"/>
      <c r="AH40" s="80"/>
      <c r="AI40" s="80"/>
      <c r="AL40" s="25"/>
      <c r="AM40" s="91"/>
    </row>
    <row r="41" spans="2:39">
      <c r="B41" s="16">
        <v>180186</v>
      </c>
      <c r="C41" s="6" t="s">
        <v>251</v>
      </c>
      <c r="D41" s="7" t="s">
        <v>47</v>
      </c>
      <c r="E41" s="6" t="s">
        <v>201</v>
      </c>
      <c r="F41" s="11" t="s">
        <v>49</v>
      </c>
      <c r="G41" s="7" t="s">
        <v>252</v>
      </c>
      <c r="H41" s="51" t="s">
        <v>253</v>
      </c>
      <c r="I41" s="159" t="s">
        <v>254</v>
      </c>
      <c r="J41" s="31"/>
      <c r="K41" s="6"/>
      <c r="L41" s="6" t="s">
        <v>255</v>
      </c>
      <c r="M41" s="24"/>
      <c r="N41" s="6" t="s">
        <v>72</v>
      </c>
      <c r="O41" s="67">
        <v>2605110760</v>
      </c>
      <c r="P41" s="315">
        <v>2605112514</v>
      </c>
      <c r="Q41" s="100" t="s">
        <v>256</v>
      </c>
      <c r="R41" s="42"/>
      <c r="S41" s="237">
        <v>46087</v>
      </c>
      <c r="T41" s="244">
        <v>4090180186</v>
      </c>
      <c r="U41" s="68">
        <v>46087</v>
      </c>
      <c r="V41" s="31"/>
      <c r="W41" s="6"/>
      <c r="X41" s="6"/>
      <c r="Y41" s="6"/>
      <c r="Z41" s="6"/>
      <c r="AA41" s="6"/>
      <c r="AB41" s="6"/>
      <c r="AC41" s="24"/>
      <c r="AD41" s="116">
        <v>46086.158715277779</v>
      </c>
      <c r="AE41" s="49">
        <v>46087.774513888886</v>
      </c>
      <c r="AF41" s="315" t="s">
        <v>62</v>
      </c>
      <c r="AG41" s="117" t="s">
        <v>63</v>
      </c>
      <c r="AH41" s="77"/>
      <c r="AI41" s="77"/>
      <c r="AL41" s="25"/>
      <c r="AM41" s="91"/>
    </row>
    <row r="42" spans="2:39">
      <c r="B42" s="16">
        <v>180188</v>
      </c>
      <c r="C42" s="6" t="s">
        <v>257</v>
      </c>
      <c r="D42" s="7" t="s">
        <v>111</v>
      </c>
      <c r="E42" s="6" t="s">
        <v>48</v>
      </c>
      <c r="F42" s="11" t="s">
        <v>49</v>
      </c>
      <c r="G42" s="7" t="s">
        <v>258</v>
      </c>
      <c r="H42" s="39" t="s">
        <v>259</v>
      </c>
      <c r="I42" s="6" t="s">
        <v>260</v>
      </c>
      <c r="J42" s="31"/>
      <c r="K42" s="6"/>
      <c r="L42" s="6" t="s">
        <v>78</v>
      </c>
      <c r="M42" s="6"/>
      <c r="N42" s="56" t="s">
        <v>72</v>
      </c>
      <c r="O42" s="138">
        <v>2605108147</v>
      </c>
      <c r="P42" s="315">
        <v>2605109858</v>
      </c>
      <c r="Q42" s="139" t="s">
        <v>261</v>
      </c>
      <c r="R42" s="41"/>
      <c r="S42" s="238">
        <v>46085</v>
      </c>
      <c r="T42" s="246">
        <v>4090180188</v>
      </c>
      <c r="U42" s="239"/>
      <c r="V42" s="31"/>
      <c r="W42" s="6"/>
      <c r="X42" s="6"/>
      <c r="Y42" s="6"/>
      <c r="Z42" s="6"/>
      <c r="AA42" s="6"/>
      <c r="AB42" s="6"/>
      <c r="AC42" s="24"/>
      <c r="AD42" s="315"/>
      <c r="AE42" s="315"/>
      <c r="AF42" s="315"/>
      <c r="AG42" s="316"/>
      <c r="AH42" s="80"/>
      <c r="AI42" s="80"/>
      <c r="AL42" s="25"/>
      <c r="AM42" s="91"/>
    </row>
    <row r="43" spans="2:39">
      <c r="B43" s="16">
        <v>180190</v>
      </c>
      <c r="C43" s="6" t="s">
        <v>262</v>
      </c>
      <c r="D43" s="7" t="s">
        <v>47</v>
      </c>
      <c r="E43" s="6" t="s">
        <v>48</v>
      </c>
      <c r="F43" s="11" t="s">
        <v>49</v>
      </c>
      <c r="G43" s="7" t="s">
        <v>263</v>
      </c>
      <c r="H43" s="39" t="s">
        <v>264</v>
      </c>
      <c r="I43" s="6" t="s">
        <v>265</v>
      </c>
      <c r="J43" s="31"/>
      <c r="K43" s="6"/>
      <c r="L43" s="6" t="s">
        <v>78</v>
      </c>
      <c r="M43" s="6"/>
      <c r="N43" s="24" t="s">
        <v>72</v>
      </c>
      <c r="O43" s="96">
        <v>2605109742</v>
      </c>
      <c r="P43" s="315">
        <v>2605110213</v>
      </c>
      <c r="Q43" s="101" t="s">
        <v>266</v>
      </c>
      <c r="R43" s="42"/>
      <c r="S43" s="240">
        <v>46086</v>
      </c>
      <c r="T43" s="247">
        <v>4090180190</v>
      </c>
      <c r="U43" s="86"/>
      <c r="V43" s="31"/>
      <c r="W43" s="6"/>
      <c r="X43" s="6"/>
      <c r="Y43" s="6"/>
      <c r="Z43" s="6"/>
      <c r="AA43" s="6"/>
      <c r="AB43" s="6"/>
      <c r="AC43" s="24"/>
      <c r="AD43" s="315"/>
      <c r="AE43" s="315"/>
      <c r="AF43" s="315"/>
      <c r="AG43" s="316"/>
      <c r="AH43" s="80"/>
      <c r="AI43" s="80"/>
      <c r="AL43" s="25"/>
      <c r="AM43" s="91"/>
    </row>
    <row r="44" spans="2:39">
      <c r="B44" s="16">
        <v>180192</v>
      </c>
      <c r="C44" s="6" t="s">
        <v>267</v>
      </c>
      <c r="D44" s="7" t="s">
        <v>111</v>
      </c>
      <c r="E44" s="6" t="s">
        <v>48</v>
      </c>
      <c r="F44" s="11" t="s">
        <v>49</v>
      </c>
      <c r="G44" s="7" t="s">
        <v>268</v>
      </c>
      <c r="H44" s="315" t="s">
        <v>269</v>
      </c>
      <c r="I44" s="317" t="s">
        <v>270</v>
      </c>
      <c r="J44" s="31"/>
      <c r="K44" s="6"/>
      <c r="L44" s="6" t="s">
        <v>78</v>
      </c>
      <c r="M44" s="6"/>
      <c r="N44" s="24" t="s">
        <v>72</v>
      </c>
      <c r="O44" s="96">
        <v>2605108514</v>
      </c>
      <c r="P44" s="315">
        <v>2605109851</v>
      </c>
      <c r="Q44" s="100" t="s">
        <v>166</v>
      </c>
      <c r="R44" s="41"/>
      <c r="S44" s="237">
        <v>46085</v>
      </c>
      <c r="T44" s="244">
        <v>4090180192</v>
      </c>
      <c r="U44" s="63"/>
      <c r="V44" s="31"/>
      <c r="W44" s="6"/>
      <c r="X44" s="6"/>
      <c r="Y44" s="6"/>
      <c r="Z44" s="6"/>
      <c r="AA44" s="6"/>
      <c r="AB44" s="6"/>
      <c r="AC44" s="24"/>
      <c r="AD44" s="39"/>
      <c r="AE44" s="315"/>
      <c r="AF44" s="315"/>
      <c r="AG44" s="316"/>
      <c r="AH44" s="80"/>
      <c r="AI44" s="80"/>
      <c r="AL44" s="25"/>
      <c r="AM44" s="91"/>
    </row>
    <row r="45" spans="2:39">
      <c r="B45" s="16">
        <v>180193</v>
      </c>
      <c r="C45" s="6" t="s">
        <v>271</v>
      </c>
      <c r="D45" s="7" t="s">
        <v>47</v>
      </c>
      <c r="E45" s="6" t="s">
        <v>67</v>
      </c>
      <c r="F45" s="11" t="s">
        <v>49</v>
      </c>
      <c r="G45" s="7" t="s">
        <v>272</v>
      </c>
      <c r="H45" s="315" t="s">
        <v>273</v>
      </c>
      <c r="I45" s="317" t="s">
        <v>274</v>
      </c>
      <c r="J45" s="31"/>
      <c r="K45" s="6"/>
      <c r="L45" s="6" t="s">
        <v>78</v>
      </c>
      <c r="M45" s="6"/>
      <c r="N45" s="24" t="s">
        <v>72</v>
      </c>
      <c r="O45" s="67">
        <v>2605109732</v>
      </c>
      <c r="P45" s="315">
        <v>2605110161</v>
      </c>
      <c r="Q45" s="64" t="s">
        <v>275</v>
      </c>
      <c r="R45" s="41"/>
      <c r="S45" s="237">
        <v>46086</v>
      </c>
      <c r="T45" s="244">
        <v>4090180193</v>
      </c>
      <c r="U45" s="63">
        <v>46087</v>
      </c>
      <c r="V45" s="31"/>
      <c r="W45" s="6"/>
      <c r="X45" s="6"/>
      <c r="Y45" s="6"/>
      <c r="Z45" s="6"/>
      <c r="AA45" s="6"/>
      <c r="AB45" s="6"/>
      <c r="AC45" s="24"/>
      <c r="AD45" s="118">
        <v>46087.375636574077</v>
      </c>
      <c r="AE45" s="118">
        <v>46087.775949074072</v>
      </c>
      <c r="AF45" s="315" t="s">
        <v>62</v>
      </c>
      <c r="AG45" s="316" t="s">
        <v>63</v>
      </c>
      <c r="AH45" s="80"/>
      <c r="AI45" s="80"/>
      <c r="AL45" s="25"/>
      <c r="AM45" s="91"/>
    </row>
    <row r="46" spans="2:39">
      <c r="B46" s="16">
        <v>180195</v>
      </c>
      <c r="C46" s="6" t="s">
        <v>276</v>
      </c>
      <c r="D46" s="7" t="s">
        <v>66</v>
      </c>
      <c r="E46" s="6" t="s">
        <v>48</v>
      </c>
      <c r="F46" s="11" t="s">
        <v>49</v>
      </c>
      <c r="G46" s="7" t="s">
        <v>277</v>
      </c>
      <c r="H46" s="315" t="s">
        <v>278</v>
      </c>
      <c r="I46" s="317" t="s">
        <v>279</v>
      </c>
      <c r="J46" s="31"/>
      <c r="K46" s="6"/>
      <c r="L46" s="6" t="s">
        <v>97</v>
      </c>
      <c r="M46" s="6"/>
      <c r="N46" s="24" t="s">
        <v>72</v>
      </c>
      <c r="O46" s="67">
        <v>2605113276</v>
      </c>
      <c r="P46" s="315">
        <v>2605114534</v>
      </c>
      <c r="Q46" s="100" t="s">
        <v>280</v>
      </c>
      <c r="R46" s="73"/>
      <c r="S46" s="240">
        <v>46087</v>
      </c>
      <c r="T46" s="247">
        <v>4090180195</v>
      </c>
      <c r="U46" s="86"/>
      <c r="V46" s="31"/>
      <c r="W46" s="6"/>
      <c r="X46" s="6"/>
      <c r="Y46" s="6"/>
      <c r="Z46" s="6"/>
      <c r="AA46" s="6"/>
      <c r="AB46" s="6"/>
      <c r="AC46" s="24"/>
      <c r="AD46" s="315"/>
      <c r="AE46" s="315"/>
      <c r="AF46" s="315"/>
      <c r="AG46" s="316"/>
      <c r="AH46" s="80"/>
      <c r="AI46" s="80"/>
      <c r="AL46" s="25"/>
      <c r="AM46" s="91"/>
    </row>
    <row r="47" spans="2:39">
      <c r="B47" s="16">
        <v>180196</v>
      </c>
      <c r="C47" s="6" t="s">
        <v>281</v>
      </c>
      <c r="D47" s="7" t="s">
        <v>111</v>
      </c>
      <c r="E47" s="6" t="s">
        <v>48</v>
      </c>
      <c r="F47" s="11" t="s">
        <v>49</v>
      </c>
      <c r="G47" s="7" t="s">
        <v>282</v>
      </c>
      <c r="H47" s="39" t="s">
        <v>283</v>
      </c>
      <c r="I47" s="6" t="s">
        <v>284</v>
      </c>
      <c r="J47" s="31"/>
      <c r="K47" s="6"/>
      <c r="L47" s="6" t="s">
        <v>78</v>
      </c>
      <c r="M47" s="6"/>
      <c r="N47" s="24" t="s">
        <v>72</v>
      </c>
      <c r="O47" s="67">
        <v>2605113362</v>
      </c>
      <c r="P47" s="315">
        <v>2605114515</v>
      </c>
      <c r="Q47" s="100" t="s">
        <v>285</v>
      </c>
      <c r="R47" s="41"/>
      <c r="S47" s="240">
        <v>46087</v>
      </c>
      <c r="T47" s="247">
        <v>4090180196</v>
      </c>
      <c r="U47" s="86"/>
      <c r="V47" s="31"/>
      <c r="W47" s="6"/>
      <c r="X47" s="6"/>
      <c r="Y47" s="6"/>
      <c r="Z47" s="6"/>
      <c r="AA47" s="6"/>
      <c r="AB47" s="6"/>
      <c r="AC47" s="24"/>
      <c r="AD47" s="39"/>
      <c r="AE47" s="39"/>
      <c r="AF47" s="315"/>
      <c r="AG47" s="98"/>
      <c r="AH47" s="80"/>
      <c r="AI47" s="80"/>
      <c r="AL47" s="25"/>
      <c r="AM47" s="91"/>
    </row>
    <row r="48" spans="2:39">
      <c r="B48" s="16">
        <v>180198</v>
      </c>
      <c r="C48" s="6" t="s">
        <v>286</v>
      </c>
      <c r="D48" s="7" t="s">
        <v>47</v>
      </c>
      <c r="E48" s="6" t="s">
        <v>201</v>
      </c>
      <c r="F48" s="11" t="s">
        <v>49</v>
      </c>
      <c r="G48" s="7" t="s">
        <v>287</v>
      </c>
      <c r="H48" s="94" t="s">
        <v>288</v>
      </c>
      <c r="I48" s="11" t="s">
        <v>289</v>
      </c>
      <c r="J48" s="31"/>
      <c r="K48" s="6"/>
      <c r="L48" s="6" t="s">
        <v>78</v>
      </c>
      <c r="M48" s="6"/>
      <c r="N48" s="24" t="s">
        <v>72</v>
      </c>
      <c r="O48" s="67">
        <v>2605108328</v>
      </c>
      <c r="P48" s="315">
        <v>2605109841</v>
      </c>
      <c r="Q48" s="102" t="s">
        <v>290</v>
      </c>
      <c r="R48" s="41"/>
      <c r="S48" s="240">
        <v>46085</v>
      </c>
      <c r="T48" s="247">
        <v>4090180198</v>
      </c>
      <c r="U48" s="241">
        <v>46086</v>
      </c>
      <c r="V48" s="31"/>
      <c r="W48" s="6"/>
      <c r="X48" s="6"/>
      <c r="Y48" s="6"/>
      <c r="Z48" s="6"/>
      <c r="AA48" s="6"/>
      <c r="AB48" s="6"/>
      <c r="AC48" s="24"/>
      <c r="AD48" s="116">
        <v>46086.15730324074</v>
      </c>
      <c r="AE48" s="118">
        <v>46087.596365740741</v>
      </c>
      <c r="AF48" s="315" t="s">
        <v>62</v>
      </c>
      <c r="AG48" s="117" t="s">
        <v>63</v>
      </c>
      <c r="AH48" s="77"/>
      <c r="AI48" s="77"/>
      <c r="AL48" s="25"/>
      <c r="AM48" s="91"/>
    </row>
    <row r="49" spans="2:39">
      <c r="B49" s="16">
        <v>180199</v>
      </c>
      <c r="C49" s="6" t="s">
        <v>291</v>
      </c>
      <c r="D49" s="7" t="s">
        <v>47</v>
      </c>
      <c r="E49" s="6" t="s">
        <v>67</v>
      </c>
      <c r="F49" s="11" t="s">
        <v>49</v>
      </c>
      <c r="G49" s="7" t="s">
        <v>292</v>
      </c>
      <c r="H49" s="39" t="s">
        <v>293</v>
      </c>
      <c r="I49" s="6" t="s">
        <v>294</v>
      </c>
      <c r="J49" s="31"/>
      <c r="K49" s="6"/>
      <c r="L49" s="6" t="s">
        <v>97</v>
      </c>
      <c r="M49" s="6"/>
      <c r="N49" s="24" t="s">
        <v>72</v>
      </c>
      <c r="O49" s="67">
        <v>2605109779</v>
      </c>
      <c r="P49" s="315">
        <v>2605112451</v>
      </c>
      <c r="Q49" s="100" t="s">
        <v>295</v>
      </c>
      <c r="R49" s="42"/>
      <c r="S49" s="240">
        <v>46087</v>
      </c>
      <c r="T49" s="247">
        <v>4090180199</v>
      </c>
      <c r="U49" s="242"/>
      <c r="V49" s="31"/>
      <c r="W49" s="6"/>
      <c r="X49" s="6"/>
      <c r="Y49" s="6"/>
      <c r="Z49" s="6"/>
      <c r="AA49" s="6"/>
      <c r="AB49" s="6"/>
      <c r="AC49" s="24"/>
      <c r="AD49" s="39"/>
      <c r="AE49" s="39"/>
      <c r="AF49" s="39"/>
      <c r="AG49" s="316"/>
      <c r="AH49" s="80"/>
      <c r="AI49" s="80"/>
      <c r="AL49" s="25"/>
      <c r="AM49" s="91"/>
    </row>
    <row r="50" spans="2:39">
      <c r="B50" s="16">
        <v>180201</v>
      </c>
      <c r="C50" s="6" t="s">
        <v>296</v>
      </c>
      <c r="D50" s="7" t="s">
        <v>47</v>
      </c>
      <c r="E50" s="6" t="s">
        <v>201</v>
      </c>
      <c r="F50" s="11" t="s">
        <v>49</v>
      </c>
      <c r="G50" s="7" t="s">
        <v>297</v>
      </c>
      <c r="H50" s="94" t="s">
        <v>298</v>
      </c>
      <c r="I50" s="11" t="s">
        <v>299</v>
      </c>
      <c r="J50" s="31"/>
      <c r="K50" s="6"/>
      <c r="L50" s="6" t="s">
        <v>300</v>
      </c>
      <c r="M50" s="6"/>
      <c r="N50" s="24" t="s">
        <v>72</v>
      </c>
      <c r="O50" s="67">
        <v>2605108680</v>
      </c>
      <c r="P50" s="315">
        <v>2605110346</v>
      </c>
      <c r="Q50" s="139" t="s">
        <v>301</v>
      </c>
      <c r="R50" s="41"/>
      <c r="S50" s="237">
        <v>46085</v>
      </c>
      <c r="T50" s="244">
        <v>4090180201</v>
      </c>
      <c r="U50" s="63">
        <v>46086</v>
      </c>
      <c r="V50" s="31"/>
      <c r="W50" s="6"/>
      <c r="X50" s="6"/>
      <c r="Y50" s="6"/>
      <c r="Z50" s="6"/>
      <c r="AA50" s="6"/>
      <c r="AB50" s="6"/>
      <c r="AC50" s="24"/>
      <c r="AD50" s="116">
        <v>46085.890706018516</v>
      </c>
      <c r="AE50" s="118">
        <v>46086.737673611111</v>
      </c>
      <c r="AF50" s="120">
        <v>46086.831087962964</v>
      </c>
      <c r="AG50" s="316" t="s">
        <v>82</v>
      </c>
      <c r="AH50" s="80"/>
      <c r="AI50" s="80"/>
      <c r="AL50" s="25"/>
      <c r="AM50" s="91"/>
    </row>
    <row r="51" spans="2:39">
      <c r="B51" s="16">
        <v>180202</v>
      </c>
      <c r="C51" s="6" t="s">
        <v>302</v>
      </c>
      <c r="D51" s="7" t="s">
        <v>47</v>
      </c>
      <c r="E51" s="6" t="s">
        <v>67</v>
      </c>
      <c r="F51" s="11" t="s">
        <v>49</v>
      </c>
      <c r="G51" s="7" t="s">
        <v>303</v>
      </c>
      <c r="H51" s="51" t="s">
        <v>304</v>
      </c>
      <c r="I51" s="6" t="s">
        <v>305</v>
      </c>
      <c r="J51" s="31"/>
      <c r="K51" s="6"/>
      <c r="L51" s="6" t="s">
        <v>306</v>
      </c>
      <c r="M51" s="6"/>
      <c r="N51" s="37" t="s">
        <v>72</v>
      </c>
      <c r="O51" s="97">
        <v>2605113395</v>
      </c>
      <c r="P51" s="315"/>
      <c r="Q51" s="143" t="s">
        <v>307</v>
      </c>
      <c r="R51" s="73"/>
      <c r="S51" s="240">
        <v>46087</v>
      </c>
      <c r="T51" s="247">
        <v>4090180202</v>
      </c>
      <c r="U51" s="86"/>
      <c r="V51" s="31"/>
      <c r="W51" s="6"/>
      <c r="X51" s="6"/>
      <c r="Y51" s="6"/>
      <c r="Z51" s="6"/>
      <c r="AA51" s="6"/>
      <c r="AB51" s="6"/>
      <c r="AC51" s="24"/>
      <c r="AD51" s="39" t="s">
        <v>72</v>
      </c>
      <c r="AE51" s="315" t="s">
        <v>62</v>
      </c>
      <c r="AF51" s="315" t="s">
        <v>62</v>
      </c>
      <c r="AG51" s="98" t="s">
        <v>308</v>
      </c>
      <c r="AH51" s="80"/>
      <c r="AI51" s="80"/>
      <c r="AL51" s="25"/>
      <c r="AM51" s="91"/>
    </row>
    <row r="52" spans="2:39">
      <c r="B52" s="16">
        <v>180213</v>
      </c>
      <c r="C52" s="6" t="s">
        <v>309</v>
      </c>
      <c r="D52" s="7" t="s">
        <v>47</v>
      </c>
      <c r="E52" s="6" t="s">
        <v>201</v>
      </c>
      <c r="F52" s="11" t="s">
        <v>49</v>
      </c>
      <c r="G52" s="7" t="s">
        <v>310</v>
      </c>
      <c r="H52" s="94" t="s">
        <v>311</v>
      </c>
      <c r="I52" s="11" t="s">
        <v>312</v>
      </c>
      <c r="J52" s="36"/>
      <c r="K52" s="26"/>
      <c r="L52" s="26" t="s">
        <v>78</v>
      </c>
      <c r="M52" s="37"/>
      <c r="N52" s="6" t="s">
        <v>72</v>
      </c>
      <c r="O52" s="97">
        <v>2605110890</v>
      </c>
      <c r="P52" s="315">
        <v>2605112505</v>
      </c>
      <c r="Q52" s="100" t="s">
        <v>313</v>
      </c>
      <c r="R52" s="42"/>
      <c r="S52" s="240">
        <v>46087</v>
      </c>
      <c r="T52" s="247">
        <v>4090180213</v>
      </c>
      <c r="U52" s="69">
        <v>46087</v>
      </c>
      <c r="V52" s="36"/>
      <c r="W52" s="26"/>
      <c r="X52" s="26"/>
      <c r="Y52" s="26"/>
      <c r="Z52" s="26"/>
      <c r="AA52" s="26"/>
      <c r="AB52" s="26"/>
      <c r="AC52" s="37"/>
      <c r="AD52" s="52">
        <v>46085.809814814813</v>
      </c>
      <c r="AE52" s="318">
        <v>46087.775717592594</v>
      </c>
      <c r="AF52" s="315" t="s">
        <v>62</v>
      </c>
      <c r="AG52" s="117" t="s">
        <v>63</v>
      </c>
      <c r="AH52" s="77"/>
      <c r="AI52" s="77"/>
      <c r="AL52" s="38"/>
      <c r="AM52" s="92"/>
    </row>
    <row r="53" spans="2:39">
      <c r="B53" s="16">
        <v>180226</v>
      </c>
      <c r="C53" s="6" t="s">
        <v>314</v>
      </c>
      <c r="D53" s="7" t="s">
        <v>47</v>
      </c>
      <c r="E53" s="6" t="s">
        <v>48</v>
      </c>
      <c r="F53" s="6" t="s">
        <v>49</v>
      </c>
      <c r="G53" s="7" t="s">
        <v>315</v>
      </c>
      <c r="H53" s="39" t="s">
        <v>316</v>
      </c>
      <c r="I53" s="6" t="s">
        <v>317</v>
      </c>
      <c r="J53" s="31"/>
      <c r="K53" s="6"/>
      <c r="L53" s="6" t="s">
        <v>78</v>
      </c>
      <c r="M53" s="6"/>
      <c r="N53" s="56" t="s">
        <v>72</v>
      </c>
      <c r="O53" s="113">
        <v>2605113776</v>
      </c>
      <c r="P53" s="315">
        <v>2605114358</v>
      </c>
      <c r="Q53" s="112" t="s">
        <v>318</v>
      </c>
      <c r="R53" s="41"/>
      <c r="S53" s="240">
        <v>46087</v>
      </c>
      <c r="T53" s="247">
        <v>4090180226</v>
      </c>
      <c r="U53" s="86"/>
      <c r="V53" s="31"/>
      <c r="W53" s="6"/>
      <c r="X53" s="6"/>
      <c r="Y53" s="6"/>
      <c r="Z53" s="6"/>
      <c r="AA53" s="6"/>
      <c r="AB53" s="6"/>
      <c r="AC53" s="24"/>
      <c r="AD53" s="116"/>
      <c r="AE53" s="315"/>
      <c r="AF53" s="315"/>
      <c r="AG53" s="316"/>
      <c r="AH53" s="80"/>
      <c r="AI53" s="80"/>
      <c r="AL53" s="25"/>
      <c r="AM53" s="91"/>
    </row>
    <row r="54" spans="2:39">
      <c r="B54" s="16">
        <v>180228</v>
      </c>
      <c r="C54" s="6" t="s">
        <v>319</v>
      </c>
      <c r="D54" s="7" t="s">
        <v>111</v>
      </c>
      <c r="E54" s="6" t="s">
        <v>48</v>
      </c>
      <c r="F54" s="6" t="s">
        <v>49</v>
      </c>
      <c r="G54" s="7" t="s">
        <v>320</v>
      </c>
      <c r="H54" s="39" t="s">
        <v>321</v>
      </c>
      <c r="I54" s="6" t="s">
        <v>322</v>
      </c>
      <c r="J54" s="36"/>
      <c r="K54" s="26"/>
      <c r="L54" s="26" t="s">
        <v>78</v>
      </c>
      <c r="M54" s="26"/>
      <c r="N54" s="37" t="s">
        <v>72</v>
      </c>
      <c r="O54" s="113">
        <v>2605113989</v>
      </c>
      <c r="P54" s="315">
        <v>2605114359</v>
      </c>
      <c r="Q54" s="100" t="s">
        <v>323</v>
      </c>
      <c r="R54" s="42"/>
      <c r="S54" s="237">
        <v>46087</v>
      </c>
      <c r="T54" s="244">
        <v>4090180228</v>
      </c>
      <c r="U54" s="243"/>
      <c r="V54" s="36"/>
      <c r="W54" s="26"/>
      <c r="X54" s="26"/>
      <c r="Y54" s="26"/>
      <c r="Z54" s="26"/>
      <c r="AA54" s="26"/>
      <c r="AB54" s="26"/>
      <c r="AC54" s="37"/>
      <c r="AD54" s="315"/>
      <c r="AE54" s="315"/>
      <c r="AF54" s="315"/>
      <c r="AG54" s="316"/>
      <c r="AH54" s="80"/>
      <c r="AI54" s="80"/>
      <c r="AL54" s="38"/>
      <c r="AM54" s="92"/>
    </row>
    <row r="55" spans="2:39">
      <c r="B55" s="16">
        <v>180230</v>
      </c>
      <c r="C55" s="6" t="s">
        <v>324</v>
      </c>
      <c r="D55" s="7" t="s">
        <v>47</v>
      </c>
      <c r="E55" s="6" t="s">
        <v>48</v>
      </c>
      <c r="F55" s="6" t="s">
        <v>49</v>
      </c>
      <c r="G55" s="7" t="s">
        <v>325</v>
      </c>
      <c r="H55" s="39" t="s">
        <v>326</v>
      </c>
      <c r="I55" s="6" t="s">
        <v>327</v>
      </c>
      <c r="J55" s="36"/>
      <c r="K55" s="26"/>
      <c r="L55" s="26"/>
      <c r="M55" s="26"/>
      <c r="N55" s="37" t="s">
        <v>72</v>
      </c>
      <c r="O55" s="136"/>
      <c r="P55" s="315"/>
      <c r="Q55" s="104"/>
      <c r="R55" s="42"/>
      <c r="S55" s="86" t="s">
        <v>328</v>
      </c>
      <c r="T55" s="243">
        <v>4090180230</v>
      </c>
      <c r="U55" s="243"/>
      <c r="V55" s="36"/>
      <c r="W55" s="26"/>
      <c r="X55" s="26"/>
      <c r="Y55" s="26"/>
      <c r="Z55" s="26"/>
      <c r="AA55" s="26"/>
      <c r="AB55" s="26"/>
      <c r="AC55" s="37"/>
      <c r="AD55" s="39"/>
      <c r="AE55" s="39"/>
      <c r="AF55" s="39"/>
      <c r="AG55" s="98"/>
      <c r="AH55" s="80"/>
      <c r="AI55" s="80"/>
      <c r="AL55" s="38"/>
      <c r="AM55" s="92"/>
    </row>
    <row r="56" spans="2:39">
      <c r="B56" s="39">
        <v>180242</v>
      </c>
      <c r="C56" s="6" t="s">
        <v>329</v>
      </c>
      <c r="D56" s="7" t="s">
        <v>111</v>
      </c>
      <c r="E56" s="6" t="s">
        <v>48</v>
      </c>
      <c r="F56" s="6" t="s">
        <v>49</v>
      </c>
      <c r="G56" s="7" t="s">
        <v>330</v>
      </c>
      <c r="H56" s="39" t="s">
        <v>331</v>
      </c>
      <c r="I56" s="6" t="s">
        <v>332</v>
      </c>
      <c r="J56" s="36"/>
      <c r="K56" s="26"/>
      <c r="L56" s="26" t="s">
        <v>97</v>
      </c>
      <c r="M56" s="26"/>
      <c r="N56" s="26" t="s">
        <v>72</v>
      </c>
      <c r="O56" s="64">
        <v>2605111955</v>
      </c>
      <c r="P56" s="315">
        <v>2605112639</v>
      </c>
      <c r="Q56" s="103" t="s">
        <v>333</v>
      </c>
      <c r="R56" s="37"/>
      <c r="S56" s="240">
        <v>46087</v>
      </c>
      <c r="T56" s="247">
        <v>4090180242</v>
      </c>
      <c r="U56" s="86"/>
      <c r="V56" s="36"/>
      <c r="W56" s="26"/>
      <c r="X56" s="26"/>
      <c r="Y56" s="26"/>
      <c r="Z56" s="26"/>
      <c r="AA56" s="26"/>
      <c r="AB56" s="26"/>
      <c r="AC56" s="37"/>
      <c r="AD56" s="43"/>
      <c r="AE56" s="43"/>
      <c r="AF56" s="43"/>
      <c r="AG56" s="144"/>
      <c r="AH56" s="80"/>
      <c r="AI56" s="80"/>
      <c r="AL56" s="38"/>
      <c r="AM56" s="92"/>
    </row>
    <row r="57" spans="2:39">
      <c r="B57" s="39">
        <v>180249</v>
      </c>
      <c r="C57" s="6" t="s">
        <v>334</v>
      </c>
      <c r="D57" s="6" t="s">
        <v>111</v>
      </c>
      <c r="E57" s="6" t="s">
        <v>48</v>
      </c>
      <c r="F57" s="6" t="s">
        <v>49</v>
      </c>
      <c r="G57" s="6" t="s">
        <v>335</v>
      </c>
      <c r="H57" s="315" t="s">
        <v>336</v>
      </c>
      <c r="I57" s="6" t="s">
        <v>337</v>
      </c>
      <c r="J57" s="31"/>
      <c r="K57" s="6"/>
      <c r="L57" s="6" t="s">
        <v>97</v>
      </c>
      <c r="M57" s="6"/>
      <c r="N57" s="6" t="s">
        <v>72</v>
      </c>
      <c r="O57" s="67">
        <v>2605111677</v>
      </c>
      <c r="P57" s="315">
        <v>2605112425</v>
      </c>
      <c r="Q57" s="100" t="s">
        <v>338</v>
      </c>
      <c r="R57" s="24"/>
      <c r="S57" s="240">
        <v>46087</v>
      </c>
      <c r="T57" s="247">
        <v>4090180249</v>
      </c>
      <c r="U57" s="243"/>
      <c r="V57" s="31"/>
      <c r="W57" s="6"/>
      <c r="X57" s="6"/>
      <c r="Y57" s="6"/>
      <c r="Z57" s="6"/>
      <c r="AA57" s="6"/>
      <c r="AB57" s="6"/>
      <c r="AC57" s="6"/>
      <c r="AD57" s="317"/>
      <c r="AE57" s="317"/>
      <c r="AF57" s="317"/>
      <c r="AG57" s="319"/>
      <c r="AL57" s="25"/>
      <c r="AM57" s="91"/>
    </row>
    <row r="58" spans="2:39">
      <c r="B58" s="39">
        <v>180257</v>
      </c>
      <c r="C58" s="6" t="s">
        <v>339</v>
      </c>
      <c r="D58" s="6" t="s">
        <v>47</v>
      </c>
      <c r="E58" s="6" t="s">
        <v>201</v>
      </c>
      <c r="F58" s="6" t="s">
        <v>49</v>
      </c>
      <c r="G58" s="6" t="s">
        <v>340</v>
      </c>
      <c r="H58" s="315" t="s">
        <v>341</v>
      </c>
      <c r="I58" s="317" t="s">
        <v>342</v>
      </c>
      <c r="J58" s="31"/>
      <c r="K58" s="6"/>
      <c r="L58" s="6" t="s">
        <v>300</v>
      </c>
      <c r="M58" s="6"/>
      <c r="N58" s="6" t="s">
        <v>72</v>
      </c>
      <c r="O58" s="67">
        <v>2605113022</v>
      </c>
      <c r="P58" s="315">
        <v>2605114351</v>
      </c>
      <c r="Q58" s="112" t="s">
        <v>343</v>
      </c>
      <c r="R58" s="24"/>
      <c r="S58" s="240">
        <v>46087</v>
      </c>
      <c r="T58" s="247">
        <v>4090180257</v>
      </c>
      <c r="U58" s="86"/>
      <c r="V58" s="31"/>
      <c r="W58" s="6"/>
      <c r="X58" s="6"/>
      <c r="Y58" s="6"/>
      <c r="Z58" s="6"/>
      <c r="AA58" s="6"/>
      <c r="AB58" s="6"/>
      <c r="AC58" s="6"/>
      <c r="AD58" s="317"/>
      <c r="AE58" s="317"/>
      <c r="AF58" s="317"/>
      <c r="AG58" s="319"/>
      <c r="AL58" s="25"/>
      <c r="AM58" s="91"/>
    </row>
    <row r="59" spans="2:39">
      <c r="B59" s="39">
        <v>180261</v>
      </c>
      <c r="C59" s="6" t="s">
        <v>344</v>
      </c>
      <c r="D59" s="6" t="s">
        <v>47</v>
      </c>
      <c r="E59" s="6" t="s">
        <v>67</v>
      </c>
      <c r="F59" s="6" t="s">
        <v>49</v>
      </c>
      <c r="G59" s="233" t="s">
        <v>345</v>
      </c>
      <c r="H59" s="315"/>
      <c r="I59" s="317"/>
      <c r="J59" s="31"/>
      <c r="K59" s="6"/>
      <c r="L59" s="6" t="s">
        <v>155</v>
      </c>
      <c r="M59" s="6"/>
      <c r="N59" s="6" t="s">
        <v>72</v>
      </c>
      <c r="O59" s="61">
        <v>2605114146</v>
      </c>
      <c r="P59" s="315"/>
      <c r="Q59" s="104"/>
      <c r="R59" s="24"/>
      <c r="S59" s="11" t="s">
        <v>328</v>
      </c>
      <c r="T59" s="50">
        <v>4090180261</v>
      </c>
      <c r="U59" s="317"/>
      <c r="V59" s="31"/>
      <c r="W59" s="6"/>
      <c r="X59" s="6"/>
      <c r="Y59" s="6"/>
      <c r="Z59" s="6"/>
      <c r="AA59" s="6"/>
      <c r="AB59" s="6"/>
      <c r="AC59" s="6"/>
      <c r="AD59" s="317"/>
      <c r="AE59" s="317"/>
      <c r="AF59" s="317"/>
      <c r="AG59" s="319"/>
      <c r="AL59" s="25"/>
      <c r="AM59" s="91"/>
    </row>
    <row r="60" spans="2:39">
      <c r="B60" s="39">
        <v>180263</v>
      </c>
      <c r="C60" s="6" t="s">
        <v>346</v>
      </c>
      <c r="D60" s="6" t="s">
        <v>47</v>
      </c>
      <c r="E60" s="6" t="s">
        <v>67</v>
      </c>
      <c r="F60" s="6" t="s">
        <v>49</v>
      </c>
      <c r="G60" s="317" t="s">
        <v>347</v>
      </c>
      <c r="H60" s="315" t="s">
        <v>348</v>
      </c>
      <c r="I60" s="317" t="s">
        <v>349</v>
      </c>
      <c r="J60" s="31"/>
      <c r="K60" s="6"/>
      <c r="L60" s="6" t="s">
        <v>300</v>
      </c>
      <c r="M60" s="6"/>
      <c r="N60" s="6" t="s">
        <v>72</v>
      </c>
      <c r="O60" s="67">
        <v>2605112925</v>
      </c>
      <c r="P60" s="39">
        <v>2605114353</v>
      </c>
      <c r="Q60" s="100" t="s">
        <v>350</v>
      </c>
      <c r="R60" s="24"/>
      <c r="S60" s="237">
        <v>46088</v>
      </c>
      <c r="T60" s="244">
        <v>4090180263</v>
      </c>
      <c r="U60" s="317"/>
      <c r="V60" s="31"/>
      <c r="W60" s="6"/>
      <c r="X60" s="6"/>
      <c r="Y60" s="6"/>
      <c r="Z60" s="6"/>
      <c r="AA60" s="6"/>
      <c r="AB60" s="6"/>
      <c r="AC60" s="6"/>
      <c r="AD60" s="317"/>
      <c r="AE60" s="317"/>
      <c r="AF60" s="317"/>
      <c r="AG60" s="319"/>
      <c r="AL60" s="25"/>
      <c r="AM60" s="91"/>
    </row>
    <row r="61" spans="2:39">
      <c r="B61" s="39">
        <v>180265</v>
      </c>
      <c r="C61" s="6" t="s">
        <v>351</v>
      </c>
      <c r="D61" s="6" t="s">
        <v>47</v>
      </c>
      <c r="E61" s="6" t="s">
        <v>67</v>
      </c>
      <c r="F61" s="6" t="s">
        <v>49</v>
      </c>
      <c r="G61" s="317" t="s">
        <v>352</v>
      </c>
      <c r="H61" s="315"/>
      <c r="I61" s="317"/>
      <c r="J61" s="31"/>
      <c r="K61" s="6"/>
      <c r="L61" s="6" t="s">
        <v>353</v>
      </c>
      <c r="M61" s="6"/>
      <c r="N61" s="6" t="s">
        <v>72</v>
      </c>
      <c r="O61" s="98"/>
      <c r="Q61" s="104"/>
      <c r="R61" s="24"/>
      <c r="S61" s="11" t="s">
        <v>328</v>
      </c>
      <c r="T61" s="50">
        <v>4090180265</v>
      </c>
      <c r="U61" s="317"/>
      <c r="V61" s="31"/>
      <c r="W61" s="6"/>
      <c r="X61" s="6"/>
      <c r="Y61" s="6"/>
      <c r="Z61" s="6"/>
      <c r="AA61" s="6"/>
      <c r="AB61" s="6"/>
      <c r="AC61" s="6"/>
      <c r="AD61" s="317"/>
      <c r="AE61" s="317"/>
      <c r="AF61" s="317"/>
      <c r="AG61" s="319"/>
      <c r="AL61" s="25"/>
      <c r="AM61" s="91"/>
    </row>
    <row r="62" spans="2:39">
      <c r="B62" s="39">
        <v>180284</v>
      </c>
      <c r="C62" s="6" t="s">
        <v>354</v>
      </c>
      <c r="D62" s="6" t="s">
        <v>47</v>
      </c>
      <c r="E62" s="6" t="s">
        <v>67</v>
      </c>
      <c r="F62" s="6" t="s">
        <v>49</v>
      </c>
      <c r="G62" s="317" t="s">
        <v>355</v>
      </c>
      <c r="H62" s="315"/>
      <c r="I62" s="317"/>
      <c r="J62" s="31"/>
      <c r="K62" s="6"/>
      <c r="L62" s="6"/>
      <c r="M62" s="6"/>
      <c r="N62" s="6" t="s">
        <v>72</v>
      </c>
      <c r="O62" s="98"/>
      <c r="Q62" s="104"/>
      <c r="R62" s="24"/>
      <c r="S62" s="11" t="s">
        <v>328</v>
      </c>
      <c r="T62" s="50">
        <v>4090180284</v>
      </c>
      <c r="U62" s="317"/>
      <c r="V62" s="31"/>
      <c r="W62" s="6"/>
      <c r="X62" s="6"/>
      <c r="Y62" s="6"/>
      <c r="Z62" s="6"/>
      <c r="AA62" s="6"/>
      <c r="AB62" s="6"/>
      <c r="AC62" s="6"/>
      <c r="AD62" s="317"/>
      <c r="AE62" s="317"/>
      <c r="AF62" s="317"/>
      <c r="AG62" s="319"/>
      <c r="AL62" s="25"/>
      <c r="AM62" s="91"/>
    </row>
    <row r="63" spans="2:39">
      <c r="B63" s="39">
        <v>180286</v>
      </c>
      <c r="C63" s="6" t="s">
        <v>356</v>
      </c>
      <c r="D63" s="6" t="s">
        <v>111</v>
      </c>
      <c r="E63" s="6" t="s">
        <v>48</v>
      </c>
      <c r="F63" s="6" t="s">
        <v>49</v>
      </c>
      <c r="G63" s="317" t="s">
        <v>357</v>
      </c>
      <c r="H63" s="315"/>
      <c r="I63" s="317"/>
      <c r="J63" s="31"/>
      <c r="K63" s="6"/>
      <c r="L63" s="6"/>
      <c r="M63" s="6"/>
      <c r="N63" s="6" t="s">
        <v>72</v>
      </c>
      <c r="O63" s="98"/>
      <c r="Q63" s="104"/>
      <c r="R63" s="24"/>
      <c r="S63" s="11" t="s">
        <v>328</v>
      </c>
      <c r="T63" s="50">
        <v>4090180286</v>
      </c>
      <c r="U63" s="317"/>
      <c r="V63" s="31"/>
      <c r="W63" s="6"/>
      <c r="X63" s="6"/>
      <c r="Y63" s="6"/>
      <c r="Z63" s="6"/>
      <c r="AA63" s="6"/>
      <c r="AB63" s="6"/>
      <c r="AC63" s="6"/>
      <c r="AD63" s="317"/>
      <c r="AE63" s="317"/>
      <c r="AF63" s="317"/>
      <c r="AG63" s="319"/>
      <c r="AL63" s="25"/>
      <c r="AM63" s="91"/>
    </row>
    <row r="64" spans="2:39">
      <c r="B64" s="39">
        <v>180288</v>
      </c>
      <c r="C64" s="6" t="s">
        <v>358</v>
      </c>
      <c r="D64" s="6"/>
      <c r="E64" s="6"/>
      <c r="F64" s="6"/>
      <c r="G64" s="317"/>
      <c r="H64" s="315"/>
      <c r="I64" s="317"/>
      <c r="J64" s="31"/>
      <c r="K64" s="6"/>
      <c r="L64" s="6"/>
      <c r="M64" s="6"/>
      <c r="N64" s="6"/>
      <c r="O64" s="98"/>
      <c r="Q64" s="104"/>
      <c r="R64" s="6"/>
      <c r="S64" s="140"/>
      <c r="T64" s="245"/>
      <c r="U64" s="320"/>
      <c r="V64" s="6"/>
      <c r="W64" s="6"/>
      <c r="X64" s="6"/>
      <c r="Y64" s="6"/>
      <c r="Z64" s="6"/>
      <c r="AA64" s="6"/>
      <c r="AB64" s="6"/>
      <c r="AC64" s="6"/>
      <c r="AD64" s="317"/>
      <c r="AE64" s="317"/>
      <c r="AF64" s="317"/>
      <c r="AG64" s="319"/>
      <c r="AL64" s="25"/>
      <c r="AM64" s="91"/>
    </row>
    <row r="65" spans="2:39">
      <c r="B65" s="39">
        <v>180289</v>
      </c>
      <c r="C65" s="6" t="s">
        <v>359</v>
      </c>
      <c r="D65" s="6"/>
      <c r="E65" s="6"/>
      <c r="F65" s="6"/>
      <c r="G65" s="317"/>
      <c r="H65" s="315"/>
      <c r="I65" s="317"/>
      <c r="J65" s="31"/>
      <c r="K65" s="6"/>
      <c r="L65" s="6"/>
      <c r="M65" s="6"/>
      <c r="N65" s="6"/>
      <c r="O65" s="98"/>
      <c r="Q65" s="104"/>
      <c r="R65" s="6"/>
      <c r="S65" s="6"/>
      <c r="T65" s="50"/>
      <c r="U65" s="317"/>
      <c r="V65" s="6"/>
      <c r="W65" s="6"/>
      <c r="X65" s="6"/>
      <c r="Y65" s="6"/>
      <c r="Z65" s="6"/>
      <c r="AA65" s="6"/>
      <c r="AB65" s="6"/>
      <c r="AC65" s="6"/>
      <c r="AD65" s="317"/>
      <c r="AE65" s="317"/>
      <c r="AF65" s="317"/>
      <c r="AG65" s="319"/>
      <c r="AL65" s="25"/>
      <c r="AM65" s="91"/>
    </row>
    <row r="66" spans="2:39">
      <c r="B66" s="39">
        <v>180290</v>
      </c>
      <c r="C66" s="6" t="s">
        <v>360</v>
      </c>
      <c r="D66" s="6"/>
      <c r="E66" s="6"/>
      <c r="F66" s="6"/>
      <c r="G66" s="317"/>
      <c r="H66" s="315"/>
      <c r="I66" s="317"/>
      <c r="J66" s="31"/>
      <c r="K66" s="6"/>
      <c r="L66" s="6"/>
      <c r="M66" s="6"/>
      <c r="N66" s="6"/>
      <c r="O66" s="98"/>
      <c r="Q66" s="104"/>
      <c r="R66" s="6"/>
      <c r="S66" s="6"/>
      <c r="T66" s="50"/>
      <c r="U66" s="317"/>
      <c r="V66" s="6"/>
      <c r="W66" s="6"/>
      <c r="X66" s="6"/>
      <c r="Y66" s="6"/>
      <c r="Z66" s="6"/>
      <c r="AA66" s="6"/>
      <c r="AB66" s="6"/>
      <c r="AC66" s="6"/>
      <c r="AD66" s="317"/>
      <c r="AE66" s="317"/>
      <c r="AF66" s="317"/>
      <c r="AG66" s="319"/>
      <c r="AL66" s="25"/>
      <c r="AM66" s="91"/>
    </row>
    <row r="67" spans="2:39">
      <c r="B67" s="39">
        <v>180292</v>
      </c>
      <c r="C67" s="6" t="s">
        <v>361</v>
      </c>
      <c r="D67" s="6"/>
      <c r="E67" s="6"/>
      <c r="F67" s="6"/>
      <c r="G67" s="317"/>
      <c r="H67" s="315"/>
      <c r="I67" s="317"/>
      <c r="J67" s="31"/>
      <c r="K67" s="6"/>
      <c r="L67" s="6"/>
      <c r="M67" s="6"/>
      <c r="N67" s="6"/>
      <c r="O67" s="98"/>
      <c r="Q67" s="104"/>
      <c r="R67" s="6"/>
      <c r="S67" s="6"/>
      <c r="T67" s="50"/>
      <c r="U67" s="317"/>
      <c r="V67" s="6"/>
      <c r="W67" s="6"/>
      <c r="X67" s="6"/>
      <c r="Y67" s="6"/>
      <c r="Z67" s="6"/>
      <c r="AA67" s="6"/>
      <c r="AB67" s="6"/>
      <c r="AC67" s="6"/>
      <c r="AD67" s="317"/>
      <c r="AE67" s="317"/>
      <c r="AF67" s="317"/>
      <c r="AG67" s="319"/>
      <c r="AL67" s="25"/>
      <c r="AM67" s="91"/>
    </row>
    <row r="68" spans="2:39">
      <c r="B68" s="39"/>
      <c r="C68" s="6"/>
      <c r="D68" s="6"/>
      <c r="E68" s="6"/>
      <c r="F68" s="6"/>
      <c r="G68" s="317"/>
      <c r="H68" s="315"/>
      <c r="I68" s="317"/>
      <c r="J68" s="31"/>
      <c r="K68" s="6"/>
      <c r="L68" s="6"/>
      <c r="M68" s="6"/>
      <c r="N68" s="6"/>
      <c r="O68" s="98"/>
      <c r="Q68" s="104"/>
      <c r="R68" s="6"/>
      <c r="S68" s="6"/>
      <c r="T68" s="50"/>
      <c r="U68" s="317"/>
      <c r="V68" s="6"/>
      <c r="W68" s="6"/>
      <c r="X68" s="6"/>
      <c r="Y68" s="6"/>
      <c r="Z68" s="6"/>
      <c r="AA68" s="6"/>
      <c r="AB68" s="6"/>
      <c r="AC68" s="6"/>
      <c r="AD68" s="317"/>
      <c r="AE68" s="317"/>
      <c r="AF68" s="317"/>
      <c r="AG68" s="319"/>
      <c r="AL68" s="25"/>
      <c r="AM68" s="91"/>
    </row>
    <row r="69" spans="2:39">
      <c r="B69" s="39"/>
      <c r="C69" s="6"/>
      <c r="D69" s="6"/>
      <c r="E69" s="6"/>
      <c r="F69" s="6"/>
      <c r="G69" s="317"/>
      <c r="H69" s="315"/>
      <c r="I69" s="317"/>
      <c r="J69" s="31"/>
      <c r="K69" s="6"/>
      <c r="L69" s="6"/>
      <c r="M69" s="6"/>
      <c r="N69" s="6"/>
      <c r="O69" s="98"/>
      <c r="Q69" s="104"/>
      <c r="R69" s="6"/>
      <c r="S69" s="6"/>
      <c r="T69" s="50"/>
      <c r="U69" s="317"/>
      <c r="V69" s="6"/>
      <c r="W69" s="6"/>
      <c r="X69" s="6"/>
      <c r="Y69" s="6"/>
      <c r="Z69" s="6"/>
      <c r="AA69" s="6"/>
      <c r="AB69" s="6"/>
      <c r="AC69" s="6"/>
      <c r="AD69" s="317"/>
      <c r="AE69" s="317"/>
      <c r="AF69" s="317"/>
      <c r="AG69" s="319"/>
      <c r="AL69" s="25"/>
      <c r="AM69" s="91"/>
    </row>
    <row r="70" spans="2:39">
      <c r="B70" s="39"/>
      <c r="C70" s="6"/>
      <c r="D70" s="6"/>
      <c r="E70" s="6"/>
      <c r="F70" s="6"/>
      <c r="G70" s="317"/>
      <c r="H70" s="315"/>
      <c r="I70" s="317"/>
      <c r="J70" s="31"/>
      <c r="K70" s="6"/>
      <c r="L70" s="6"/>
      <c r="M70" s="6"/>
      <c r="N70" s="6"/>
      <c r="O70" s="98"/>
      <c r="Q70" s="104"/>
      <c r="R70" s="6"/>
      <c r="S70" s="6"/>
      <c r="T70" s="50"/>
      <c r="U70" s="317"/>
      <c r="V70" s="6"/>
      <c r="W70" s="6"/>
      <c r="X70" s="6"/>
      <c r="Y70" s="6"/>
      <c r="Z70" s="6"/>
      <c r="AA70" s="6"/>
      <c r="AB70" s="6"/>
      <c r="AC70" s="6"/>
      <c r="AD70" s="317"/>
      <c r="AE70" s="317"/>
      <c r="AF70" s="317"/>
      <c r="AG70" s="319"/>
      <c r="AL70" s="25"/>
      <c r="AM70" s="91"/>
    </row>
    <row r="71" spans="2:39">
      <c r="B71" s="39"/>
      <c r="C71" s="6"/>
      <c r="D71" s="6"/>
      <c r="E71" s="6"/>
      <c r="F71" s="6"/>
      <c r="G71" s="317"/>
      <c r="H71" s="315"/>
      <c r="I71" s="317"/>
      <c r="J71" s="31"/>
      <c r="K71" s="6"/>
      <c r="L71" s="6"/>
      <c r="M71" s="6"/>
      <c r="N71" s="6"/>
      <c r="O71" s="98"/>
      <c r="Q71" s="104"/>
      <c r="R71" s="6"/>
      <c r="S71" s="6"/>
      <c r="T71" s="50"/>
      <c r="U71" s="317"/>
      <c r="V71" s="6"/>
      <c r="W71" s="6"/>
      <c r="X71" s="6"/>
      <c r="Y71" s="6"/>
      <c r="Z71" s="6"/>
      <c r="AA71" s="6"/>
      <c r="AB71" s="6"/>
      <c r="AC71" s="6"/>
      <c r="AD71" s="317"/>
      <c r="AE71" s="317"/>
      <c r="AF71" s="317"/>
      <c r="AG71" s="319"/>
      <c r="AL71" s="25"/>
      <c r="AM71" s="91"/>
    </row>
    <row r="72" spans="2:39">
      <c r="B72" s="39"/>
      <c r="C72" s="6"/>
      <c r="D72" s="6"/>
      <c r="E72" s="6"/>
      <c r="F72" s="6"/>
      <c r="G72" s="317"/>
      <c r="H72" s="315"/>
      <c r="I72" s="317"/>
      <c r="J72" s="31"/>
      <c r="K72" s="6"/>
      <c r="L72" s="6"/>
      <c r="M72" s="6"/>
      <c r="N72" s="6"/>
      <c r="O72" s="98"/>
      <c r="Q72" s="104"/>
      <c r="R72" s="6"/>
      <c r="S72" s="6"/>
      <c r="T72" s="50"/>
      <c r="U72" s="317"/>
      <c r="V72" s="6"/>
      <c r="W72" s="6"/>
      <c r="X72" s="6"/>
      <c r="Y72" s="6"/>
      <c r="Z72" s="6"/>
      <c r="AA72" s="6"/>
      <c r="AB72" s="6"/>
      <c r="AC72" s="6"/>
      <c r="AD72" s="317"/>
      <c r="AE72" s="317"/>
      <c r="AF72" s="317"/>
      <c r="AG72" s="319"/>
      <c r="AL72" s="25"/>
      <c r="AM72" s="91"/>
    </row>
    <row r="73" spans="2:39">
      <c r="B73" s="39"/>
      <c r="C73" s="6"/>
      <c r="D73" s="6"/>
      <c r="E73" s="6"/>
      <c r="F73" s="6"/>
      <c r="G73" s="317"/>
      <c r="H73" s="315"/>
      <c r="I73" s="317"/>
      <c r="J73" s="31"/>
      <c r="K73" s="6"/>
      <c r="L73" s="6"/>
      <c r="M73" s="6"/>
      <c r="N73" s="6"/>
      <c r="O73" s="98"/>
      <c r="Q73" s="104"/>
      <c r="R73" s="6"/>
      <c r="S73" s="6"/>
      <c r="T73" s="50"/>
      <c r="U73" s="317"/>
      <c r="V73" s="6"/>
      <c r="W73" s="6"/>
      <c r="X73" s="6"/>
      <c r="Y73" s="6"/>
      <c r="Z73" s="6"/>
      <c r="AA73" s="6"/>
      <c r="AB73" s="6"/>
      <c r="AC73" s="6"/>
      <c r="AD73" s="317"/>
      <c r="AE73" s="317"/>
      <c r="AF73" s="317"/>
      <c r="AG73" s="319"/>
      <c r="AL73" s="25"/>
      <c r="AM73" s="91"/>
    </row>
    <row r="74" spans="2:39">
      <c r="B74" s="39"/>
      <c r="C74" s="6"/>
      <c r="D74" s="6"/>
      <c r="E74" s="6"/>
      <c r="F74" s="6"/>
      <c r="G74" s="317"/>
      <c r="H74" s="315"/>
      <c r="I74" s="317"/>
      <c r="J74" s="31"/>
      <c r="K74" s="6"/>
      <c r="L74" s="6"/>
      <c r="M74" s="6"/>
      <c r="N74" s="6"/>
      <c r="O74" s="98"/>
      <c r="Q74" s="104"/>
      <c r="R74" s="6"/>
      <c r="S74" s="6"/>
      <c r="T74" s="50"/>
      <c r="U74" s="317"/>
      <c r="V74" s="6"/>
      <c r="W74" s="6"/>
      <c r="X74" s="6"/>
      <c r="Y74" s="6"/>
      <c r="Z74" s="6"/>
      <c r="AA74" s="6"/>
      <c r="AB74" s="6"/>
      <c r="AC74" s="6"/>
      <c r="AD74" s="317"/>
      <c r="AE74" s="317"/>
      <c r="AF74" s="317"/>
      <c r="AG74" s="319"/>
      <c r="AL74" s="25"/>
      <c r="AM74" s="91"/>
    </row>
    <row r="75" spans="2:39">
      <c r="B75" s="39"/>
      <c r="C75" s="6"/>
      <c r="D75" s="6"/>
      <c r="E75" s="6"/>
      <c r="F75" s="6"/>
      <c r="G75" s="317"/>
      <c r="H75" s="315"/>
      <c r="I75" s="317"/>
      <c r="J75" s="31"/>
      <c r="K75" s="6"/>
      <c r="L75" s="6"/>
      <c r="M75" s="6"/>
      <c r="N75" s="6"/>
      <c r="O75" s="98"/>
      <c r="Q75" s="104"/>
      <c r="R75" s="6"/>
      <c r="S75" s="6"/>
      <c r="T75" s="50"/>
      <c r="U75" s="317"/>
      <c r="V75" s="6"/>
      <c r="W75" s="6"/>
      <c r="X75" s="6"/>
      <c r="Y75" s="6"/>
      <c r="Z75" s="6"/>
      <c r="AA75" s="6"/>
      <c r="AB75" s="6"/>
      <c r="AC75" s="6"/>
      <c r="AD75" s="317"/>
      <c r="AE75" s="317"/>
      <c r="AF75" s="317"/>
      <c r="AG75" s="319"/>
      <c r="AL75" s="25"/>
      <c r="AM75" s="91"/>
    </row>
    <row r="76" spans="2:39">
      <c r="B76" s="39"/>
      <c r="C76" s="6"/>
      <c r="D76" s="6"/>
      <c r="E76" s="6"/>
      <c r="F76" s="6"/>
      <c r="G76" s="317"/>
      <c r="H76" s="315"/>
      <c r="I76" s="317"/>
      <c r="J76" s="31"/>
      <c r="K76" s="6"/>
      <c r="L76" s="6"/>
      <c r="M76" s="6"/>
      <c r="N76" s="6"/>
      <c r="O76" s="98"/>
      <c r="Q76" s="104"/>
      <c r="R76" s="6"/>
      <c r="S76" s="6"/>
      <c r="T76" s="317"/>
      <c r="U76" s="317"/>
      <c r="V76" s="6"/>
      <c r="W76" s="6"/>
      <c r="X76" s="6"/>
      <c r="Y76" s="6"/>
      <c r="Z76" s="6"/>
      <c r="AA76" s="6"/>
      <c r="AB76" s="6"/>
      <c r="AC76" s="6"/>
      <c r="AD76" s="317"/>
      <c r="AE76" s="317"/>
      <c r="AF76" s="317"/>
      <c r="AG76" s="319"/>
      <c r="AL76" s="25"/>
      <c r="AM76" s="91"/>
    </row>
    <row r="77" spans="2:39">
      <c r="B77" s="39"/>
      <c r="C77" s="6"/>
      <c r="D77" s="6"/>
      <c r="E77" s="6"/>
      <c r="F77" s="6"/>
      <c r="G77" s="317"/>
      <c r="H77" s="315"/>
      <c r="I77" s="317"/>
      <c r="J77" s="31"/>
      <c r="K77" s="6"/>
      <c r="L77" s="6"/>
      <c r="M77" s="6"/>
      <c r="N77" s="6"/>
      <c r="O77" s="98"/>
      <c r="Q77" s="104"/>
      <c r="R77" s="6"/>
      <c r="S77" s="6"/>
      <c r="T77" s="317"/>
      <c r="U77" s="317"/>
      <c r="V77" s="6"/>
      <c r="W77" s="6"/>
      <c r="X77" s="6"/>
      <c r="Y77" s="6"/>
      <c r="Z77" s="6"/>
      <c r="AA77" s="6"/>
      <c r="AB77" s="6"/>
      <c r="AC77" s="6"/>
      <c r="AD77" s="317"/>
      <c r="AE77" s="317"/>
      <c r="AF77" s="317"/>
      <c r="AG77" s="319"/>
      <c r="AL77" s="25"/>
      <c r="AM77" s="91"/>
    </row>
    <row r="78" spans="2:39">
      <c r="B78" s="39"/>
      <c r="C78" s="6"/>
      <c r="D78" s="6"/>
      <c r="E78" s="6"/>
      <c r="F78" s="6"/>
      <c r="G78" s="317"/>
      <c r="H78" s="315"/>
      <c r="I78" s="317"/>
      <c r="J78" s="31"/>
      <c r="K78" s="6"/>
      <c r="L78" s="6"/>
      <c r="M78" s="6"/>
      <c r="N78" s="6"/>
      <c r="O78" s="98"/>
      <c r="Q78" s="104"/>
      <c r="R78" s="6"/>
      <c r="S78" s="6"/>
      <c r="T78" s="317"/>
      <c r="U78" s="6"/>
      <c r="V78" s="6"/>
      <c r="W78" s="6"/>
      <c r="X78" s="6"/>
      <c r="Y78" s="6"/>
      <c r="Z78" s="6"/>
      <c r="AA78" s="6"/>
      <c r="AB78" s="6"/>
      <c r="AC78" s="6"/>
      <c r="AD78" s="317"/>
      <c r="AE78" s="317"/>
      <c r="AF78" s="317"/>
      <c r="AG78" s="319"/>
      <c r="AL78" s="25"/>
      <c r="AM78" s="91"/>
    </row>
    <row r="79" spans="2:39">
      <c r="B79" s="39"/>
      <c r="C79" s="6"/>
      <c r="D79" s="6"/>
      <c r="E79" s="6"/>
      <c r="F79" s="6"/>
      <c r="G79" s="317"/>
      <c r="H79" s="315"/>
      <c r="I79" s="317"/>
      <c r="J79" s="31"/>
      <c r="K79" s="6"/>
      <c r="L79" s="6"/>
      <c r="M79" s="6"/>
      <c r="N79" s="6"/>
      <c r="O79" s="98"/>
      <c r="Q79" s="104"/>
      <c r="R79" s="6"/>
      <c r="S79" s="6"/>
      <c r="T79" s="317"/>
      <c r="U79" s="6"/>
      <c r="V79" s="6"/>
      <c r="W79" s="6"/>
      <c r="X79" s="6"/>
      <c r="Y79" s="6"/>
      <c r="Z79" s="6"/>
      <c r="AA79" s="6"/>
      <c r="AB79" s="6"/>
      <c r="AC79" s="6"/>
      <c r="AD79" s="317"/>
      <c r="AE79" s="317"/>
      <c r="AF79" s="317"/>
      <c r="AG79" s="319"/>
      <c r="AL79" s="25"/>
      <c r="AM79" s="91"/>
    </row>
    <row r="80" spans="2:39">
      <c r="B80" s="39"/>
      <c r="C80" s="6"/>
      <c r="D80" s="6"/>
      <c r="E80" s="6"/>
      <c r="F80" s="6"/>
      <c r="G80" s="317"/>
      <c r="H80" s="315"/>
      <c r="I80" s="317"/>
      <c r="J80" s="31"/>
      <c r="K80" s="6"/>
      <c r="L80" s="6"/>
      <c r="M80" s="6"/>
      <c r="N80" s="6"/>
      <c r="O80" s="98"/>
      <c r="Q80" s="104"/>
      <c r="R80" s="6"/>
      <c r="S80" s="6"/>
      <c r="T80" s="317"/>
      <c r="U80" s="6"/>
      <c r="V80" s="6"/>
      <c r="W80" s="6"/>
      <c r="X80" s="6"/>
      <c r="Y80" s="6"/>
      <c r="Z80" s="6"/>
      <c r="AA80" s="6"/>
      <c r="AB80" s="6"/>
      <c r="AC80" s="6"/>
      <c r="AD80" s="317"/>
      <c r="AE80" s="317"/>
      <c r="AF80" s="317"/>
      <c r="AG80" s="319"/>
      <c r="AL80" s="25"/>
      <c r="AM80" s="91"/>
    </row>
    <row r="81" spans="2:39">
      <c r="B81" s="39"/>
      <c r="C81" s="6"/>
      <c r="D81" s="6"/>
      <c r="E81" s="6"/>
      <c r="F81" s="6"/>
      <c r="G81" s="317"/>
      <c r="H81" s="315"/>
      <c r="I81" s="317"/>
      <c r="J81" s="31"/>
      <c r="K81" s="6"/>
      <c r="L81" s="6"/>
      <c r="M81" s="6"/>
      <c r="N81" s="6"/>
      <c r="O81" s="98"/>
      <c r="Q81" s="104"/>
      <c r="R81" s="6"/>
      <c r="S81" s="6"/>
      <c r="T81" s="317"/>
      <c r="U81" s="6"/>
      <c r="V81" s="6"/>
      <c r="W81" s="6"/>
      <c r="X81" s="6"/>
      <c r="Y81" s="6"/>
      <c r="Z81" s="6"/>
      <c r="AA81" s="6"/>
      <c r="AB81" s="6"/>
      <c r="AC81" s="6"/>
      <c r="AD81" s="317"/>
      <c r="AE81" s="317"/>
      <c r="AF81" s="317"/>
      <c r="AG81" s="319"/>
      <c r="AL81" s="25"/>
      <c r="AM81" s="91"/>
    </row>
    <row r="82" spans="2:39">
      <c r="B82" s="39"/>
      <c r="C82" s="6"/>
      <c r="D82" s="6"/>
      <c r="E82" s="6"/>
      <c r="F82" s="6"/>
      <c r="G82" s="317"/>
      <c r="H82" s="315"/>
      <c r="I82" s="317"/>
      <c r="J82" s="31"/>
      <c r="K82" s="6"/>
      <c r="L82" s="6"/>
      <c r="M82" s="6"/>
      <c r="N82" s="6"/>
      <c r="O82" s="98"/>
      <c r="Q82" s="104"/>
      <c r="R82" s="6"/>
      <c r="S82" s="6"/>
      <c r="T82" s="317"/>
      <c r="U82" s="6"/>
      <c r="V82" s="6"/>
      <c r="W82" s="6"/>
      <c r="X82" s="6"/>
      <c r="Y82" s="6"/>
      <c r="Z82" s="6"/>
      <c r="AA82" s="6"/>
      <c r="AB82" s="6"/>
      <c r="AC82" s="6"/>
      <c r="AD82" s="317"/>
      <c r="AE82" s="317"/>
      <c r="AF82" s="317"/>
      <c r="AG82" s="319"/>
      <c r="AL82" s="25"/>
      <c r="AM82" s="91"/>
    </row>
    <row r="83" spans="2:39">
      <c r="B83" s="39"/>
      <c r="C83" s="6"/>
      <c r="D83" s="6"/>
      <c r="E83" s="6"/>
      <c r="F83" s="6"/>
      <c r="G83" s="317"/>
      <c r="H83" s="315"/>
      <c r="I83" s="317"/>
      <c r="J83" s="31"/>
      <c r="K83" s="6"/>
      <c r="L83" s="6"/>
      <c r="M83" s="6"/>
      <c r="N83" s="6"/>
      <c r="O83" s="98"/>
      <c r="Q83" s="104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317"/>
      <c r="AE83" s="317"/>
      <c r="AF83" s="317"/>
      <c r="AG83" s="319"/>
      <c r="AL83" s="25"/>
      <c r="AM83" s="91"/>
    </row>
    <row r="84" spans="2:39">
      <c r="B84" s="39"/>
      <c r="C84" s="6"/>
      <c r="D84" s="6"/>
      <c r="E84" s="6"/>
      <c r="F84" s="6"/>
      <c r="G84" s="317"/>
      <c r="H84" s="315"/>
      <c r="I84" s="317"/>
      <c r="J84" s="31"/>
      <c r="K84" s="6"/>
      <c r="L84" s="6"/>
      <c r="M84" s="6"/>
      <c r="N84" s="6"/>
      <c r="O84" s="98"/>
      <c r="Q84" s="104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317"/>
      <c r="AE84" s="317"/>
      <c r="AF84" s="317"/>
      <c r="AG84" s="319"/>
      <c r="AL84" s="25"/>
      <c r="AM84" s="91"/>
    </row>
    <row r="85" spans="2:39">
      <c r="B85" s="39"/>
      <c r="C85" s="6"/>
      <c r="D85" s="6"/>
      <c r="E85" s="6"/>
      <c r="F85" s="6"/>
      <c r="G85" s="317"/>
      <c r="H85" s="315"/>
      <c r="I85" s="317"/>
      <c r="J85" s="31"/>
      <c r="K85" s="6"/>
      <c r="L85" s="6"/>
      <c r="M85" s="6"/>
      <c r="N85" s="6"/>
      <c r="O85" s="98"/>
      <c r="Q85" s="104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317"/>
      <c r="AE85" s="317"/>
      <c r="AF85" s="317"/>
      <c r="AG85" s="319"/>
      <c r="AL85" s="25"/>
      <c r="AM85" s="91"/>
    </row>
    <row r="86" spans="2:39">
      <c r="B86" s="39"/>
      <c r="C86" s="6"/>
      <c r="D86" s="6"/>
      <c r="E86" s="6"/>
      <c r="F86" s="6"/>
      <c r="G86" s="317"/>
      <c r="H86" s="315"/>
      <c r="I86" s="317"/>
      <c r="J86" s="31"/>
      <c r="K86" s="6"/>
      <c r="L86" s="6"/>
      <c r="M86" s="6"/>
      <c r="N86" s="6"/>
      <c r="O86" s="98"/>
      <c r="Q86" s="104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317"/>
      <c r="AE86" s="317"/>
      <c r="AF86" s="317"/>
      <c r="AG86" s="319"/>
      <c r="AL86" s="25"/>
      <c r="AM86" s="91"/>
    </row>
    <row r="87" spans="2:39">
      <c r="B87" s="39"/>
      <c r="C87" s="6"/>
      <c r="D87" s="6"/>
      <c r="E87" s="6"/>
      <c r="F87" s="6"/>
      <c r="G87" s="317"/>
      <c r="H87" s="315"/>
      <c r="I87" s="317"/>
      <c r="J87" s="31"/>
      <c r="K87" s="6"/>
      <c r="L87" s="6"/>
      <c r="M87" s="6"/>
      <c r="N87" s="6"/>
      <c r="O87" s="98"/>
      <c r="Q87" s="104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317"/>
      <c r="AE87" s="317"/>
      <c r="AF87" s="317"/>
      <c r="AG87" s="319"/>
      <c r="AL87" s="25"/>
      <c r="AM87" s="91"/>
    </row>
    <row r="88" spans="2:39">
      <c r="B88" s="39"/>
      <c r="C88" s="6"/>
      <c r="D88" s="6"/>
      <c r="E88" s="6"/>
      <c r="F88" s="6"/>
      <c r="G88" s="317"/>
      <c r="H88" s="315"/>
      <c r="I88" s="317"/>
      <c r="J88" s="31"/>
      <c r="K88" s="6"/>
      <c r="L88" s="6"/>
      <c r="M88" s="6"/>
      <c r="N88" s="6"/>
      <c r="O88" s="98"/>
      <c r="Q88" s="104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317"/>
      <c r="AE88" s="317"/>
      <c r="AF88" s="317"/>
      <c r="AG88" s="319"/>
      <c r="AL88" s="25"/>
      <c r="AM88" s="91"/>
    </row>
    <row r="89" spans="2:39">
      <c r="B89" s="39"/>
      <c r="C89" s="6"/>
      <c r="D89" s="6"/>
      <c r="E89" s="6"/>
      <c r="F89" s="6"/>
      <c r="G89" s="6"/>
      <c r="H89" s="39"/>
      <c r="I89" s="6"/>
      <c r="J89" s="31"/>
      <c r="K89" s="6"/>
      <c r="L89" s="6"/>
      <c r="M89" s="6"/>
      <c r="N89" s="6"/>
      <c r="O89" s="98"/>
      <c r="Q89" s="104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317"/>
      <c r="AE89" s="317"/>
      <c r="AF89" s="317"/>
      <c r="AG89" s="319"/>
      <c r="AL89" s="25"/>
      <c r="AM89" s="91"/>
    </row>
    <row r="90" spans="2:39">
      <c r="B90" s="39"/>
      <c r="C90" s="6"/>
      <c r="D90" s="6"/>
      <c r="E90" s="6"/>
      <c r="F90" s="6"/>
      <c r="G90" s="317"/>
      <c r="H90" s="39"/>
      <c r="I90" s="6"/>
      <c r="J90" s="31"/>
      <c r="K90" s="6"/>
      <c r="L90" s="6"/>
      <c r="M90" s="6"/>
      <c r="N90" s="6"/>
      <c r="O90" s="98"/>
      <c r="Q90" s="104"/>
      <c r="R90" s="6"/>
      <c r="S90" s="6"/>
      <c r="T90" s="65"/>
      <c r="U90" s="6"/>
      <c r="V90" s="6"/>
      <c r="W90" s="6"/>
      <c r="X90" s="6"/>
      <c r="Y90" s="6"/>
      <c r="Z90" s="6"/>
      <c r="AA90" s="6"/>
      <c r="AB90" s="6"/>
      <c r="AC90" s="6"/>
      <c r="AD90" s="317"/>
      <c r="AE90" s="317"/>
      <c r="AF90" s="317"/>
      <c r="AG90" s="319"/>
      <c r="AL90" s="25"/>
      <c r="AM90" s="91"/>
    </row>
    <row r="91" spans="2:39">
      <c r="B91" s="39"/>
      <c r="C91" s="6"/>
      <c r="D91" s="6"/>
      <c r="E91" s="6"/>
      <c r="F91" s="6"/>
      <c r="G91" s="317"/>
      <c r="H91" s="315"/>
      <c r="I91" s="317"/>
      <c r="J91" s="31"/>
      <c r="K91" s="6"/>
      <c r="L91" s="6"/>
      <c r="M91" s="6"/>
      <c r="N91" s="6"/>
      <c r="O91" s="98"/>
      <c r="Q91" s="104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317"/>
      <c r="AE91" s="317"/>
      <c r="AF91" s="317"/>
      <c r="AG91" s="319"/>
      <c r="AL91" s="25"/>
      <c r="AM91" s="91"/>
    </row>
    <row r="92" spans="2:39">
      <c r="B92" s="39"/>
      <c r="C92" s="6"/>
      <c r="D92" s="6"/>
      <c r="E92" s="6"/>
      <c r="F92" s="6"/>
      <c r="G92" s="317"/>
      <c r="H92" s="315"/>
      <c r="I92" s="317"/>
      <c r="J92" s="31"/>
      <c r="K92" s="6"/>
      <c r="L92" s="6"/>
      <c r="M92" s="6"/>
      <c r="N92" s="6"/>
      <c r="O92" s="98"/>
      <c r="Q92" s="104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317"/>
      <c r="AE92" s="317"/>
      <c r="AF92" s="317"/>
      <c r="AG92" s="319"/>
      <c r="AL92" s="25"/>
      <c r="AM92" s="91"/>
    </row>
    <row r="93" spans="2:39">
      <c r="B93" s="39"/>
      <c r="C93" s="6"/>
      <c r="D93" s="6"/>
      <c r="E93" s="6"/>
      <c r="F93" s="6"/>
      <c r="G93" s="317"/>
      <c r="H93" s="315"/>
      <c r="I93" s="317"/>
      <c r="J93" s="31"/>
      <c r="K93" s="6"/>
      <c r="L93" s="6"/>
      <c r="M93" s="6"/>
      <c r="N93" s="6"/>
      <c r="O93" s="98"/>
      <c r="Q93" s="104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317"/>
      <c r="AE93" s="317"/>
      <c r="AF93" s="317"/>
      <c r="AG93" s="319"/>
      <c r="AL93" s="25"/>
      <c r="AM93" s="91"/>
    </row>
    <row r="94" spans="2:39">
      <c r="B94" s="39"/>
      <c r="C94" s="6"/>
      <c r="D94" s="6"/>
      <c r="E94" s="6"/>
      <c r="F94" s="6"/>
      <c r="G94" s="317"/>
      <c r="H94" s="315"/>
      <c r="I94" s="317"/>
      <c r="J94" s="31"/>
      <c r="K94" s="6"/>
      <c r="L94" s="6"/>
      <c r="M94" s="6"/>
      <c r="N94" s="6"/>
      <c r="O94" s="98"/>
      <c r="Q94" s="104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317"/>
      <c r="AE94" s="317"/>
      <c r="AF94" s="317"/>
      <c r="AG94" s="319"/>
      <c r="AL94" s="25"/>
      <c r="AM94" s="91"/>
    </row>
    <row r="95" spans="2:39">
      <c r="B95" s="39"/>
      <c r="C95" s="6"/>
      <c r="D95" s="6"/>
      <c r="E95" s="6"/>
      <c r="F95" s="6"/>
      <c r="G95" s="317"/>
      <c r="H95" s="315"/>
      <c r="I95" s="317"/>
      <c r="J95" s="31"/>
      <c r="K95" s="6"/>
      <c r="L95" s="6"/>
      <c r="M95" s="6"/>
      <c r="N95" s="6"/>
      <c r="O95" s="98"/>
      <c r="Q95" s="104"/>
      <c r="R95" s="6"/>
      <c r="S95" s="6"/>
      <c r="T95" s="66"/>
      <c r="U95" s="6"/>
      <c r="V95" s="6"/>
      <c r="W95" s="6"/>
      <c r="X95" s="6"/>
      <c r="Y95" s="6"/>
      <c r="Z95" s="6"/>
      <c r="AA95" s="6"/>
      <c r="AB95" s="6"/>
      <c r="AC95" s="6"/>
      <c r="AD95" s="317"/>
      <c r="AE95" s="317"/>
      <c r="AF95" s="317"/>
      <c r="AG95" s="319"/>
      <c r="AL95" s="25"/>
      <c r="AM95" s="91"/>
    </row>
    <row r="96" spans="2:39">
      <c r="B96" s="39"/>
      <c r="C96" s="6"/>
      <c r="D96" s="6"/>
      <c r="E96" s="6"/>
      <c r="F96" s="6"/>
      <c r="G96" s="317"/>
      <c r="H96" s="315"/>
      <c r="I96" s="317"/>
      <c r="J96" s="31"/>
      <c r="K96" s="6"/>
      <c r="L96" s="6"/>
      <c r="M96" s="6"/>
      <c r="N96" s="6"/>
      <c r="O96" s="98"/>
      <c r="Q96" s="104"/>
      <c r="R96" s="6"/>
      <c r="S96" s="6"/>
      <c r="T96" s="66"/>
      <c r="U96" s="6"/>
      <c r="V96" s="6"/>
      <c r="W96" s="6"/>
      <c r="X96" s="6"/>
      <c r="Y96" s="6"/>
      <c r="Z96" s="6"/>
      <c r="AA96" s="6"/>
      <c r="AB96" s="6"/>
      <c r="AC96" s="6"/>
      <c r="AD96" s="317"/>
      <c r="AE96" s="317"/>
      <c r="AF96" s="317"/>
      <c r="AG96" s="319"/>
      <c r="AL96" s="25"/>
      <c r="AM96" s="91"/>
    </row>
    <row r="97" spans="2:39">
      <c r="B97" s="39"/>
      <c r="C97" s="6"/>
      <c r="D97" s="6"/>
      <c r="E97" s="6"/>
      <c r="F97" s="6"/>
      <c r="G97" s="317"/>
      <c r="H97" s="315"/>
      <c r="I97" s="317"/>
      <c r="J97" s="31"/>
      <c r="K97" s="6"/>
      <c r="L97" s="6"/>
      <c r="M97" s="6"/>
      <c r="N97" s="6"/>
      <c r="O97" s="98"/>
      <c r="Q97" s="104"/>
      <c r="R97" s="6"/>
      <c r="S97" s="6"/>
      <c r="T97" s="66"/>
      <c r="U97" s="6"/>
      <c r="V97" s="6"/>
      <c r="W97" s="6"/>
      <c r="X97" s="6"/>
      <c r="Y97" s="6"/>
      <c r="Z97" s="6"/>
      <c r="AA97" s="6"/>
      <c r="AB97" s="6"/>
      <c r="AC97" s="6"/>
      <c r="AD97" s="317"/>
      <c r="AE97" s="317"/>
      <c r="AF97" s="317"/>
      <c r="AG97" s="319"/>
      <c r="AL97" s="25"/>
      <c r="AM97" s="91"/>
    </row>
    <row r="98" spans="2:39">
      <c r="B98" s="39"/>
      <c r="C98" s="6"/>
      <c r="D98" s="6"/>
      <c r="E98" s="6"/>
      <c r="F98" s="6"/>
      <c r="G98" s="317"/>
      <c r="H98" s="315"/>
      <c r="I98" s="317"/>
      <c r="J98" s="31"/>
      <c r="K98" s="6"/>
      <c r="L98" s="6"/>
      <c r="M98" s="6"/>
      <c r="N98" s="6"/>
      <c r="O98" s="98"/>
      <c r="Q98" s="104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317"/>
      <c r="AE98" s="317"/>
      <c r="AF98" s="317"/>
      <c r="AG98" s="319"/>
      <c r="AL98" s="25"/>
      <c r="AM98" s="91"/>
    </row>
    <row r="99" spans="2:39">
      <c r="B99" s="39"/>
      <c r="C99" s="6"/>
      <c r="D99" s="6"/>
      <c r="E99" s="6"/>
      <c r="F99" s="6"/>
      <c r="G99" s="317"/>
      <c r="H99" s="315"/>
      <c r="I99" s="317"/>
      <c r="J99" s="31"/>
      <c r="K99" s="6"/>
      <c r="L99" s="6"/>
      <c r="M99" s="6"/>
      <c r="N99" s="6"/>
      <c r="O99" s="98"/>
      <c r="Q99" s="104"/>
      <c r="R99" s="6"/>
      <c r="S99" s="6"/>
      <c r="T99" s="66"/>
      <c r="U99" s="6"/>
      <c r="V99" s="6"/>
      <c r="W99" s="6"/>
      <c r="X99" s="6"/>
      <c r="Y99" s="6"/>
      <c r="Z99" s="6"/>
      <c r="AA99" s="6"/>
      <c r="AB99" s="6"/>
      <c r="AC99" s="6"/>
      <c r="AD99" s="317"/>
      <c r="AE99" s="317"/>
      <c r="AF99" s="317"/>
      <c r="AG99" s="319"/>
      <c r="AL99" s="25"/>
      <c r="AM99" s="91"/>
    </row>
    <row r="100" spans="2:39">
      <c r="B100" s="39"/>
      <c r="C100" s="6"/>
      <c r="D100" s="6"/>
      <c r="E100" s="6"/>
      <c r="F100" s="6"/>
      <c r="G100" s="317"/>
      <c r="H100" s="315"/>
      <c r="I100" s="317"/>
      <c r="J100" s="31"/>
      <c r="K100" s="6"/>
      <c r="L100" s="6"/>
      <c r="M100" s="6"/>
      <c r="N100" s="6"/>
      <c r="O100" s="98"/>
      <c r="Q100" s="104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317"/>
      <c r="AE100" s="317"/>
      <c r="AF100" s="317"/>
      <c r="AG100" s="319"/>
      <c r="AL100" s="25"/>
      <c r="AM100" s="91"/>
    </row>
    <row r="101" spans="2:39">
      <c r="B101" s="39"/>
      <c r="C101" s="6"/>
      <c r="D101" s="6"/>
      <c r="E101" s="6"/>
      <c r="F101" s="6"/>
      <c r="G101" s="317"/>
      <c r="H101" s="315"/>
      <c r="I101" s="317"/>
      <c r="J101" s="31"/>
      <c r="K101" s="6"/>
      <c r="L101" s="6"/>
      <c r="M101" s="6"/>
      <c r="N101" s="6"/>
      <c r="O101" s="98"/>
      <c r="Q101" s="104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317"/>
      <c r="AE101" s="317"/>
      <c r="AF101" s="317"/>
      <c r="AG101" s="319"/>
      <c r="AL101" s="25"/>
      <c r="AM101" s="91"/>
    </row>
    <row r="102" spans="2:39">
      <c r="B102" s="39"/>
      <c r="C102" s="6"/>
      <c r="D102" s="6"/>
      <c r="E102" s="6"/>
      <c r="F102" s="6"/>
      <c r="G102" s="317"/>
      <c r="H102" s="315"/>
      <c r="I102" s="317"/>
      <c r="J102" s="31"/>
      <c r="K102" s="6"/>
      <c r="L102" s="6"/>
      <c r="M102" s="6"/>
      <c r="N102" s="6"/>
      <c r="O102" s="98"/>
      <c r="Q102" s="104"/>
      <c r="R102" s="6"/>
      <c r="S102" s="6"/>
      <c r="T102" s="66"/>
      <c r="U102" s="6"/>
      <c r="V102" s="6"/>
      <c r="W102" s="6"/>
      <c r="X102" s="6"/>
      <c r="Y102" s="6"/>
      <c r="Z102" s="6"/>
      <c r="AA102" s="6"/>
      <c r="AB102" s="6"/>
      <c r="AC102" s="6"/>
      <c r="AD102" s="317"/>
      <c r="AE102" s="317"/>
      <c r="AF102" s="317"/>
      <c r="AG102" s="319"/>
      <c r="AL102" s="25"/>
      <c r="AM102" s="91"/>
    </row>
    <row r="103" spans="2:39">
      <c r="B103" s="39"/>
      <c r="C103" s="6"/>
      <c r="D103" s="6"/>
      <c r="E103" s="6"/>
      <c r="F103" s="6"/>
      <c r="G103" s="317"/>
      <c r="H103" s="315"/>
      <c r="I103" s="317"/>
      <c r="J103" s="31"/>
      <c r="K103" s="6"/>
      <c r="L103" s="6"/>
      <c r="M103" s="6"/>
      <c r="N103" s="6"/>
      <c r="O103" s="98"/>
      <c r="Q103" s="104"/>
      <c r="R103" s="6"/>
      <c r="S103" s="6"/>
      <c r="T103" s="66"/>
      <c r="U103" s="6"/>
      <c r="V103" s="6"/>
      <c r="W103" s="6"/>
      <c r="X103" s="6"/>
      <c r="Y103" s="6"/>
      <c r="Z103" s="6"/>
      <c r="AA103" s="6"/>
      <c r="AB103" s="6"/>
      <c r="AC103" s="6"/>
      <c r="AD103" s="317"/>
      <c r="AE103" s="317"/>
      <c r="AF103" s="317"/>
      <c r="AG103" s="319"/>
      <c r="AL103" s="25"/>
      <c r="AM103" s="91"/>
    </row>
    <row r="104" spans="2:39">
      <c r="B104" s="39"/>
      <c r="C104" s="6"/>
      <c r="D104" s="6"/>
      <c r="E104" s="6"/>
      <c r="F104" s="6"/>
      <c r="G104" s="317"/>
      <c r="H104" s="315"/>
      <c r="I104" s="317"/>
      <c r="J104" s="31"/>
      <c r="K104" s="6"/>
      <c r="L104" s="6"/>
      <c r="M104" s="6"/>
      <c r="N104" s="6"/>
      <c r="O104" s="98"/>
      <c r="Q104" s="104"/>
      <c r="R104" s="6"/>
      <c r="S104" s="6"/>
      <c r="T104" s="65"/>
      <c r="U104" s="6"/>
      <c r="V104" s="6"/>
      <c r="W104" s="6"/>
      <c r="X104" s="6"/>
      <c r="Y104" s="6"/>
      <c r="Z104" s="6"/>
      <c r="AA104" s="6"/>
      <c r="AB104" s="6"/>
      <c r="AC104" s="6"/>
      <c r="AD104" s="317"/>
      <c r="AE104" s="317"/>
      <c r="AF104" s="317"/>
      <c r="AG104" s="319"/>
      <c r="AL104" s="25"/>
      <c r="AM104" s="91"/>
    </row>
    <row r="105" spans="2:39">
      <c r="B105" s="39"/>
      <c r="C105" s="6"/>
      <c r="D105" s="6"/>
      <c r="E105" s="6"/>
      <c r="F105" s="6"/>
      <c r="G105" s="317"/>
      <c r="H105" s="315"/>
      <c r="I105" s="317"/>
      <c r="J105" s="31"/>
      <c r="K105" s="6"/>
      <c r="L105" s="6"/>
      <c r="M105" s="6"/>
      <c r="N105" s="6"/>
      <c r="O105" s="98"/>
      <c r="Q105" s="104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317"/>
      <c r="AE105" s="317"/>
      <c r="AF105" s="317"/>
      <c r="AG105" s="319"/>
      <c r="AL105" s="25"/>
      <c r="AM105" s="91"/>
    </row>
    <row r="106" spans="2:39">
      <c r="B106" s="135"/>
      <c r="C106" s="140"/>
      <c r="D106" s="140"/>
      <c r="E106" s="140"/>
      <c r="F106" s="140"/>
      <c r="G106" s="320"/>
      <c r="H106" s="321"/>
      <c r="I106" s="320"/>
      <c r="J106" s="6"/>
      <c r="K106" s="6"/>
      <c r="L106" s="6"/>
      <c r="M106" s="6"/>
      <c r="N106" s="6"/>
      <c r="O106" s="98"/>
      <c r="Q106" s="104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317"/>
      <c r="AE106" s="317"/>
      <c r="AF106" s="317"/>
      <c r="AG106" s="319"/>
      <c r="AL106" s="25"/>
      <c r="AM106" s="91"/>
    </row>
    <row r="107" spans="2:39">
      <c r="B107" s="39"/>
      <c r="C107" s="6"/>
      <c r="D107" s="6"/>
      <c r="E107" s="6"/>
      <c r="F107" s="6"/>
      <c r="G107" s="317"/>
      <c r="H107" s="315"/>
      <c r="I107" s="317"/>
      <c r="J107" s="6"/>
      <c r="K107" s="6"/>
      <c r="L107" s="6"/>
      <c r="M107" s="6"/>
      <c r="N107" s="6"/>
      <c r="O107" s="98"/>
      <c r="Q107" s="104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317"/>
      <c r="AE107" s="317"/>
      <c r="AF107" s="317"/>
      <c r="AG107" s="319"/>
      <c r="AL107" s="25"/>
      <c r="AM107" s="91"/>
    </row>
    <row r="108" spans="2:39">
      <c r="B108" s="39"/>
      <c r="C108" s="6"/>
      <c r="D108" s="6"/>
      <c r="E108" s="6"/>
      <c r="F108" s="6"/>
      <c r="G108" s="317"/>
      <c r="H108" s="315"/>
      <c r="I108" s="317"/>
      <c r="J108" s="6"/>
      <c r="K108" s="6"/>
      <c r="L108" s="6"/>
      <c r="M108" s="6"/>
      <c r="N108" s="6"/>
      <c r="O108" s="98"/>
      <c r="Q108" s="104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317"/>
      <c r="AE108" s="317"/>
      <c r="AF108" s="317"/>
      <c r="AG108" s="319"/>
      <c r="AL108" s="25"/>
      <c r="AM108" s="91"/>
    </row>
    <row r="109" spans="2:39">
      <c r="B109" s="39"/>
      <c r="C109" s="6"/>
      <c r="D109" s="6"/>
      <c r="E109" s="6"/>
      <c r="F109" s="6"/>
      <c r="G109" s="317"/>
      <c r="H109" s="315"/>
      <c r="I109" s="317"/>
      <c r="J109" s="6"/>
      <c r="K109" s="6"/>
      <c r="L109" s="6"/>
      <c r="M109" s="6"/>
      <c r="N109" s="6"/>
      <c r="O109" s="98"/>
      <c r="Q109" s="104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317"/>
      <c r="AE109" s="317"/>
      <c r="AF109" s="317"/>
      <c r="AG109" s="319"/>
      <c r="AL109" s="25"/>
      <c r="AM109" s="91"/>
    </row>
    <row r="110" spans="2:39">
      <c r="B110" s="39"/>
      <c r="C110" s="6"/>
      <c r="D110" s="6"/>
      <c r="E110" s="6"/>
      <c r="F110" s="6"/>
      <c r="G110" s="317"/>
      <c r="H110" s="315"/>
      <c r="I110" s="317"/>
      <c r="J110" s="6"/>
      <c r="K110" s="6"/>
      <c r="L110" s="6"/>
      <c r="M110" s="6"/>
      <c r="N110" s="6"/>
      <c r="O110" s="98"/>
      <c r="Q110" s="104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317"/>
      <c r="AE110" s="317"/>
      <c r="AF110" s="317"/>
      <c r="AG110" s="319"/>
      <c r="AL110" s="25"/>
      <c r="AM110" s="91"/>
    </row>
    <row r="111" spans="2:39">
      <c r="B111" s="39"/>
      <c r="C111" s="6"/>
      <c r="D111" s="6"/>
      <c r="E111" s="6"/>
      <c r="F111" s="6"/>
      <c r="G111" s="317"/>
      <c r="H111" s="315"/>
      <c r="I111" s="317"/>
      <c r="J111" s="6"/>
      <c r="K111" s="6"/>
      <c r="L111" s="6"/>
      <c r="M111" s="6"/>
      <c r="N111" s="6"/>
      <c r="O111" s="98"/>
      <c r="Q111" s="104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317"/>
      <c r="AE111" s="317"/>
      <c r="AF111" s="317"/>
      <c r="AG111" s="319"/>
      <c r="AL111" s="25"/>
      <c r="AM111" s="91"/>
    </row>
    <row r="112" spans="2:39">
      <c r="B112" s="39"/>
      <c r="C112" s="6"/>
      <c r="D112" s="6"/>
      <c r="E112" s="6"/>
      <c r="F112" s="6"/>
      <c r="G112" s="317"/>
      <c r="H112" s="315"/>
      <c r="I112" s="317"/>
      <c r="J112" s="6"/>
      <c r="K112" s="6"/>
      <c r="L112" s="6"/>
      <c r="M112" s="6"/>
      <c r="N112" s="6"/>
      <c r="O112" s="98"/>
      <c r="Q112" s="104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24"/>
      <c r="AL112" s="25"/>
      <c r="AM112" s="91"/>
    </row>
    <row r="113" spans="2:39">
      <c r="B113" s="39"/>
      <c r="C113" s="6"/>
      <c r="D113" s="6"/>
      <c r="E113" s="6"/>
      <c r="F113" s="6"/>
      <c r="G113" s="317"/>
      <c r="H113" s="315"/>
      <c r="I113" s="317"/>
      <c r="J113" s="6"/>
      <c r="K113" s="6"/>
      <c r="L113" s="6"/>
      <c r="M113" s="6"/>
      <c r="N113" s="6"/>
      <c r="O113" s="98"/>
      <c r="Q113" s="104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24"/>
      <c r="AL113" s="25"/>
      <c r="AM113" s="91"/>
    </row>
    <row r="114" spans="2:39">
      <c r="B114" s="39"/>
      <c r="C114" s="6"/>
      <c r="D114" s="6"/>
      <c r="E114" s="6"/>
      <c r="F114" s="6"/>
      <c r="G114" s="317"/>
      <c r="H114" s="315"/>
      <c r="I114" s="317"/>
      <c r="J114" s="6"/>
      <c r="K114" s="6"/>
      <c r="L114" s="6"/>
      <c r="M114" s="6"/>
      <c r="N114" s="6"/>
      <c r="O114" s="98"/>
      <c r="Q114" s="104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24"/>
      <c r="AL114" s="25"/>
      <c r="AM114" s="91"/>
    </row>
    <row r="115" spans="2:39">
      <c r="B115" s="39"/>
      <c r="C115" s="6"/>
      <c r="D115" s="6"/>
      <c r="E115" s="6"/>
      <c r="F115" s="6"/>
      <c r="G115" s="317"/>
      <c r="H115" s="315"/>
      <c r="I115" s="317"/>
      <c r="J115" s="6"/>
      <c r="K115" s="6"/>
      <c r="L115" s="6"/>
      <c r="M115" s="6"/>
      <c r="N115" s="6"/>
      <c r="O115" s="98"/>
      <c r="Q115" s="104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24"/>
      <c r="AL115" s="25"/>
      <c r="AM115" s="91"/>
    </row>
    <row r="116" spans="2:39">
      <c r="B116" s="39"/>
      <c r="C116" s="6"/>
      <c r="D116" s="6"/>
      <c r="E116" s="6"/>
      <c r="F116" s="6"/>
      <c r="G116" s="317"/>
      <c r="H116" s="315"/>
      <c r="I116" s="317"/>
      <c r="J116" s="6"/>
      <c r="K116" s="6"/>
      <c r="L116" s="6"/>
      <c r="M116" s="6"/>
      <c r="N116" s="6"/>
      <c r="O116" s="98"/>
      <c r="Q116" s="104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24"/>
      <c r="AL116" s="25"/>
      <c r="AM116" s="91"/>
    </row>
    <row r="117" spans="2:39">
      <c r="B117" s="39"/>
      <c r="C117" s="6"/>
      <c r="D117" s="6"/>
      <c r="E117" s="6"/>
      <c r="F117" s="6"/>
      <c r="G117" s="6"/>
      <c r="H117" s="315"/>
      <c r="I117" s="317"/>
      <c r="J117" s="6"/>
      <c r="K117" s="6"/>
      <c r="L117" s="6"/>
      <c r="M117" s="6"/>
      <c r="N117" s="6"/>
      <c r="O117" s="98"/>
      <c r="Q117" s="104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24"/>
      <c r="AL117" s="25"/>
      <c r="AM117" s="91"/>
    </row>
    <row r="118" spans="2:39">
      <c r="B118" s="39"/>
      <c r="C118" s="6"/>
      <c r="D118" s="6"/>
      <c r="E118" s="6"/>
      <c r="F118" s="6"/>
      <c r="G118" s="6"/>
      <c r="H118" s="315"/>
      <c r="I118" s="317"/>
      <c r="J118" s="6"/>
      <c r="K118" s="6"/>
      <c r="L118" s="6"/>
      <c r="M118" s="6"/>
      <c r="N118" s="6"/>
      <c r="O118" s="98"/>
      <c r="Q118" s="104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24"/>
      <c r="AL118" s="25"/>
      <c r="AM118" s="91"/>
    </row>
    <row r="119" spans="2:39">
      <c r="B119" s="39"/>
      <c r="C119" s="6"/>
      <c r="D119" s="6"/>
      <c r="E119" s="6"/>
      <c r="F119" s="6"/>
      <c r="G119" s="6"/>
      <c r="H119" s="315"/>
      <c r="I119" s="317"/>
      <c r="J119" s="6"/>
      <c r="K119" s="6"/>
      <c r="L119" s="6"/>
      <c r="M119" s="6"/>
      <c r="N119" s="6"/>
      <c r="O119" s="98"/>
      <c r="Q119" s="104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24"/>
      <c r="AL119" s="25"/>
      <c r="AM119" s="91"/>
    </row>
    <row r="120" spans="2:39">
      <c r="B120" s="39"/>
      <c r="C120" s="6"/>
      <c r="D120" s="6"/>
      <c r="E120" s="6"/>
      <c r="F120" s="6"/>
      <c r="G120" s="6"/>
      <c r="H120" s="315"/>
      <c r="I120" s="317"/>
      <c r="J120" s="6"/>
      <c r="K120" s="6"/>
      <c r="L120" s="6"/>
      <c r="M120" s="6"/>
      <c r="N120" s="6"/>
      <c r="O120" s="98"/>
      <c r="Q120" s="104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24"/>
      <c r="AL120" s="25"/>
      <c r="AM120" s="91"/>
    </row>
    <row r="121" spans="2:39">
      <c r="B121" s="39"/>
      <c r="C121" s="6"/>
      <c r="D121" s="6"/>
      <c r="E121" s="6"/>
      <c r="F121" s="6"/>
      <c r="G121" s="6"/>
      <c r="H121" s="315"/>
      <c r="I121" s="317"/>
      <c r="J121" s="6"/>
      <c r="K121" s="6"/>
      <c r="L121" s="6"/>
      <c r="M121" s="6"/>
      <c r="N121" s="6"/>
      <c r="O121" s="98"/>
      <c r="Q121" s="104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24"/>
      <c r="AL121" s="25"/>
      <c r="AM121" s="91"/>
    </row>
    <row r="122" spans="2:39">
      <c r="B122" s="39"/>
      <c r="C122" s="6"/>
      <c r="D122" s="6"/>
      <c r="E122" s="6"/>
      <c r="F122" s="6"/>
      <c r="G122" s="6"/>
      <c r="H122" s="315"/>
      <c r="I122" s="317"/>
      <c r="J122" s="6"/>
      <c r="K122" s="6"/>
      <c r="L122" s="6"/>
      <c r="M122" s="6"/>
      <c r="N122" s="6"/>
      <c r="O122" s="98"/>
      <c r="Q122" s="104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24"/>
      <c r="AL122" s="25"/>
      <c r="AM122" s="91"/>
    </row>
    <row r="123" spans="2:39">
      <c r="B123" s="39"/>
      <c r="C123" s="6"/>
      <c r="D123" s="6"/>
      <c r="E123" s="6"/>
      <c r="F123" s="6"/>
      <c r="G123" s="6"/>
      <c r="H123" s="315"/>
      <c r="I123" s="317"/>
      <c r="J123" s="6"/>
      <c r="K123" s="6"/>
      <c r="L123" s="6"/>
      <c r="M123" s="6"/>
      <c r="N123" s="6"/>
      <c r="O123" s="98"/>
      <c r="Q123" s="104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24"/>
      <c r="AL123" s="25"/>
      <c r="AM123" s="91"/>
    </row>
    <row r="124" spans="2:39">
      <c r="B124" s="39"/>
      <c r="C124" s="6"/>
      <c r="D124" s="6"/>
      <c r="E124" s="6"/>
      <c r="F124" s="6"/>
      <c r="G124" s="6"/>
      <c r="H124" s="315"/>
      <c r="I124" s="317"/>
      <c r="J124" s="6"/>
      <c r="K124" s="6"/>
      <c r="L124" s="6"/>
      <c r="M124" s="6"/>
      <c r="N124" s="6"/>
      <c r="O124" s="98"/>
      <c r="Q124" s="104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24"/>
      <c r="AL124" s="25"/>
      <c r="AM124" s="91"/>
    </row>
    <row r="125" spans="2:39">
      <c r="B125" s="39"/>
      <c r="C125" s="6"/>
      <c r="D125" s="6"/>
      <c r="E125" s="6"/>
      <c r="F125" s="6"/>
      <c r="G125" s="6"/>
      <c r="H125" s="315"/>
      <c r="I125" s="317"/>
      <c r="J125" s="6"/>
      <c r="K125" s="6"/>
      <c r="L125" s="6"/>
      <c r="M125" s="6"/>
      <c r="N125" s="6"/>
      <c r="O125" s="98"/>
      <c r="Q125" s="104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24"/>
      <c r="AL125" s="25"/>
      <c r="AM125" s="91"/>
    </row>
    <row r="126" spans="2:39">
      <c r="B126" s="39"/>
      <c r="C126" s="6"/>
      <c r="D126" s="6"/>
      <c r="E126" s="6"/>
      <c r="F126" s="6"/>
      <c r="G126" s="6"/>
      <c r="H126" s="315"/>
      <c r="I126" s="317"/>
      <c r="J126" s="6"/>
      <c r="K126" s="6"/>
      <c r="L126" s="6"/>
      <c r="M126" s="6"/>
      <c r="N126" s="6"/>
      <c r="O126" s="98"/>
      <c r="Q126" s="104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24"/>
      <c r="AL126" s="25"/>
      <c r="AM126" s="91"/>
    </row>
    <row r="127" spans="2:39">
      <c r="B127" s="39"/>
      <c r="C127" s="6"/>
      <c r="D127" s="6"/>
      <c r="E127" s="6"/>
      <c r="F127" s="6"/>
      <c r="G127" s="6"/>
      <c r="H127" s="315"/>
      <c r="I127" s="317"/>
      <c r="J127" s="6"/>
      <c r="K127" s="6"/>
      <c r="L127" s="6"/>
      <c r="M127" s="6"/>
      <c r="N127" s="6"/>
      <c r="O127" s="98"/>
      <c r="Q127" s="104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24"/>
      <c r="AL127" s="25"/>
      <c r="AM127" s="91"/>
    </row>
    <row r="128" spans="2:39">
      <c r="B128" s="39"/>
      <c r="C128" s="6"/>
      <c r="D128" s="6"/>
      <c r="E128" s="6"/>
      <c r="F128" s="6"/>
      <c r="G128" s="6"/>
      <c r="H128" s="315"/>
      <c r="I128" s="317"/>
      <c r="J128" s="6"/>
      <c r="K128" s="6"/>
      <c r="L128" s="6"/>
      <c r="M128" s="6"/>
      <c r="N128" s="6"/>
      <c r="O128" s="98"/>
      <c r="Q128" s="104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24"/>
      <c r="AL128" s="25"/>
      <c r="AM128" s="91"/>
    </row>
    <row r="129" spans="2:39">
      <c r="B129" s="39"/>
      <c r="C129" s="6"/>
      <c r="D129" s="6"/>
      <c r="E129" s="6"/>
      <c r="F129" s="6"/>
      <c r="G129" s="6"/>
      <c r="H129" s="315"/>
      <c r="I129" s="317"/>
      <c r="J129" s="6"/>
      <c r="K129" s="6"/>
      <c r="L129" s="6"/>
      <c r="M129" s="6"/>
      <c r="N129" s="6"/>
      <c r="O129" s="98"/>
      <c r="Q129" s="104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24"/>
      <c r="AL129" s="25"/>
      <c r="AM129" s="91"/>
    </row>
    <row r="130" spans="2:39">
      <c r="B130" s="39"/>
      <c r="C130" s="6"/>
      <c r="D130" s="6"/>
      <c r="E130" s="6"/>
      <c r="F130" s="6"/>
      <c r="G130" s="6"/>
      <c r="H130" s="315"/>
      <c r="I130" s="317"/>
      <c r="J130" s="6"/>
      <c r="K130" s="6"/>
      <c r="L130" s="6"/>
      <c r="M130" s="6"/>
      <c r="N130" s="6"/>
      <c r="O130" s="98"/>
      <c r="Q130" s="104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24"/>
      <c r="AL130" s="25"/>
      <c r="AM130" s="91"/>
    </row>
    <row r="131" spans="2:39">
      <c r="B131" s="39"/>
      <c r="C131" s="6"/>
      <c r="D131" s="6"/>
      <c r="E131" s="6"/>
      <c r="F131" s="6"/>
      <c r="G131" s="6"/>
      <c r="H131" s="315"/>
      <c r="I131" s="317"/>
      <c r="J131" s="6"/>
      <c r="K131" s="6"/>
      <c r="L131" s="6"/>
      <c r="M131" s="6"/>
      <c r="N131" s="6"/>
      <c r="O131" s="98"/>
      <c r="Q131" s="104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24"/>
      <c r="AL131" s="25"/>
      <c r="AM131" s="91"/>
    </row>
    <row r="132" spans="2:39">
      <c r="B132" s="39"/>
      <c r="C132" s="6"/>
      <c r="D132" s="6"/>
      <c r="E132" s="6"/>
      <c r="F132" s="6"/>
      <c r="G132" s="6"/>
      <c r="H132" s="315"/>
      <c r="I132" s="317"/>
      <c r="J132" s="6"/>
      <c r="K132" s="6"/>
      <c r="L132" s="6"/>
      <c r="M132" s="6"/>
      <c r="N132" s="6"/>
      <c r="O132" s="98"/>
      <c r="Q132" s="104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24"/>
      <c r="AL132" s="25"/>
      <c r="AM132" s="91"/>
    </row>
    <row r="133" spans="2:39">
      <c r="B133" s="39"/>
      <c r="C133" s="6"/>
      <c r="D133" s="6"/>
      <c r="E133" s="6"/>
      <c r="F133" s="6"/>
      <c r="G133" s="6"/>
      <c r="H133" s="315"/>
      <c r="I133" s="317"/>
      <c r="J133" s="6"/>
      <c r="K133" s="6"/>
      <c r="L133" s="6"/>
      <c r="M133" s="6"/>
      <c r="N133" s="6"/>
      <c r="O133" s="98"/>
      <c r="Q133" s="104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24"/>
      <c r="AL133" s="25"/>
      <c r="AM133" s="91"/>
    </row>
    <row r="134" spans="2:39">
      <c r="B134" s="39"/>
      <c r="C134" s="6"/>
      <c r="D134" s="6"/>
      <c r="E134" s="6"/>
      <c r="F134" s="6"/>
      <c r="G134" s="6"/>
      <c r="H134" s="315"/>
      <c r="I134" s="317"/>
      <c r="J134" s="6"/>
      <c r="K134" s="6"/>
      <c r="L134" s="6"/>
      <c r="M134" s="6"/>
      <c r="N134" s="6"/>
      <c r="O134" s="98"/>
      <c r="Q134" s="104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24"/>
      <c r="AL134" s="25"/>
      <c r="AM134" s="91"/>
    </row>
    <row r="135" spans="2:39">
      <c r="B135" s="39"/>
      <c r="C135" s="6"/>
      <c r="D135" s="6"/>
      <c r="E135" s="6"/>
      <c r="F135" s="6"/>
      <c r="G135" s="6"/>
      <c r="H135" s="315"/>
      <c r="I135" s="317"/>
      <c r="J135" s="6"/>
      <c r="K135" s="6"/>
      <c r="L135" s="6"/>
      <c r="M135" s="6"/>
      <c r="N135" s="6"/>
      <c r="O135" s="98"/>
      <c r="Q135" s="104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24"/>
      <c r="AL135" s="25"/>
      <c r="AM135" s="91"/>
    </row>
    <row r="136" spans="2:39">
      <c r="B136" s="39"/>
      <c r="C136" s="6"/>
      <c r="D136" s="6"/>
      <c r="E136" s="6"/>
      <c r="F136" s="6"/>
      <c r="G136" s="6"/>
      <c r="H136" s="315"/>
      <c r="I136" s="317"/>
      <c r="J136" s="6"/>
      <c r="K136" s="6"/>
      <c r="L136" s="6"/>
      <c r="M136" s="6"/>
      <c r="N136" s="6"/>
      <c r="O136" s="98"/>
      <c r="Q136" s="104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24"/>
      <c r="AL136" s="25"/>
      <c r="AM136" s="91"/>
    </row>
    <row r="137" spans="2:39">
      <c r="B137" s="39"/>
      <c r="C137" s="6"/>
      <c r="D137" s="6"/>
      <c r="E137" s="6"/>
      <c r="F137" s="6"/>
      <c r="G137" s="6"/>
      <c r="H137" s="315"/>
      <c r="I137" s="317"/>
      <c r="J137" s="6"/>
      <c r="K137" s="6"/>
      <c r="L137" s="6"/>
      <c r="M137" s="6"/>
      <c r="N137" s="6"/>
      <c r="O137" s="98"/>
      <c r="Q137" s="104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24"/>
      <c r="AL137" s="25"/>
      <c r="AM137" s="91"/>
    </row>
    <row r="138" spans="2:39">
      <c r="B138" s="39"/>
      <c r="C138" s="6"/>
      <c r="D138" s="6"/>
      <c r="E138" s="6"/>
      <c r="F138" s="6"/>
      <c r="G138" s="6"/>
      <c r="H138" s="315"/>
      <c r="I138" s="317"/>
      <c r="J138" s="6"/>
      <c r="K138" s="6"/>
      <c r="L138" s="6"/>
      <c r="M138" s="6"/>
      <c r="N138" s="6"/>
      <c r="O138" s="98"/>
      <c r="Q138" s="104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24"/>
      <c r="AL138" s="25"/>
      <c r="AM138" s="91"/>
    </row>
    <row r="139" spans="2:39">
      <c r="B139" s="39"/>
      <c r="C139" s="6"/>
      <c r="D139" s="6"/>
      <c r="E139" s="6"/>
      <c r="F139" s="6"/>
      <c r="G139" s="6"/>
      <c r="H139" s="315"/>
      <c r="I139" s="317"/>
      <c r="J139" s="6"/>
      <c r="K139" s="6"/>
      <c r="L139" s="6"/>
      <c r="M139" s="6"/>
      <c r="N139" s="6"/>
      <c r="O139" s="98"/>
      <c r="Q139" s="104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24"/>
      <c r="AL139" s="25"/>
      <c r="AM139" s="91"/>
    </row>
    <row r="140" spans="2:39">
      <c r="B140" s="39"/>
      <c r="C140" s="6"/>
      <c r="D140" s="6"/>
      <c r="E140" s="6"/>
      <c r="F140" s="6"/>
      <c r="G140" s="6"/>
      <c r="H140" s="315"/>
      <c r="I140" s="317"/>
      <c r="J140" s="6"/>
      <c r="K140" s="6"/>
      <c r="L140" s="6"/>
      <c r="M140" s="6"/>
      <c r="N140" s="6"/>
      <c r="O140" s="98"/>
      <c r="Q140" s="104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24"/>
      <c r="AL140" s="25"/>
      <c r="AM140" s="91"/>
    </row>
    <row r="141" spans="2:39">
      <c r="B141" s="39"/>
      <c r="C141" s="6"/>
      <c r="D141" s="6"/>
      <c r="E141" s="6"/>
      <c r="F141" s="6"/>
      <c r="G141" s="6"/>
      <c r="H141" s="315"/>
      <c r="I141" s="317"/>
      <c r="J141" s="6"/>
      <c r="K141" s="6"/>
      <c r="L141" s="6"/>
      <c r="M141" s="6"/>
      <c r="N141" s="6"/>
      <c r="O141" s="98"/>
      <c r="Q141" s="104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24"/>
      <c r="AL141" s="25"/>
      <c r="AM141" s="91"/>
    </row>
    <row r="142" spans="2:39">
      <c r="B142" s="39"/>
      <c r="C142" s="6"/>
      <c r="D142" s="6"/>
      <c r="E142" s="6"/>
      <c r="F142" s="6"/>
      <c r="G142" s="6"/>
      <c r="H142" s="315"/>
      <c r="I142" s="317"/>
      <c r="J142" s="6"/>
      <c r="K142" s="6"/>
      <c r="L142" s="6"/>
      <c r="M142" s="6"/>
      <c r="N142" s="6"/>
      <c r="O142" s="98"/>
      <c r="Q142" s="104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24"/>
      <c r="AL142" s="25"/>
      <c r="AM142" s="91"/>
    </row>
    <row r="143" spans="2:39">
      <c r="B143" s="39"/>
      <c r="C143" s="6"/>
      <c r="D143" s="6"/>
      <c r="E143" s="6"/>
      <c r="F143" s="6"/>
      <c r="G143" s="6"/>
      <c r="H143" s="315"/>
      <c r="I143" s="317"/>
      <c r="J143" s="6"/>
      <c r="K143" s="6"/>
      <c r="L143" s="6"/>
      <c r="M143" s="6"/>
      <c r="N143" s="6"/>
      <c r="O143" s="98"/>
      <c r="Q143" s="104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24"/>
      <c r="AL143" s="25"/>
      <c r="AM143" s="91"/>
    </row>
    <row r="144" spans="2:39">
      <c r="B144" s="39"/>
      <c r="C144" s="6"/>
      <c r="D144" s="6"/>
      <c r="E144" s="6"/>
      <c r="F144" s="6"/>
      <c r="G144" s="6"/>
      <c r="H144" s="315"/>
      <c r="I144" s="317"/>
      <c r="J144" s="6"/>
      <c r="K144" s="6"/>
      <c r="L144" s="6"/>
      <c r="M144" s="6"/>
      <c r="N144" s="6"/>
      <c r="O144" s="98"/>
      <c r="Q144" s="104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24"/>
      <c r="AL144" s="25"/>
      <c r="AM144" s="91"/>
    </row>
    <row r="145" spans="2:39">
      <c r="B145" s="39"/>
      <c r="C145" s="6"/>
      <c r="D145" s="6"/>
      <c r="E145" s="6"/>
      <c r="F145" s="6"/>
      <c r="G145" s="6"/>
      <c r="H145" s="315"/>
      <c r="I145" s="317"/>
      <c r="J145" s="6"/>
      <c r="K145" s="6"/>
      <c r="L145" s="6"/>
      <c r="M145" s="6"/>
      <c r="N145" s="6"/>
      <c r="O145" s="98"/>
      <c r="Q145" s="104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24"/>
      <c r="AL145" s="25"/>
      <c r="AM145" s="91"/>
    </row>
    <row r="146" spans="2:39">
      <c r="B146" s="39"/>
      <c r="C146" s="6"/>
      <c r="D146" s="6"/>
      <c r="E146" s="6"/>
      <c r="F146" s="6"/>
      <c r="G146" s="6"/>
      <c r="H146" s="315"/>
      <c r="I146" s="317"/>
      <c r="J146" s="6"/>
      <c r="K146" s="6"/>
      <c r="L146" s="6"/>
      <c r="M146" s="6"/>
      <c r="N146" s="6"/>
      <c r="O146" s="98"/>
      <c r="Q146" s="104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24"/>
      <c r="AL146" s="25"/>
      <c r="AM146" s="91"/>
    </row>
    <row r="147" spans="2:39">
      <c r="B147" s="39"/>
      <c r="C147" s="6"/>
      <c r="D147" s="6"/>
      <c r="E147" s="6"/>
      <c r="F147" s="6"/>
      <c r="G147" s="6"/>
      <c r="H147" s="315"/>
      <c r="I147" s="317"/>
      <c r="J147" s="6"/>
      <c r="K147" s="6"/>
      <c r="L147" s="6"/>
      <c r="M147" s="6"/>
      <c r="N147" s="6"/>
      <c r="O147" s="98"/>
      <c r="Q147" s="104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24"/>
      <c r="AL147" s="25"/>
      <c r="AM147" s="91"/>
    </row>
    <row r="148" spans="2:39">
      <c r="B148" s="39"/>
      <c r="C148" s="6"/>
      <c r="D148" s="6"/>
      <c r="E148" s="6"/>
      <c r="F148" s="6"/>
      <c r="G148" s="6"/>
      <c r="H148" s="315"/>
      <c r="I148" s="317"/>
      <c r="J148" s="6"/>
      <c r="K148" s="6"/>
      <c r="L148" s="6"/>
      <c r="M148" s="6"/>
      <c r="N148" s="6"/>
      <c r="O148" s="98"/>
      <c r="Q148" s="104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24"/>
      <c r="AL148" s="25"/>
      <c r="AM148" s="91"/>
    </row>
    <row r="149" spans="2:39">
      <c r="B149" s="39"/>
      <c r="C149" s="6"/>
      <c r="D149" s="6"/>
      <c r="E149" s="6"/>
      <c r="F149" s="6"/>
      <c r="G149" s="6"/>
      <c r="H149" s="315"/>
      <c r="I149" s="317"/>
      <c r="J149" s="6"/>
      <c r="K149" s="6"/>
      <c r="L149" s="6"/>
      <c r="M149" s="6"/>
      <c r="N149" s="6"/>
      <c r="O149" s="98"/>
      <c r="Q149" s="104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24"/>
      <c r="AL149" s="25"/>
      <c r="AM149" s="91"/>
    </row>
    <row r="150" spans="2:39">
      <c r="B150" s="39"/>
      <c r="C150" s="6"/>
      <c r="D150" s="6"/>
      <c r="E150" s="6"/>
      <c r="F150" s="6"/>
      <c r="G150" s="6"/>
      <c r="H150" s="315"/>
      <c r="I150" s="317"/>
      <c r="J150" s="6"/>
      <c r="K150" s="6"/>
      <c r="L150" s="6"/>
      <c r="M150" s="6"/>
      <c r="N150" s="6"/>
      <c r="O150" s="98"/>
      <c r="Q150" s="104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24"/>
      <c r="AL150" s="25"/>
      <c r="AM150" s="91"/>
    </row>
    <row r="151" spans="2:39">
      <c r="B151" s="39"/>
      <c r="C151" s="6"/>
      <c r="D151" s="6"/>
      <c r="E151" s="6"/>
      <c r="F151" s="6"/>
      <c r="G151" s="6"/>
      <c r="H151" s="315"/>
      <c r="I151" s="317"/>
      <c r="J151" s="6"/>
      <c r="K151" s="6"/>
      <c r="L151" s="6"/>
      <c r="M151" s="6"/>
      <c r="N151" s="6"/>
      <c r="O151" s="98"/>
      <c r="Q151" s="104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24"/>
      <c r="AL151" s="25"/>
      <c r="AM151" s="91"/>
    </row>
    <row r="152" spans="2:39">
      <c r="B152" s="39"/>
      <c r="C152" s="6"/>
      <c r="D152" s="6"/>
      <c r="E152" s="6"/>
      <c r="F152" s="6"/>
      <c r="G152" s="6"/>
      <c r="H152" s="315"/>
      <c r="I152" s="317"/>
      <c r="J152" s="6"/>
      <c r="K152" s="6"/>
      <c r="L152" s="6"/>
      <c r="M152" s="6"/>
      <c r="N152" s="6"/>
      <c r="O152" s="98"/>
      <c r="Q152" s="104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24"/>
      <c r="AL152" s="25"/>
      <c r="AM152" s="91"/>
    </row>
    <row r="153" spans="2:39">
      <c r="B153" s="39"/>
      <c r="C153" s="6"/>
      <c r="D153" s="6"/>
      <c r="E153" s="6"/>
      <c r="F153" s="6"/>
      <c r="G153" s="6"/>
      <c r="H153" s="315"/>
      <c r="I153" s="317"/>
      <c r="J153" s="6"/>
      <c r="K153" s="6"/>
      <c r="L153" s="6"/>
      <c r="M153" s="6"/>
      <c r="N153" s="6"/>
      <c r="O153" s="98"/>
      <c r="Q153" s="104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24"/>
      <c r="AL153" s="25"/>
      <c r="AM153" s="91"/>
    </row>
    <row r="154" spans="2:39">
      <c r="B154" s="39"/>
      <c r="C154" s="6"/>
      <c r="D154" s="6"/>
      <c r="E154" s="6"/>
      <c r="F154" s="6"/>
      <c r="G154" s="6"/>
      <c r="H154" s="315"/>
      <c r="I154" s="317"/>
      <c r="J154" s="6"/>
      <c r="K154" s="6"/>
      <c r="L154" s="6"/>
      <c r="M154" s="6"/>
      <c r="N154" s="6"/>
      <c r="O154" s="98"/>
      <c r="Q154" s="104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24"/>
      <c r="AL154" s="25"/>
      <c r="AM154" s="91"/>
    </row>
    <row r="155" spans="2:39">
      <c r="B155" s="39"/>
      <c r="C155" s="6"/>
      <c r="D155" s="6"/>
      <c r="E155" s="6"/>
      <c r="F155" s="6"/>
      <c r="G155" s="6"/>
      <c r="H155" s="315"/>
      <c r="I155" s="317"/>
      <c r="J155" s="6"/>
      <c r="K155" s="6"/>
      <c r="L155" s="6"/>
      <c r="M155" s="6"/>
      <c r="N155" s="6"/>
      <c r="O155" s="98"/>
      <c r="Q155" s="104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24"/>
      <c r="AL155" s="25"/>
      <c r="AM155" s="91"/>
    </row>
    <row r="156" spans="2:39">
      <c r="B156" s="39"/>
      <c r="C156" s="6"/>
      <c r="D156" s="6"/>
      <c r="E156" s="6"/>
      <c r="F156" s="6"/>
      <c r="G156" s="6"/>
      <c r="H156" s="315"/>
      <c r="I156" s="317"/>
      <c r="J156" s="6"/>
      <c r="K156" s="6"/>
      <c r="L156" s="6"/>
      <c r="M156" s="6"/>
      <c r="N156" s="6"/>
      <c r="O156" s="98"/>
      <c r="Q156" s="104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24"/>
      <c r="AL156" s="25"/>
      <c r="AM156" s="91"/>
    </row>
    <row r="157" spans="2:39">
      <c r="B157" s="39"/>
      <c r="C157" s="6"/>
      <c r="D157" s="6"/>
      <c r="E157" s="6"/>
      <c r="F157" s="6"/>
      <c r="G157" s="6"/>
      <c r="H157" s="315"/>
      <c r="I157" s="317"/>
      <c r="J157" s="6"/>
      <c r="K157" s="6"/>
      <c r="L157" s="6"/>
      <c r="M157" s="6"/>
      <c r="N157" s="6"/>
      <c r="O157" s="98"/>
      <c r="Q157" s="104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24"/>
      <c r="AL157" s="25"/>
      <c r="AM157" s="91"/>
    </row>
    <row r="158" spans="2:39">
      <c r="B158" s="39"/>
      <c r="C158" s="6"/>
      <c r="D158" s="6"/>
      <c r="E158" s="6"/>
      <c r="F158" s="6"/>
      <c r="G158" s="6"/>
      <c r="H158" s="315"/>
      <c r="I158" s="317"/>
      <c r="J158" s="6"/>
      <c r="K158" s="6"/>
      <c r="L158" s="6"/>
      <c r="M158" s="6"/>
      <c r="N158" s="6"/>
      <c r="O158" s="98"/>
      <c r="Q158" s="104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24"/>
      <c r="AL158" s="25"/>
      <c r="AM158" s="91"/>
    </row>
    <row r="159" spans="2:39">
      <c r="B159" s="39"/>
      <c r="C159" s="6"/>
      <c r="D159" s="6"/>
      <c r="E159" s="6"/>
      <c r="F159" s="6"/>
      <c r="G159" s="6"/>
      <c r="H159" s="315"/>
      <c r="I159" s="317"/>
      <c r="J159" s="6"/>
      <c r="K159" s="6"/>
      <c r="L159" s="6"/>
      <c r="M159" s="6"/>
      <c r="N159" s="6"/>
      <c r="O159" s="98"/>
      <c r="Q159" s="104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24"/>
      <c r="AL159" s="25"/>
      <c r="AM159" s="91"/>
    </row>
    <row r="160" spans="2:39">
      <c r="B160" s="39"/>
      <c r="C160" s="6"/>
      <c r="D160" s="6"/>
      <c r="E160" s="6"/>
      <c r="F160" s="6"/>
      <c r="G160" s="6"/>
      <c r="H160" s="315"/>
      <c r="I160" s="317"/>
      <c r="J160" s="6"/>
      <c r="K160" s="6"/>
      <c r="L160" s="6"/>
      <c r="M160" s="6"/>
      <c r="N160" s="6"/>
      <c r="O160" s="98"/>
      <c r="Q160" s="104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24"/>
      <c r="AL160" s="25"/>
      <c r="AM160" s="91"/>
    </row>
    <row r="161" spans="2:39">
      <c r="B161" s="39"/>
      <c r="C161" s="6"/>
      <c r="D161" s="6"/>
      <c r="E161" s="6"/>
      <c r="F161" s="6"/>
      <c r="G161" s="6"/>
      <c r="H161" s="315"/>
      <c r="I161" s="317"/>
      <c r="J161" s="6"/>
      <c r="K161" s="6"/>
      <c r="L161" s="6"/>
      <c r="M161" s="6"/>
      <c r="N161" s="6"/>
      <c r="O161" s="98"/>
      <c r="Q161" s="104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24"/>
      <c r="AL161" s="25"/>
      <c r="AM161" s="91"/>
    </row>
    <row r="162" spans="2:39">
      <c r="B162" s="39"/>
      <c r="C162" s="6"/>
      <c r="D162" s="6"/>
      <c r="E162" s="6"/>
      <c r="F162" s="6"/>
      <c r="G162" s="6"/>
      <c r="H162" s="315"/>
      <c r="I162" s="317"/>
      <c r="J162" s="6"/>
      <c r="K162" s="6"/>
      <c r="L162" s="6"/>
      <c r="M162" s="6"/>
      <c r="N162" s="6"/>
      <c r="O162" s="98"/>
      <c r="Q162" s="104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24"/>
      <c r="AL162" s="25"/>
      <c r="AM162" s="91"/>
    </row>
    <row r="163" spans="2:39">
      <c r="B163" s="39"/>
      <c r="C163" s="6"/>
      <c r="D163" s="6"/>
      <c r="E163" s="6"/>
      <c r="F163" s="6"/>
      <c r="G163" s="6"/>
      <c r="H163" s="315"/>
      <c r="I163" s="317"/>
      <c r="J163" s="6"/>
      <c r="K163" s="6"/>
      <c r="L163" s="6"/>
      <c r="M163" s="6"/>
      <c r="N163" s="6"/>
      <c r="O163" s="98"/>
      <c r="Q163" s="104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24"/>
      <c r="AL163" s="25"/>
      <c r="AM163" s="91"/>
    </row>
    <row r="164" spans="2:39">
      <c r="B164" s="39"/>
      <c r="C164" s="6"/>
      <c r="D164" s="6"/>
      <c r="E164" s="6"/>
      <c r="F164" s="6"/>
      <c r="G164" s="6"/>
      <c r="H164" s="315"/>
      <c r="I164" s="317"/>
      <c r="J164" s="6"/>
      <c r="K164" s="6"/>
      <c r="L164" s="6"/>
      <c r="M164" s="6"/>
      <c r="N164" s="6"/>
      <c r="O164" s="98"/>
      <c r="Q164" s="104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24"/>
      <c r="AL164" s="25"/>
      <c r="AM164" s="91"/>
    </row>
    <row r="165" spans="2:39">
      <c r="B165" s="39"/>
      <c r="C165" s="6"/>
      <c r="D165" s="6"/>
      <c r="E165" s="6"/>
      <c r="F165" s="6"/>
      <c r="G165" s="6"/>
      <c r="H165" s="315"/>
      <c r="I165" s="317"/>
      <c r="J165" s="6"/>
      <c r="K165" s="6"/>
      <c r="L165" s="6"/>
      <c r="M165" s="6"/>
      <c r="N165" s="6"/>
      <c r="O165" s="98"/>
      <c r="Q165" s="104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24"/>
      <c r="AL165" s="25"/>
      <c r="AM165" s="91"/>
    </row>
    <row r="166" spans="2:39">
      <c r="B166" s="39"/>
      <c r="C166" s="6"/>
      <c r="D166" s="6"/>
      <c r="E166" s="6"/>
      <c r="F166" s="6"/>
      <c r="G166" s="6"/>
      <c r="H166" s="315"/>
      <c r="I166" s="317"/>
      <c r="J166" s="6"/>
      <c r="K166" s="6"/>
      <c r="L166" s="6"/>
      <c r="M166" s="6"/>
      <c r="N166" s="6"/>
      <c r="O166" s="98"/>
      <c r="Q166" s="104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24"/>
      <c r="AL166" s="25"/>
      <c r="AM166" s="91"/>
    </row>
    <row r="167" spans="2:39">
      <c r="B167" s="39"/>
      <c r="C167" s="6"/>
      <c r="D167" s="6"/>
      <c r="E167" s="6"/>
      <c r="F167" s="6"/>
      <c r="G167" s="6"/>
      <c r="H167" s="315"/>
      <c r="I167" s="317"/>
      <c r="J167" s="6"/>
      <c r="K167" s="6"/>
      <c r="L167" s="6"/>
      <c r="M167" s="6"/>
      <c r="N167" s="6"/>
      <c r="O167" s="98"/>
      <c r="Q167" s="104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24"/>
      <c r="AL167" s="25"/>
      <c r="AM167" s="91"/>
    </row>
    <row r="168" spans="2:39">
      <c r="B168" s="39"/>
      <c r="C168" s="6"/>
      <c r="D168" s="6"/>
      <c r="E168" s="6"/>
      <c r="F168" s="6"/>
      <c r="G168" s="6"/>
      <c r="H168" s="315"/>
      <c r="I168" s="317"/>
      <c r="J168" s="6"/>
      <c r="K168" s="6"/>
      <c r="L168" s="6"/>
      <c r="M168" s="6"/>
      <c r="N168" s="6"/>
      <c r="O168" s="98"/>
      <c r="Q168" s="104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24"/>
      <c r="AL168" s="25"/>
      <c r="AM168" s="91"/>
    </row>
    <row r="169" spans="2:39">
      <c r="B169" s="39"/>
      <c r="C169" s="6"/>
      <c r="D169" s="6"/>
      <c r="E169" s="6"/>
      <c r="F169" s="6"/>
      <c r="G169" s="6"/>
      <c r="H169" s="315"/>
      <c r="I169" s="317"/>
      <c r="J169" s="6"/>
      <c r="K169" s="6"/>
      <c r="L169" s="6"/>
      <c r="M169" s="6"/>
      <c r="N169" s="6"/>
      <c r="O169" s="98"/>
      <c r="Q169" s="104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24"/>
      <c r="AL169" s="25"/>
      <c r="AM169" s="91"/>
    </row>
    <row r="170" spans="2:39">
      <c r="B170" s="39"/>
      <c r="C170" s="6"/>
      <c r="D170" s="6"/>
      <c r="E170" s="6"/>
      <c r="F170" s="6"/>
      <c r="G170" s="6"/>
      <c r="H170" s="315"/>
      <c r="I170" s="317"/>
      <c r="J170" s="6"/>
      <c r="K170" s="6"/>
      <c r="L170" s="6"/>
      <c r="M170" s="6"/>
      <c r="N170" s="6"/>
      <c r="O170" s="98"/>
      <c r="Q170" s="104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24"/>
      <c r="AL170" s="25"/>
      <c r="AM170" s="91"/>
    </row>
    <row r="171" spans="2:39">
      <c r="B171" s="39"/>
      <c r="C171" s="6"/>
      <c r="D171" s="6"/>
      <c r="E171" s="6"/>
      <c r="F171" s="6"/>
      <c r="G171" s="6"/>
      <c r="H171" s="315"/>
      <c r="I171" s="317"/>
      <c r="J171" s="6"/>
      <c r="K171" s="6"/>
      <c r="L171" s="6"/>
      <c r="M171" s="6"/>
      <c r="N171" s="6"/>
      <c r="O171" s="98"/>
      <c r="Q171" s="104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24"/>
      <c r="AL171" s="25"/>
      <c r="AM171" s="91"/>
    </row>
    <row r="172" spans="2:39">
      <c r="B172" s="39"/>
      <c r="C172" s="6"/>
      <c r="D172" s="6"/>
      <c r="E172" s="6"/>
      <c r="F172" s="6"/>
      <c r="G172" s="6"/>
      <c r="H172" s="315"/>
      <c r="I172" s="317"/>
      <c r="J172" s="6"/>
      <c r="K172" s="6"/>
      <c r="L172" s="6"/>
      <c r="M172" s="6"/>
      <c r="N172" s="6"/>
      <c r="O172" s="98"/>
      <c r="Q172" s="104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24"/>
      <c r="AL172" s="25"/>
      <c r="AM172" s="91"/>
    </row>
    <row r="173" spans="2:39">
      <c r="B173" s="39"/>
      <c r="C173" s="6"/>
      <c r="D173" s="6"/>
      <c r="E173" s="6"/>
      <c r="F173" s="6"/>
      <c r="G173" s="6"/>
      <c r="H173" s="315"/>
      <c r="I173" s="317"/>
      <c r="J173" s="6"/>
      <c r="K173" s="6"/>
      <c r="L173" s="6"/>
      <c r="M173" s="6"/>
      <c r="N173" s="6"/>
      <c r="O173" s="98"/>
      <c r="Q173" s="104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24"/>
      <c r="AL173" s="25"/>
      <c r="AM173" s="91"/>
    </row>
    <row r="174" spans="2:39">
      <c r="B174" s="39"/>
      <c r="C174" s="6"/>
      <c r="D174" s="6"/>
      <c r="E174" s="6"/>
      <c r="F174" s="6"/>
      <c r="G174" s="6"/>
      <c r="H174" s="315"/>
      <c r="I174" s="317"/>
      <c r="J174" s="6"/>
      <c r="K174" s="6"/>
      <c r="L174" s="6"/>
      <c r="M174" s="6"/>
      <c r="N174" s="6"/>
      <c r="O174" s="98"/>
      <c r="Q174" s="104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24"/>
      <c r="AL174" s="25"/>
      <c r="AM174" s="91"/>
    </row>
    <row r="175" spans="2:39">
      <c r="B175" s="39"/>
      <c r="C175" s="6"/>
      <c r="D175" s="6"/>
      <c r="E175" s="6"/>
      <c r="F175" s="6"/>
      <c r="G175" s="6"/>
      <c r="H175" s="315"/>
      <c r="I175" s="317"/>
      <c r="J175" s="6"/>
      <c r="K175" s="6"/>
      <c r="L175" s="6"/>
      <c r="M175" s="6"/>
      <c r="N175" s="6"/>
      <c r="O175" s="98"/>
      <c r="Q175" s="104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24"/>
      <c r="AL175" s="25"/>
      <c r="AM175" s="91"/>
    </row>
    <row r="176" spans="2:39">
      <c r="B176" s="39"/>
      <c r="C176" s="6"/>
      <c r="D176" s="6"/>
      <c r="E176" s="6"/>
      <c r="F176" s="6"/>
      <c r="G176" s="6"/>
      <c r="H176" s="315"/>
      <c r="I176" s="317"/>
      <c r="J176" s="6"/>
      <c r="K176" s="6"/>
      <c r="L176" s="6"/>
      <c r="M176" s="6"/>
      <c r="N176" s="6"/>
      <c r="O176" s="98"/>
      <c r="Q176" s="104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24"/>
      <c r="AL176" s="25"/>
      <c r="AM176" s="91"/>
    </row>
    <row r="177" spans="2:39">
      <c r="B177" s="39"/>
      <c r="C177" s="6"/>
      <c r="D177" s="6"/>
      <c r="E177" s="6"/>
      <c r="F177" s="6"/>
      <c r="G177" s="6"/>
      <c r="H177" s="315"/>
      <c r="I177" s="317"/>
      <c r="J177" s="6"/>
      <c r="K177" s="6"/>
      <c r="L177" s="6"/>
      <c r="M177" s="6"/>
      <c r="N177" s="6"/>
      <c r="O177" s="98"/>
      <c r="Q177" s="104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24"/>
      <c r="AL177" s="25"/>
      <c r="AM177" s="91"/>
    </row>
    <row r="178" spans="2:39">
      <c r="B178" s="39"/>
      <c r="C178" s="6"/>
      <c r="D178" s="6"/>
      <c r="E178" s="6"/>
      <c r="F178" s="6"/>
      <c r="G178" s="6"/>
      <c r="H178" s="315"/>
      <c r="I178" s="317"/>
      <c r="J178" s="6"/>
      <c r="K178" s="6"/>
      <c r="L178" s="6"/>
      <c r="M178" s="6"/>
      <c r="N178" s="6"/>
      <c r="O178" s="98"/>
      <c r="Q178" s="104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24"/>
      <c r="AL178" s="25"/>
      <c r="AM178" s="91"/>
    </row>
    <row r="179" spans="2:39">
      <c r="B179" s="39"/>
      <c r="C179" s="6"/>
      <c r="D179" s="6"/>
      <c r="E179" s="6"/>
      <c r="F179" s="6"/>
      <c r="G179" s="6"/>
      <c r="H179" s="315"/>
      <c r="I179" s="317"/>
      <c r="J179" s="6"/>
      <c r="K179" s="6"/>
      <c r="L179" s="6"/>
      <c r="M179" s="6"/>
      <c r="N179" s="6"/>
      <c r="O179" s="98"/>
      <c r="Q179" s="104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24"/>
      <c r="AL179" s="25"/>
      <c r="AM179" s="91"/>
    </row>
    <row r="180" spans="2:39">
      <c r="B180" s="39"/>
      <c r="C180" s="6"/>
      <c r="D180" s="6"/>
      <c r="E180" s="6"/>
      <c r="F180" s="6"/>
      <c r="G180" s="6"/>
      <c r="H180" s="315"/>
      <c r="I180" s="317"/>
      <c r="J180" s="6"/>
      <c r="K180" s="6"/>
      <c r="L180" s="6"/>
      <c r="M180" s="6"/>
      <c r="N180" s="6"/>
      <c r="O180" s="98"/>
      <c r="Q180" s="104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24"/>
      <c r="AL180" s="25"/>
      <c r="AM180" s="91"/>
    </row>
    <row r="181" spans="2:39">
      <c r="B181" s="39"/>
      <c r="C181" s="6"/>
      <c r="D181" s="6"/>
      <c r="E181" s="6"/>
      <c r="F181" s="6"/>
      <c r="G181" s="6"/>
      <c r="H181" s="315"/>
      <c r="I181" s="317"/>
      <c r="J181" s="6"/>
      <c r="K181" s="6"/>
      <c r="L181" s="6"/>
      <c r="M181" s="6"/>
      <c r="N181" s="6"/>
      <c r="O181" s="98"/>
      <c r="Q181" s="104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24"/>
      <c r="AL181" s="25"/>
      <c r="AM181" s="91"/>
    </row>
    <row r="182" spans="2:39">
      <c r="B182" s="39"/>
      <c r="C182" s="6"/>
      <c r="D182" s="6"/>
      <c r="E182" s="6"/>
      <c r="F182" s="6"/>
      <c r="G182" s="6"/>
      <c r="H182" s="315"/>
      <c r="I182" s="317"/>
      <c r="J182" s="6"/>
      <c r="K182" s="6"/>
      <c r="L182" s="6"/>
      <c r="M182" s="6"/>
      <c r="N182" s="6"/>
      <c r="O182" s="98"/>
      <c r="Q182" s="104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24"/>
      <c r="AL182" s="25"/>
      <c r="AM182" s="91"/>
    </row>
    <row r="183" spans="2:39">
      <c r="B183" s="39"/>
      <c r="C183" s="6"/>
      <c r="D183" s="6"/>
      <c r="E183" s="6"/>
      <c r="F183" s="6"/>
      <c r="G183" s="6"/>
      <c r="H183" s="315"/>
      <c r="I183" s="317"/>
      <c r="J183" s="6"/>
      <c r="K183" s="6"/>
      <c r="L183" s="6"/>
      <c r="M183" s="6"/>
      <c r="N183" s="6"/>
      <c r="O183" s="98"/>
      <c r="Q183" s="104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24"/>
      <c r="AL183" s="25"/>
      <c r="AM183" s="91"/>
    </row>
    <row r="184" spans="2:39">
      <c r="B184" s="39"/>
      <c r="C184" s="6"/>
      <c r="D184" s="6"/>
      <c r="E184" s="6"/>
      <c r="F184" s="6"/>
      <c r="G184" s="6"/>
      <c r="H184" s="315"/>
      <c r="I184" s="317"/>
      <c r="J184" s="6"/>
      <c r="K184" s="6"/>
      <c r="L184" s="6"/>
      <c r="M184" s="6"/>
      <c r="N184" s="6"/>
      <c r="O184" s="98"/>
      <c r="Q184" s="104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24"/>
      <c r="AL184" s="25"/>
      <c r="AM184" s="91"/>
    </row>
    <row r="185" spans="2:39">
      <c r="B185" s="39"/>
      <c r="C185" s="6"/>
      <c r="D185" s="6"/>
      <c r="E185" s="6"/>
      <c r="F185" s="6"/>
      <c r="G185" s="6"/>
      <c r="H185" s="315"/>
      <c r="I185" s="317"/>
      <c r="J185" s="6"/>
      <c r="K185" s="6"/>
      <c r="L185" s="6"/>
      <c r="M185" s="6"/>
      <c r="N185" s="6"/>
      <c r="O185" s="98"/>
      <c r="Q185" s="104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24"/>
      <c r="AL185" s="25"/>
      <c r="AM185" s="91"/>
    </row>
    <row r="186" spans="2:39">
      <c r="B186" s="39"/>
      <c r="C186" s="6"/>
      <c r="D186" s="6"/>
      <c r="E186" s="6"/>
      <c r="F186" s="6"/>
      <c r="G186" s="6"/>
      <c r="H186" s="315"/>
      <c r="I186" s="317"/>
      <c r="J186" s="6"/>
      <c r="K186" s="6"/>
      <c r="L186" s="6"/>
      <c r="M186" s="6"/>
      <c r="N186" s="6"/>
      <c r="O186" s="98"/>
      <c r="Q186" s="104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24"/>
      <c r="AL186" s="25"/>
      <c r="AM186" s="91"/>
    </row>
    <row r="187" spans="2:39">
      <c r="B187" s="39"/>
      <c r="C187" s="6"/>
      <c r="D187" s="6"/>
      <c r="E187" s="6"/>
      <c r="F187" s="6"/>
      <c r="G187" s="6"/>
      <c r="H187" s="315"/>
      <c r="I187" s="317"/>
      <c r="J187" s="6"/>
      <c r="K187" s="6"/>
      <c r="L187" s="6"/>
      <c r="M187" s="6"/>
      <c r="N187" s="6"/>
      <c r="O187" s="98"/>
      <c r="Q187" s="104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24"/>
      <c r="AL187" s="25"/>
      <c r="AM187" s="91"/>
    </row>
    <row r="188" spans="2:39">
      <c r="B188" s="39"/>
      <c r="C188" s="6"/>
      <c r="D188" s="6"/>
      <c r="E188" s="6"/>
      <c r="F188" s="6"/>
      <c r="G188" s="6"/>
      <c r="H188" s="315"/>
      <c r="I188" s="317"/>
      <c r="J188" s="6"/>
      <c r="K188" s="6"/>
      <c r="L188" s="6"/>
      <c r="M188" s="6"/>
      <c r="N188" s="6"/>
      <c r="O188" s="98"/>
      <c r="Q188" s="104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24"/>
      <c r="AL188" s="25"/>
      <c r="AM188" s="91"/>
    </row>
    <row r="189" spans="2:39">
      <c r="B189" s="39"/>
      <c r="C189" s="6"/>
      <c r="D189" s="6"/>
      <c r="E189" s="6"/>
      <c r="F189" s="6"/>
      <c r="G189" s="6"/>
      <c r="H189" s="315"/>
      <c r="I189" s="317"/>
      <c r="J189" s="6"/>
      <c r="K189" s="6"/>
      <c r="L189" s="6"/>
      <c r="M189" s="6"/>
      <c r="N189" s="6"/>
      <c r="O189" s="98"/>
      <c r="Q189" s="104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24"/>
      <c r="AL189" s="25"/>
      <c r="AM189" s="91"/>
    </row>
    <row r="190" spans="2:39">
      <c r="B190" s="39"/>
      <c r="C190" s="6"/>
      <c r="D190" s="6"/>
      <c r="E190" s="6"/>
      <c r="F190" s="6"/>
      <c r="G190" s="6"/>
      <c r="H190" s="315"/>
      <c r="I190" s="317"/>
      <c r="J190" s="6"/>
      <c r="K190" s="6"/>
      <c r="L190" s="6"/>
      <c r="M190" s="6"/>
      <c r="N190" s="6"/>
      <c r="O190" s="98"/>
      <c r="Q190" s="104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24"/>
      <c r="AL190" s="25"/>
      <c r="AM190" s="91"/>
    </row>
    <row r="191" spans="2:39">
      <c r="B191" s="39"/>
      <c r="C191" s="6"/>
      <c r="D191" s="6"/>
      <c r="E191" s="6"/>
      <c r="F191" s="6"/>
      <c r="G191" s="6"/>
      <c r="H191" s="315"/>
      <c r="I191" s="317"/>
      <c r="J191" s="6"/>
      <c r="K191" s="6"/>
      <c r="L191" s="6"/>
      <c r="M191" s="6"/>
      <c r="N191" s="6"/>
      <c r="O191" s="98"/>
      <c r="Q191" s="104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24"/>
      <c r="AL191" s="25"/>
      <c r="AM191" s="91"/>
    </row>
    <row r="192" spans="2:39">
      <c r="B192" s="39"/>
      <c r="C192" s="6"/>
      <c r="D192" s="6"/>
      <c r="E192" s="6"/>
      <c r="F192" s="6"/>
      <c r="G192" s="6"/>
      <c r="H192" s="315"/>
      <c r="I192" s="317"/>
      <c r="J192" s="6"/>
      <c r="K192" s="6"/>
      <c r="L192" s="6"/>
      <c r="M192" s="6"/>
      <c r="N192" s="6"/>
      <c r="O192" s="98"/>
      <c r="Q192" s="104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24"/>
      <c r="AL192" s="25"/>
      <c r="AM192" s="91"/>
    </row>
    <row r="193" spans="2:39">
      <c r="B193" s="39"/>
      <c r="C193" s="6"/>
      <c r="D193" s="6"/>
      <c r="E193" s="6"/>
      <c r="F193" s="6"/>
      <c r="G193" s="6"/>
      <c r="H193" s="315"/>
      <c r="I193" s="317"/>
      <c r="J193" s="6"/>
      <c r="K193" s="6"/>
      <c r="L193" s="6"/>
      <c r="M193" s="6"/>
      <c r="N193" s="6"/>
      <c r="O193" s="98"/>
      <c r="Q193" s="104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24"/>
      <c r="AL193" s="25"/>
      <c r="AM193" s="91"/>
    </row>
    <row r="194" spans="2:39">
      <c r="B194" s="39"/>
      <c r="C194" s="6"/>
      <c r="D194" s="6"/>
      <c r="E194" s="6"/>
      <c r="F194" s="6"/>
      <c r="G194" s="6"/>
      <c r="H194" s="315"/>
      <c r="I194" s="317"/>
      <c r="J194" s="6"/>
      <c r="K194" s="6"/>
      <c r="L194" s="6"/>
      <c r="M194" s="6"/>
      <c r="N194" s="6"/>
      <c r="O194" s="98"/>
      <c r="Q194" s="104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24"/>
      <c r="AL194" s="25"/>
      <c r="AM194" s="91"/>
    </row>
    <row r="195" spans="2:39">
      <c r="B195" s="39"/>
      <c r="C195" s="6"/>
      <c r="D195" s="6"/>
      <c r="E195" s="6"/>
      <c r="F195" s="6"/>
      <c r="G195" s="6"/>
      <c r="H195" s="315"/>
      <c r="I195" s="317"/>
      <c r="J195" s="6"/>
      <c r="K195" s="6"/>
      <c r="L195" s="6"/>
      <c r="M195" s="6"/>
      <c r="N195" s="6"/>
      <c r="O195" s="98"/>
      <c r="Q195" s="104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24"/>
      <c r="AL195" s="25"/>
      <c r="AM195" s="91"/>
    </row>
    <row r="196" spans="2:39">
      <c r="B196" s="39"/>
      <c r="C196" s="6"/>
      <c r="D196" s="6"/>
      <c r="E196" s="6"/>
      <c r="F196" s="6"/>
      <c r="G196" s="6"/>
      <c r="H196" s="315"/>
      <c r="I196" s="317"/>
      <c r="J196" s="6"/>
      <c r="K196" s="6"/>
      <c r="L196" s="6"/>
      <c r="M196" s="6"/>
      <c r="N196" s="6"/>
      <c r="O196" s="98"/>
      <c r="Q196" s="104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24"/>
      <c r="AL196" s="25"/>
      <c r="AM196" s="91"/>
    </row>
    <row r="197" spans="2:39">
      <c r="B197" s="39"/>
      <c r="C197" s="6"/>
      <c r="D197" s="6"/>
      <c r="E197" s="6"/>
      <c r="F197" s="6"/>
      <c r="G197" s="6"/>
      <c r="H197" s="315"/>
      <c r="I197" s="317"/>
      <c r="J197" s="6"/>
      <c r="K197" s="6"/>
      <c r="L197" s="6"/>
      <c r="M197" s="6"/>
      <c r="N197" s="6"/>
      <c r="O197" s="98"/>
      <c r="Q197" s="104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24"/>
      <c r="AL197" s="25"/>
      <c r="AM197" s="91"/>
    </row>
    <row r="198" spans="2:39">
      <c r="B198" s="39"/>
      <c r="C198" s="6"/>
      <c r="D198" s="6"/>
      <c r="E198" s="6"/>
      <c r="F198" s="6"/>
      <c r="G198" s="6"/>
      <c r="H198" s="315"/>
      <c r="I198" s="317"/>
      <c r="J198" s="6"/>
      <c r="K198" s="6"/>
      <c r="L198" s="6"/>
      <c r="M198" s="6"/>
      <c r="N198" s="6"/>
      <c r="O198" s="98"/>
      <c r="Q198" s="104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24"/>
      <c r="AL198" s="25"/>
      <c r="AM198" s="91"/>
    </row>
    <row r="199" spans="2:39">
      <c r="B199" s="39"/>
      <c r="C199" s="6"/>
      <c r="D199" s="6"/>
      <c r="E199" s="6"/>
      <c r="F199" s="6"/>
      <c r="G199" s="6"/>
      <c r="H199" s="315"/>
      <c r="I199" s="317"/>
      <c r="J199" s="6"/>
      <c r="K199" s="6"/>
      <c r="L199" s="6"/>
      <c r="M199" s="6"/>
      <c r="N199" s="6"/>
      <c r="O199" s="98"/>
      <c r="Q199" s="104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24"/>
      <c r="AL199" s="25"/>
      <c r="AM199" s="91"/>
    </row>
    <row r="200" spans="2:39">
      <c r="B200" s="39"/>
      <c r="C200" s="6"/>
      <c r="D200" s="6"/>
      <c r="E200" s="6"/>
      <c r="F200" s="6"/>
      <c r="G200" s="6"/>
      <c r="H200" s="315"/>
      <c r="I200" s="317"/>
      <c r="J200" s="6"/>
      <c r="K200" s="6"/>
      <c r="L200" s="6"/>
      <c r="M200" s="6"/>
      <c r="N200" s="6"/>
      <c r="O200" s="98"/>
      <c r="Q200" s="104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24"/>
      <c r="AL200" s="25"/>
      <c r="AM200" s="91"/>
    </row>
    <row r="201" spans="2:39">
      <c r="B201" s="39"/>
      <c r="C201" s="6"/>
      <c r="D201" s="6"/>
      <c r="E201" s="6"/>
      <c r="F201" s="6"/>
      <c r="G201" s="6"/>
      <c r="H201" s="315"/>
      <c r="I201" s="317"/>
      <c r="J201" s="6"/>
      <c r="K201" s="6"/>
      <c r="L201" s="6"/>
      <c r="M201" s="6"/>
      <c r="N201" s="6"/>
      <c r="O201" s="98"/>
      <c r="Q201" s="104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24"/>
      <c r="AL201" s="25"/>
      <c r="AM201" s="91"/>
    </row>
    <row r="202" spans="2:39">
      <c r="B202" s="39"/>
      <c r="C202" s="6"/>
      <c r="D202" s="6"/>
      <c r="E202" s="6"/>
      <c r="F202" s="6"/>
      <c r="G202" s="6"/>
      <c r="H202" s="315"/>
      <c r="I202" s="317"/>
      <c r="J202" s="6"/>
      <c r="K202" s="6"/>
      <c r="L202" s="6"/>
      <c r="M202" s="6"/>
      <c r="N202" s="6"/>
      <c r="O202" s="98"/>
      <c r="Q202" s="104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24"/>
      <c r="AL202" s="25"/>
      <c r="AM202" s="91"/>
    </row>
    <row r="203" spans="2:39">
      <c r="B203" s="39"/>
      <c r="C203" s="6"/>
      <c r="D203" s="6"/>
      <c r="E203" s="6"/>
      <c r="F203" s="6"/>
      <c r="G203" s="6"/>
      <c r="H203" s="315"/>
      <c r="I203" s="317"/>
      <c r="J203" s="6"/>
      <c r="K203" s="6"/>
      <c r="L203" s="6"/>
      <c r="M203" s="6"/>
      <c r="N203" s="6"/>
      <c r="O203" s="98"/>
      <c r="Q203" s="104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24"/>
      <c r="AL203" s="25"/>
      <c r="AM203" s="91"/>
    </row>
    <row r="204" spans="2:39">
      <c r="B204" s="39"/>
      <c r="C204" s="6"/>
      <c r="D204" s="6"/>
      <c r="E204" s="6"/>
      <c r="F204" s="6"/>
      <c r="G204" s="6"/>
      <c r="H204" s="315"/>
      <c r="I204" s="317"/>
      <c r="J204" s="6"/>
      <c r="K204" s="6"/>
      <c r="L204" s="6"/>
      <c r="M204" s="6"/>
      <c r="N204" s="6"/>
      <c r="O204" s="98"/>
      <c r="Q204" s="104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24"/>
      <c r="AL204" s="25"/>
      <c r="AM204" s="91"/>
    </row>
    <row r="205" spans="2:39">
      <c r="B205" s="39"/>
      <c r="C205" s="6"/>
      <c r="D205" s="6"/>
      <c r="E205" s="6"/>
      <c r="F205" s="6"/>
      <c r="G205" s="6"/>
      <c r="H205" s="315"/>
      <c r="I205" s="317"/>
      <c r="J205" s="6"/>
      <c r="K205" s="6"/>
      <c r="L205" s="6"/>
      <c r="M205" s="6"/>
      <c r="N205" s="6"/>
      <c r="O205" s="98"/>
      <c r="Q205" s="104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24"/>
      <c r="AL205" s="25"/>
      <c r="AM205" s="91"/>
    </row>
    <row r="206" spans="2:39">
      <c r="B206" s="39"/>
      <c r="C206" s="6"/>
      <c r="D206" s="6"/>
      <c r="E206" s="6"/>
      <c r="F206" s="6"/>
      <c r="G206" s="6"/>
      <c r="H206" s="315"/>
      <c r="I206" s="317"/>
      <c r="J206" s="6"/>
      <c r="K206" s="6"/>
      <c r="L206" s="6"/>
      <c r="M206" s="6"/>
      <c r="N206" s="6"/>
      <c r="O206" s="98"/>
      <c r="Q206" s="104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24"/>
      <c r="AL206" s="25"/>
      <c r="AM206" s="91"/>
    </row>
    <row r="207" spans="2:39">
      <c r="B207" s="39"/>
      <c r="C207" s="6"/>
      <c r="D207" s="6"/>
      <c r="E207" s="6"/>
      <c r="F207" s="6"/>
      <c r="G207" s="6"/>
      <c r="H207" s="315"/>
      <c r="I207" s="317"/>
      <c r="J207" s="6"/>
      <c r="K207" s="6"/>
      <c r="L207" s="6"/>
      <c r="M207" s="6"/>
      <c r="N207" s="6"/>
      <c r="O207" s="98"/>
      <c r="Q207" s="104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24"/>
      <c r="AL207" s="25"/>
      <c r="AM207" s="91"/>
    </row>
    <row r="208" spans="2:39">
      <c r="B208" s="39"/>
      <c r="C208" s="6"/>
      <c r="D208" s="6"/>
      <c r="E208" s="6"/>
      <c r="F208" s="6"/>
      <c r="G208" s="6"/>
      <c r="H208" s="315"/>
      <c r="I208" s="317"/>
      <c r="J208" s="6"/>
      <c r="K208" s="6"/>
      <c r="L208" s="6"/>
      <c r="M208" s="6"/>
      <c r="N208" s="6"/>
      <c r="O208" s="98"/>
      <c r="Q208" s="104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24"/>
      <c r="AL208" s="25"/>
      <c r="AM208" s="91"/>
    </row>
    <row r="209" spans="2:39">
      <c r="B209" s="39"/>
      <c r="C209" s="6"/>
      <c r="D209" s="6"/>
      <c r="E209" s="6"/>
      <c r="F209" s="6"/>
      <c r="G209" s="6"/>
      <c r="H209" s="315"/>
      <c r="I209" s="317"/>
      <c r="J209" s="6"/>
      <c r="K209" s="6"/>
      <c r="L209" s="6"/>
      <c r="M209" s="6"/>
      <c r="N209" s="6"/>
      <c r="O209" s="98"/>
      <c r="Q209" s="104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24"/>
      <c r="AL209" s="25"/>
      <c r="AM209" s="91"/>
    </row>
    <row r="210" spans="2:39">
      <c r="B210" s="39"/>
      <c r="C210" s="6"/>
      <c r="D210" s="6"/>
      <c r="E210" s="6"/>
      <c r="F210" s="6"/>
      <c r="G210" s="6"/>
      <c r="H210" s="315"/>
      <c r="I210" s="317"/>
      <c r="J210" s="6"/>
      <c r="K210" s="6"/>
      <c r="L210" s="6"/>
      <c r="M210" s="6"/>
      <c r="N210" s="6"/>
      <c r="O210" s="98"/>
      <c r="Q210" s="104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24"/>
      <c r="AL210" s="25"/>
      <c r="AM210" s="91"/>
    </row>
    <row r="211" spans="2:39">
      <c r="B211" s="39"/>
      <c r="C211" s="6"/>
      <c r="D211" s="6"/>
      <c r="E211" s="6"/>
      <c r="F211" s="6"/>
      <c r="G211" s="6"/>
      <c r="H211" s="315"/>
      <c r="I211" s="317"/>
      <c r="J211" s="6"/>
      <c r="K211" s="6"/>
      <c r="L211" s="6"/>
      <c r="M211" s="6"/>
      <c r="N211" s="6"/>
      <c r="O211" s="98"/>
      <c r="Q211" s="104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24"/>
      <c r="AL211" s="25"/>
      <c r="AM211" s="91"/>
    </row>
    <row r="212" spans="2:39">
      <c r="B212" s="39"/>
      <c r="C212" s="6"/>
      <c r="D212" s="6"/>
      <c r="E212" s="6"/>
      <c r="F212" s="6"/>
      <c r="G212" s="6"/>
      <c r="H212" s="315"/>
      <c r="I212" s="317"/>
      <c r="J212" s="6"/>
      <c r="K212" s="6"/>
      <c r="L212" s="6"/>
      <c r="M212" s="6"/>
      <c r="N212" s="6"/>
      <c r="O212" s="98"/>
      <c r="Q212" s="104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24"/>
      <c r="AL212" s="25"/>
      <c r="AM212" s="91"/>
    </row>
    <row r="213" spans="2:39">
      <c r="B213" s="39"/>
      <c r="C213" s="6"/>
      <c r="D213" s="6"/>
      <c r="E213" s="6"/>
      <c r="F213" s="6"/>
      <c r="G213" s="6"/>
      <c r="H213" s="315"/>
      <c r="I213" s="317"/>
      <c r="J213" s="6"/>
      <c r="K213" s="6"/>
      <c r="L213" s="6"/>
      <c r="M213" s="6"/>
      <c r="N213" s="6"/>
      <c r="O213" s="98"/>
      <c r="Q213" s="104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24"/>
      <c r="AL213" s="25"/>
      <c r="AM213" s="91"/>
    </row>
    <row r="214" spans="2:39">
      <c r="B214" s="39"/>
      <c r="C214" s="6"/>
      <c r="D214" s="6"/>
      <c r="E214" s="6"/>
      <c r="F214" s="6"/>
      <c r="G214" s="6"/>
      <c r="H214" s="315"/>
      <c r="I214" s="317"/>
      <c r="J214" s="6"/>
      <c r="K214" s="6"/>
      <c r="L214" s="6"/>
      <c r="M214" s="6"/>
      <c r="N214" s="6"/>
      <c r="O214" s="98"/>
      <c r="Q214" s="104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24"/>
      <c r="AL214" s="25"/>
      <c r="AM214" s="91"/>
    </row>
    <row r="215" spans="2:39">
      <c r="B215" s="39"/>
      <c r="C215" s="6"/>
      <c r="D215" s="6"/>
      <c r="E215" s="6"/>
      <c r="F215" s="6"/>
      <c r="G215" s="6"/>
      <c r="H215" s="315"/>
      <c r="I215" s="317"/>
      <c r="J215" s="6"/>
      <c r="K215" s="6"/>
      <c r="L215" s="6"/>
      <c r="M215" s="6"/>
      <c r="N215" s="6"/>
      <c r="O215" s="98"/>
      <c r="Q215" s="104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24"/>
      <c r="AL215" s="25"/>
      <c r="AM215" s="91"/>
    </row>
    <row r="216" spans="2:39">
      <c r="B216" s="39"/>
      <c r="C216" s="6"/>
      <c r="D216" s="6"/>
      <c r="E216" s="6"/>
      <c r="F216" s="6"/>
      <c r="G216" s="6"/>
      <c r="H216" s="315"/>
      <c r="I216" s="317"/>
      <c r="J216" s="6"/>
      <c r="K216" s="6"/>
      <c r="L216" s="6"/>
      <c r="M216" s="6"/>
      <c r="N216" s="6"/>
      <c r="O216" s="98"/>
      <c r="Q216" s="104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24"/>
      <c r="AL216" s="25"/>
      <c r="AM216" s="91"/>
    </row>
    <row r="217" spans="2:39">
      <c r="B217" s="39"/>
      <c r="C217" s="6"/>
      <c r="D217" s="6"/>
      <c r="E217" s="6"/>
      <c r="F217" s="6"/>
      <c r="G217" s="6"/>
      <c r="H217" s="315"/>
      <c r="I217" s="317"/>
      <c r="J217" s="6"/>
      <c r="K217" s="6"/>
      <c r="L217" s="6"/>
      <c r="M217" s="6"/>
      <c r="N217" s="6"/>
      <c r="O217" s="98"/>
      <c r="Q217" s="104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24"/>
      <c r="AL217" s="25"/>
      <c r="AM217" s="91"/>
    </row>
    <row r="218" spans="2:39">
      <c r="B218" s="39"/>
      <c r="C218" s="6"/>
      <c r="D218" s="6"/>
      <c r="E218" s="6"/>
      <c r="F218" s="6"/>
      <c r="G218" s="6"/>
      <c r="H218" s="315"/>
      <c r="I218" s="317"/>
      <c r="J218" s="6"/>
      <c r="K218" s="6"/>
      <c r="L218" s="6"/>
      <c r="M218" s="6"/>
      <c r="N218" s="6"/>
      <c r="O218" s="98"/>
      <c r="Q218" s="104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24"/>
      <c r="AL218" s="25"/>
      <c r="AM218" s="91"/>
    </row>
    <row r="219" spans="2:39">
      <c r="B219" s="39"/>
      <c r="C219" s="6"/>
      <c r="D219" s="6"/>
      <c r="E219" s="6"/>
      <c r="F219" s="6"/>
      <c r="G219" s="6"/>
      <c r="H219" s="315"/>
      <c r="I219" s="317"/>
      <c r="J219" s="6"/>
      <c r="K219" s="6"/>
      <c r="L219" s="6"/>
      <c r="M219" s="6"/>
      <c r="N219" s="6"/>
      <c r="O219" s="98"/>
      <c r="Q219" s="104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24"/>
      <c r="AL219" s="25"/>
      <c r="AM219" s="91"/>
    </row>
    <row r="220" spans="2:39">
      <c r="B220" s="39"/>
      <c r="C220" s="6"/>
      <c r="D220" s="6"/>
      <c r="E220" s="6"/>
      <c r="F220" s="6"/>
      <c r="G220" s="6"/>
      <c r="H220" s="315"/>
      <c r="I220" s="317"/>
      <c r="J220" s="6"/>
      <c r="K220" s="6"/>
      <c r="L220" s="6"/>
      <c r="M220" s="6"/>
      <c r="N220" s="6"/>
      <c r="O220" s="98"/>
      <c r="Q220" s="104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24"/>
      <c r="AL220" s="25"/>
      <c r="AM220" s="91"/>
    </row>
    <row r="221" spans="2:39">
      <c r="B221" s="39"/>
      <c r="C221" s="6"/>
      <c r="D221" s="6"/>
      <c r="E221" s="6"/>
      <c r="F221" s="6"/>
      <c r="G221" s="6"/>
      <c r="H221" s="315"/>
      <c r="I221" s="317"/>
      <c r="J221" s="6"/>
      <c r="K221" s="6"/>
      <c r="L221" s="6"/>
      <c r="M221" s="6"/>
      <c r="N221" s="6"/>
      <c r="O221" s="98"/>
      <c r="Q221" s="104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24"/>
      <c r="AL221" s="25"/>
      <c r="AM221" s="91"/>
    </row>
    <row r="222" spans="2:39">
      <c r="B222" s="39"/>
      <c r="C222" s="6"/>
      <c r="D222" s="6"/>
      <c r="E222" s="6"/>
      <c r="F222" s="6"/>
      <c r="G222" s="6"/>
      <c r="H222" s="315"/>
      <c r="I222" s="317"/>
      <c r="J222" s="6"/>
      <c r="K222" s="6"/>
      <c r="L222" s="6"/>
      <c r="M222" s="6"/>
      <c r="N222" s="6"/>
      <c r="O222" s="98"/>
      <c r="Q222" s="104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24"/>
      <c r="AL222" s="25"/>
      <c r="AM222" s="91"/>
    </row>
    <row r="223" spans="2:39">
      <c r="B223" s="39"/>
      <c r="C223" s="6"/>
      <c r="D223" s="6"/>
      <c r="E223" s="6"/>
      <c r="F223" s="6"/>
      <c r="G223" s="6"/>
      <c r="H223" s="315"/>
      <c r="I223" s="317"/>
      <c r="J223" s="6"/>
      <c r="K223" s="6"/>
      <c r="L223" s="6"/>
      <c r="M223" s="6"/>
      <c r="N223" s="6"/>
      <c r="O223" s="98"/>
      <c r="Q223" s="104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24"/>
      <c r="AL223" s="25"/>
      <c r="AM223" s="91"/>
    </row>
    <row r="224" spans="2:39">
      <c r="B224" s="39"/>
      <c r="C224" s="6"/>
      <c r="D224" s="6"/>
      <c r="E224" s="6"/>
      <c r="F224" s="6"/>
      <c r="G224" s="6"/>
      <c r="H224" s="315"/>
      <c r="I224" s="317"/>
      <c r="J224" s="6"/>
      <c r="K224" s="6"/>
      <c r="L224" s="6"/>
      <c r="M224" s="6"/>
      <c r="N224" s="6"/>
      <c r="O224" s="98"/>
      <c r="Q224" s="104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24"/>
      <c r="AL224" s="25"/>
      <c r="AM224" s="91"/>
    </row>
    <row r="225" spans="2:39">
      <c r="B225" s="39"/>
      <c r="C225" s="6"/>
      <c r="D225" s="6"/>
      <c r="E225" s="6"/>
      <c r="F225" s="6"/>
      <c r="G225" s="6"/>
      <c r="H225" s="39"/>
      <c r="I225" s="6"/>
      <c r="J225" s="6"/>
      <c r="K225" s="6"/>
      <c r="L225" s="6"/>
      <c r="M225" s="6"/>
      <c r="N225" s="6"/>
      <c r="O225" s="98"/>
      <c r="Q225" s="104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24"/>
      <c r="AL225" s="25"/>
      <c r="AM225" s="91"/>
    </row>
  </sheetData>
  <hyperlinks>
    <hyperlink ref="P7" r:id="rId1" display="2605107634" xr:uid="{B3AE39E6-04A3-4D3E-BFA2-7625D46A72DA}"/>
    <hyperlink ref="P9" r:id="rId2" display="260599583" xr:uid="{72502344-FF3F-4D07-9B45-10EE327B3C30}"/>
    <hyperlink ref="P28" r:id="rId3" display="2605107984" xr:uid="{0C50F8C2-01C4-42E5-B621-12EA8656C8A7}"/>
    <hyperlink ref="O60" r:id="rId4" display="2605112925" xr:uid="{A600B40C-6082-480F-82B7-29C17C61D2B1}"/>
    <hyperlink ref="T5" r:id="rId5" display="4090179930" xr:uid="{4C0F1B14-9C51-495F-A2E9-0DF33BE2653A}"/>
    <hyperlink ref="T6" r:id="rId6" display="4090179947" xr:uid="{0061C786-2976-4E36-A6D9-CC005A0C1939}"/>
    <hyperlink ref="T7" r:id="rId7" display="4090179972" xr:uid="{1367250A-91A9-43AD-A568-7A1B6A082833}"/>
    <hyperlink ref="T8" r:id="rId8" display="4090180001" xr:uid="{9D746A0A-DF04-4FD4-B41A-224D014B6935}"/>
    <hyperlink ref="T12" r:id="rId9" display="4090180057" xr:uid="{0364CD16-35D7-4176-BABD-E96AFB488362}"/>
    <hyperlink ref="T13" r:id="rId10" display="4090180059" xr:uid="{0D0B82EE-91BE-4B2F-B5A2-524B0CD8F9DF}"/>
    <hyperlink ref="T14" r:id="rId11" display="4090180066" xr:uid="{64F23904-2A0B-41BA-AED1-C30CBFE5E6E4}"/>
    <hyperlink ref="T15" r:id="rId12" display="4090180067" xr:uid="{C40D9B79-6BFF-49C9-A2C2-05DE6B7FF530}"/>
    <hyperlink ref="T16" r:id="rId13" display="4090180070" xr:uid="{B51CA5A5-EC5D-44A5-B635-1DC22454B846}"/>
    <hyperlink ref="T17" r:id="rId14" display="4090180072" xr:uid="{8F7CA4CB-59EB-4338-99ED-ABFC48BC4ACF}"/>
    <hyperlink ref="T18" r:id="rId15" display="4090180073" xr:uid="{12FA396A-ADC9-4CB9-B4F6-1BF941BEC91F}"/>
    <hyperlink ref="T19" r:id="rId16" display="4090180074" xr:uid="{A01DE47B-F8D5-4EBD-9DBD-19E96B750A4A}"/>
    <hyperlink ref="T20" r:id="rId17" display="4090180075" xr:uid="{FDF74D4B-B263-4C93-9520-9CE3D91B17A4}"/>
    <hyperlink ref="T21" r:id="rId18" display="4090180109" xr:uid="{AEFB63B9-B9A7-42E8-85EB-E49D46341DCA}"/>
    <hyperlink ref="T22" r:id="rId19" display="4090180110" xr:uid="{EFE9BE23-B5BD-4A9E-A8B2-63C78263F4D3}"/>
    <hyperlink ref="T23" r:id="rId20" display="4090180112" xr:uid="{9C8A3D5C-D433-41AE-99FD-0A7186E86C92}"/>
    <hyperlink ref="T24" r:id="rId21" display="4090180114" xr:uid="{CB0324C9-2B36-42A3-82E3-7262C6FE6339}"/>
    <hyperlink ref="T25" r:id="rId22" display="4090180115" xr:uid="{E5B4F2ED-50B5-4D08-BAF3-871E5FA86991}"/>
    <hyperlink ref="T26" r:id="rId23" display="4090180133" xr:uid="{2993DF08-22AC-4D84-A8C1-E572C4A495C6}"/>
    <hyperlink ref="T27" r:id="rId24" display="4090180136" xr:uid="{36E44B23-DB61-4C78-B3F5-3AFE8567D60D}"/>
    <hyperlink ref="T28" r:id="rId25" display="4090180137" xr:uid="{FAAD6021-C43B-4277-BD01-72F056C88DCE}"/>
    <hyperlink ref="T29" r:id="rId26" display="4090180139" xr:uid="{3943D221-75CA-4616-A3C7-ED04F0BB0FBE}"/>
    <hyperlink ref="T30" r:id="rId27" display="4090180145" xr:uid="{F77B2DEC-69CE-4BDF-95FA-0EA8E353CE25}"/>
    <hyperlink ref="T31" r:id="rId28" display="4090180146" xr:uid="{5DD88646-A35E-414C-AF27-71A27A664A1A}"/>
    <hyperlink ref="T32" r:id="rId29" display="4090180147" xr:uid="{5432786F-0D3A-46CF-8DE3-2B505F0E9E01}"/>
    <hyperlink ref="T33" r:id="rId30" display="4090180152" xr:uid="{1B9945B8-7D59-4CEE-BD1A-13330C452AA4}"/>
    <hyperlink ref="T34" r:id="rId31" display="4090180153" xr:uid="{C562F0E6-F189-44DB-915D-12295FF342A3}"/>
    <hyperlink ref="T35" r:id="rId32" display="4090180154" xr:uid="{AB586A44-8AF1-4487-8DA8-4EC2B3180978}"/>
    <hyperlink ref="T36" r:id="rId33" display="4090180178" xr:uid="{6B2D86CB-C792-48EC-977C-0161C9A786EF}"/>
    <hyperlink ref="T37" r:id="rId34" display="4090180180" xr:uid="{AD784D03-0A3A-4F08-8EC5-2B6880A9462F}"/>
    <hyperlink ref="T38" r:id="rId35" display="4090180181" xr:uid="{F3542680-8934-496C-B9E6-D2C8A03EEDD4}"/>
    <hyperlink ref="T39" r:id="rId36" display="4090180183" xr:uid="{8CE4D0D1-62E3-49A9-8FFF-4BD80814AE60}"/>
    <hyperlink ref="T40" r:id="rId37" display="4090180184" xr:uid="{EFEA76CF-8B0C-48D9-9171-1686E876E84A}"/>
    <hyperlink ref="T41" r:id="rId38" display="4090180186" xr:uid="{9BAC20ED-7153-4943-A4BA-A39AA4799930}"/>
    <hyperlink ref="T42" r:id="rId39" display="4090180188" xr:uid="{E2587DE1-8E1E-4D64-ACE0-CDA439D97E49}"/>
    <hyperlink ref="T43" r:id="rId40" display="4090180190" xr:uid="{3E85395E-BE8D-43EC-B3AF-8551E3B30022}"/>
    <hyperlink ref="T44" r:id="rId41" display="4090180192" xr:uid="{35BC8FF5-3AAE-4B61-B713-6E0B738C233D}"/>
    <hyperlink ref="T45" r:id="rId42" display="4090180193" xr:uid="{7C985E8F-8169-4ADE-B0B1-715928FDBDA0}"/>
    <hyperlink ref="T46" r:id="rId43" display="4090180195" xr:uid="{FE090FF3-0845-49F8-B1F3-AD2493F8D815}"/>
    <hyperlink ref="T47" r:id="rId44" display="4090180196" xr:uid="{82999A8D-47D6-45BA-B014-4A6336B5B8CB}"/>
    <hyperlink ref="T48" r:id="rId45" display="4090180198" xr:uid="{DE5BDFFB-7789-4A52-A81D-FA0022D9898F}"/>
    <hyperlink ref="T49" r:id="rId46" display="4090180199" xr:uid="{F89867A5-875D-4969-B1C1-96B529CD5CFE}"/>
    <hyperlink ref="T50" r:id="rId47" display="4090180201" xr:uid="{58BBC4D8-C220-4493-B410-328A09C8B4CA}"/>
    <hyperlink ref="T51" r:id="rId48" display="4090180202" xr:uid="{4E038A1E-CB85-4597-95D1-AAA3CD95D575}"/>
    <hyperlink ref="T52" r:id="rId49" display="4090180213" xr:uid="{9F6379DF-8323-4BB0-8248-4D83FDD1ACAC}"/>
    <hyperlink ref="T53" r:id="rId50" display="4090180226" xr:uid="{8915B9C5-D2B0-414D-A109-E07D67C84309}"/>
    <hyperlink ref="T54" r:id="rId51" display="4090180228" xr:uid="{0411653A-5946-41FB-8D98-79B51FB8C8F1}"/>
    <hyperlink ref="T56" r:id="rId52" display="4090180242" xr:uid="{0C638BBD-9668-4B87-922C-77F0FE689AD3}"/>
    <hyperlink ref="T57" r:id="rId53" display="4090180249" xr:uid="{30DBEC28-252C-4EC6-B088-E047776E24BF}"/>
    <hyperlink ref="T58" r:id="rId54" display="4090180257" xr:uid="{88704F49-9566-4DBF-A3E9-A2C0E3B3AAF9}"/>
    <hyperlink ref="T60" r:id="rId55" display="4090180263" xr:uid="{A54A9DF5-B282-49D3-B564-B09907EC4F8A}"/>
    <hyperlink ref="T9" r:id="rId56" display="4090180023" xr:uid="{2ED93A48-1E1E-44AE-8F84-F2CF56456605}"/>
    <hyperlink ref="T10" r:id="rId57" display="4090180040" xr:uid="{70C70A8C-C57D-4C62-A473-BD4830ED3665}"/>
    <hyperlink ref="T11" r:id="rId58" display="4090180056" xr:uid="{9C9414A0-07C0-48B6-9255-2D82FB1B7A73}"/>
    <hyperlink ref="U5" r:id="rId59" display="06/03/2026 17:25" xr:uid="{8F64BEEE-F51A-400C-AA0A-363B180CDD36}"/>
    <hyperlink ref="U6" r:id="rId60" display="04/03/2026 13:17" xr:uid="{B70570C6-B864-4217-80E1-EEA842C69264}"/>
    <hyperlink ref="U7" r:id="rId61" display="04/03/2026 15:40" xr:uid="{F446D77A-9BE7-4DD6-B897-C5C2BB671C9A}"/>
    <hyperlink ref="U8" r:id="rId62" display="06/03/2026" xr:uid="{6B14C098-352F-40E6-8714-3DF87E96BA1F}"/>
    <hyperlink ref="U9" r:id="rId63" display="04/03/2026" xr:uid="{D0121CEC-1DE0-47E1-BA88-B51523F09E68}"/>
    <hyperlink ref="U10" r:id="rId64" display="03/03/2026" xr:uid="{BBA2CD65-AB7B-4B65-A6BA-ADEE82A34CA0}"/>
    <hyperlink ref="U11" r:id="rId65" display="06/03/2026" xr:uid="{F7945215-8235-46EA-B5DA-FC019F3D4D81}"/>
    <hyperlink ref="U12" r:id="rId66" display="03/03/2026" xr:uid="{E8482272-036E-483A-8453-EAAF3B48BAF0}"/>
    <hyperlink ref="U13" r:id="rId67" display="06/03/2026" xr:uid="{839FB36D-EFA6-4BBD-971E-B07CEA0A8B9C}"/>
    <hyperlink ref="U16" r:id="rId68" display="04/03/2026" xr:uid="{18D3AE43-351A-4D2C-AD63-8D1976434260}"/>
    <hyperlink ref="U17" r:id="rId69" display="04/03/2026" xr:uid="{B75220C7-0EF6-42A5-9369-48A90743B7F1}"/>
    <hyperlink ref="U18" r:id="rId70" display="04/03/2026" xr:uid="{E5F03E1D-156D-4E2D-8068-771C639EDD55}"/>
    <hyperlink ref="U19" r:id="rId71" display="06/03/2026" xr:uid="{F55CBD0A-E59B-48D7-8A7D-99317D3C1312}"/>
    <hyperlink ref="U22" r:id="rId72" display="06/03/2026" xr:uid="{4BDE1561-9C60-4AC4-8958-B746C784C20D}"/>
    <hyperlink ref="U23" r:id="rId73" display="06/03/2026" xr:uid="{68C9150C-0FB6-45D6-B008-2A2BA27208E4}"/>
    <hyperlink ref="U27" r:id="rId74" display="06/03/2026" xr:uid="{1F23969C-606F-4058-8710-F64DDEED037F}"/>
    <hyperlink ref="U28" r:id="rId75" display="04/03/2026" xr:uid="{F20DBA28-AF7E-4A4B-A0C1-E72DD52B21D2}"/>
    <hyperlink ref="U30" r:id="rId76" display="07/03/2026" xr:uid="{FE0FACD3-9573-4D83-B4CC-18B63EE50060}"/>
    <hyperlink ref="U31" r:id="rId77" display="05/03/2026" xr:uid="{82B136DE-F6A3-4B47-AF61-BE8CE3F43324}"/>
    <hyperlink ref="U32" r:id="rId78" display="04/03/2026" xr:uid="{5D8E01F4-C152-440F-988B-29E70173B06C}"/>
    <hyperlink ref="U41" r:id="rId79" display="06/03/2026" xr:uid="{A755D55C-75E8-4E59-BEDF-E14B998AA9BC}"/>
    <hyperlink ref="U45" r:id="rId80" display="06/03/2026" xr:uid="{5F33D982-2A0E-47C6-8A41-86E4CBEB7C90}"/>
    <hyperlink ref="U48" r:id="rId81" display="05/03/2026" xr:uid="{73C01E4A-1C59-4F1D-B214-D97356550036}"/>
    <hyperlink ref="U50" r:id="rId82" display="05/03/2026" xr:uid="{F0C1A631-FA6A-45FE-A960-804B454BCE81}"/>
    <hyperlink ref="U52" r:id="rId83" display="06/03/2026" xr:uid="{0D402FB1-8F19-4847-A70D-0F46AEEAF990}"/>
  </hyperlinks>
  <pageMargins left="0.7" right="0.7" top="0.75" bottom="0.75" header="0.3" footer="0.3"/>
  <legacyDrawing r:id="rId8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2CB87D-A01D-442E-AFD1-7284E15B12C1}">
          <x14:formula1>
            <xm:f>Hoja2!$A$3:$A$4</xm:f>
          </x14:formula1>
          <xm:sqref>AN5:AN15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F9"/>
  <sheetViews>
    <sheetView workbookViewId="0">
      <selection activeCell="A4" sqref="A4"/>
    </sheetView>
  </sheetViews>
  <sheetFormatPr defaultRowHeight="15"/>
  <cols>
    <col min="1" max="1" width="17.7109375" customWidth="1"/>
    <col min="2" max="2" width="23.42578125" customWidth="1"/>
    <col min="3" max="3" width="38.42578125" customWidth="1"/>
    <col min="4" max="4" width="23.28515625" customWidth="1"/>
    <col min="5" max="5" width="35.42578125" customWidth="1"/>
    <col min="6" max="6" width="26.42578125" customWidth="1"/>
  </cols>
  <sheetData>
    <row r="1" spans="1:6">
      <c r="A1" s="72" t="s">
        <v>362</v>
      </c>
      <c r="B1" s="72" t="s">
        <v>363</v>
      </c>
      <c r="C1" s="72"/>
      <c r="D1" t="s">
        <v>364</v>
      </c>
      <c r="F1" t="s">
        <v>365</v>
      </c>
    </row>
    <row r="2" spans="1:6">
      <c r="A2" t="s">
        <v>64</v>
      </c>
      <c r="B2" t="s">
        <v>366</v>
      </c>
      <c r="C2" t="s">
        <v>367</v>
      </c>
      <c r="D2" t="s">
        <v>72</v>
      </c>
      <c r="E2" t="s">
        <v>368</v>
      </c>
      <c r="F2" t="s">
        <v>369</v>
      </c>
    </row>
    <row r="3" spans="1:6">
      <c r="A3" s="72" t="s">
        <v>370</v>
      </c>
      <c r="B3" t="s">
        <v>371</v>
      </c>
      <c r="C3" t="s">
        <v>372</v>
      </c>
      <c r="D3" t="s">
        <v>373</v>
      </c>
      <c r="E3" t="s">
        <v>374</v>
      </c>
      <c r="F3" t="s">
        <v>375</v>
      </c>
    </row>
    <row r="4" spans="1:6">
      <c r="A4" t="s">
        <v>376</v>
      </c>
      <c r="B4" t="s">
        <v>377</v>
      </c>
      <c r="C4" t="s">
        <v>378</v>
      </c>
      <c r="E4" t="s">
        <v>379</v>
      </c>
      <c r="F4" t="s">
        <v>380</v>
      </c>
    </row>
    <row r="5" spans="1:6">
      <c r="B5" t="s">
        <v>381</v>
      </c>
    </row>
    <row r="6" spans="1:6">
      <c r="B6" t="s">
        <v>382</v>
      </c>
    </row>
    <row r="7" spans="1:6">
      <c r="B7" t="s">
        <v>383</v>
      </c>
      <c r="C7" t="s">
        <v>384</v>
      </c>
    </row>
    <row r="8" spans="1:6">
      <c r="B8" t="s">
        <v>82</v>
      </c>
      <c r="C8" t="s">
        <v>385</v>
      </c>
    </row>
    <row r="9" spans="1:6">
      <c r="B9" t="s">
        <v>370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65A1-AA32-451B-ADDB-D29D34FAE070}">
  <dimension ref="A1:AT252"/>
  <sheetViews>
    <sheetView tabSelected="1" topLeftCell="D1" workbookViewId="0">
      <selection activeCell="G1" sqref="G1"/>
    </sheetView>
  </sheetViews>
  <sheetFormatPr defaultRowHeight="15"/>
  <cols>
    <col min="1" max="1" width="18.28515625" customWidth="1"/>
    <col min="2" max="2" width="17.28515625" customWidth="1"/>
    <col min="3" max="5" width="18.85546875" customWidth="1"/>
    <col min="6" max="6" width="27.85546875" customWidth="1"/>
    <col min="7" max="7" width="19.85546875" customWidth="1"/>
    <col min="8" max="8" width="21.140625" customWidth="1"/>
    <col min="9" max="9" width="18.85546875" customWidth="1"/>
    <col min="10" max="10" width="25" customWidth="1"/>
    <col min="11" max="11" width="25.140625" customWidth="1"/>
    <col min="12" max="12" width="18.85546875" customWidth="1"/>
    <col min="13" max="13" width="12.7109375" customWidth="1"/>
    <col min="14" max="14" width="12.42578125" customWidth="1"/>
    <col min="15" max="15" width="13.7109375" customWidth="1"/>
    <col min="16" max="16" width="16.140625" customWidth="1"/>
    <col min="17" max="17" width="14.42578125" customWidth="1"/>
    <col min="18" max="18" width="14.28515625" customWidth="1"/>
    <col min="19" max="19" width="21" customWidth="1"/>
    <col min="20" max="20" width="19.7109375" customWidth="1"/>
    <col min="21" max="22" width="20" customWidth="1"/>
    <col min="23" max="23" width="20.140625" customWidth="1"/>
    <col min="24" max="25" width="17.140625" customWidth="1"/>
    <col min="26" max="26" width="14.5703125" customWidth="1"/>
    <col min="27" max="27" width="12.85546875" customWidth="1"/>
    <col min="28" max="28" width="14.42578125" customWidth="1"/>
    <col min="29" max="29" width="15.5703125" customWidth="1"/>
    <col min="30" max="30" width="13" customWidth="1"/>
    <col min="31" max="31" width="11.28515625" customWidth="1"/>
    <col min="32" max="32" width="15.85546875" customWidth="1"/>
    <col min="33" max="33" width="32.5703125" customWidth="1"/>
    <col min="34" max="34" width="31.7109375" customWidth="1"/>
    <col min="35" max="35" width="19.7109375" customWidth="1"/>
    <col min="36" max="36" width="15.5703125" customWidth="1"/>
    <col min="37" max="38" width="21.42578125" customWidth="1"/>
    <col min="39" max="39" width="18.85546875" customWidth="1"/>
    <col min="40" max="40" width="11.42578125" customWidth="1"/>
    <col min="41" max="42" width="13.42578125" customWidth="1"/>
    <col min="43" max="46" width="14.28515625" customWidth="1"/>
  </cols>
  <sheetData>
    <row r="1" spans="1:46" ht="87" customHeight="1">
      <c r="A1" s="6"/>
      <c r="B1" s="76" t="s">
        <v>0</v>
      </c>
      <c r="C1" s="302"/>
      <c r="D1" s="6"/>
      <c r="E1" s="6"/>
      <c r="F1" s="306" t="s">
        <v>30</v>
      </c>
      <c r="G1" s="150"/>
      <c r="H1" s="155"/>
      <c r="I1" s="155"/>
      <c r="J1" s="305" t="s">
        <v>31</v>
      </c>
      <c r="K1" s="302"/>
      <c r="L1" s="302" t="s">
        <v>386</v>
      </c>
      <c r="M1" s="9"/>
      <c r="O1" s="9"/>
      <c r="P1" s="9"/>
      <c r="Q1" s="9"/>
      <c r="R1" s="9"/>
      <c r="S1" s="9"/>
      <c r="T1" s="9"/>
      <c r="U1" s="9"/>
      <c r="V1" s="313" t="s">
        <v>387</v>
      </c>
      <c r="W1" s="313"/>
      <c r="X1" s="313"/>
      <c r="Y1" s="313"/>
      <c r="Z1" s="313"/>
      <c r="AA1" s="313"/>
      <c r="AB1" s="313"/>
      <c r="AC1" s="313"/>
      <c r="AD1" s="313"/>
      <c r="AE1" s="313"/>
      <c r="AF1" s="314"/>
      <c r="AG1" s="145" t="s">
        <v>2</v>
      </c>
      <c r="AH1" s="146" t="s">
        <v>3</v>
      </c>
      <c r="AI1" s="148"/>
      <c r="AJ1" s="146" t="s">
        <v>4</v>
      </c>
      <c r="AK1" s="147"/>
      <c r="AL1" s="147"/>
      <c r="AM1" s="147"/>
      <c r="AN1" s="150"/>
      <c r="AO1" s="150"/>
      <c r="AP1" s="150"/>
      <c r="AQ1" s="11"/>
      <c r="AR1" s="6"/>
      <c r="AS1" s="151" t="s">
        <v>5</v>
      </c>
      <c r="AT1" s="149"/>
    </row>
    <row r="2" spans="1:46" s="152" customFormat="1" ht="60.75">
      <c r="A2" s="303" t="s">
        <v>388</v>
      </c>
      <c r="B2" s="155" t="s">
        <v>6</v>
      </c>
      <c r="C2" s="155" t="s">
        <v>8</v>
      </c>
      <c r="D2" s="155" t="s">
        <v>7</v>
      </c>
      <c r="E2" s="155" t="s">
        <v>389</v>
      </c>
      <c r="F2" s="307" t="s">
        <v>365</v>
      </c>
      <c r="G2" s="303" t="s">
        <v>390</v>
      </c>
      <c r="H2" s="155" t="s">
        <v>391</v>
      </c>
      <c r="I2" s="155" t="s">
        <v>392</v>
      </c>
      <c r="J2" s="155" t="s">
        <v>393</v>
      </c>
      <c r="K2" s="155" t="s">
        <v>19</v>
      </c>
      <c r="L2" s="150" t="s">
        <v>12</v>
      </c>
      <c r="M2" s="308" t="s">
        <v>9</v>
      </c>
      <c r="N2" s="274" t="s">
        <v>10</v>
      </c>
      <c r="O2" s="274" t="s">
        <v>11</v>
      </c>
      <c r="P2" s="274" t="s">
        <v>13</v>
      </c>
      <c r="Q2" s="274" t="s">
        <v>14</v>
      </c>
      <c r="R2" s="274" t="s">
        <v>15</v>
      </c>
      <c r="S2" s="274" t="s">
        <v>16</v>
      </c>
      <c r="T2" s="274" t="s">
        <v>394</v>
      </c>
      <c r="U2" s="275" t="s">
        <v>18</v>
      </c>
      <c r="V2" s="300" t="s">
        <v>20</v>
      </c>
      <c r="W2" s="273" t="s">
        <v>395</v>
      </c>
      <c r="X2" s="301" t="s">
        <v>21</v>
      </c>
      <c r="Y2" s="272" t="s">
        <v>396</v>
      </c>
      <c r="Z2" s="272" t="s">
        <v>397</v>
      </c>
      <c r="AA2" s="272" t="s">
        <v>398</v>
      </c>
      <c r="AB2" s="272" t="s">
        <v>23</v>
      </c>
      <c r="AC2" s="272" t="s">
        <v>399</v>
      </c>
      <c r="AD2" s="272" t="s">
        <v>24</v>
      </c>
      <c r="AE2" s="273" t="s">
        <v>25</v>
      </c>
      <c r="AF2" s="272" t="str">
        <f>Hoja1!U4</f>
        <v xml:space="preserve">COMPROBANTE PAGO TGR </v>
      </c>
      <c r="AG2" s="265" t="s">
        <v>32</v>
      </c>
      <c r="AH2" s="153" t="s">
        <v>33</v>
      </c>
      <c r="AI2" s="154" t="s">
        <v>34</v>
      </c>
      <c r="AJ2" s="156" t="s">
        <v>35</v>
      </c>
      <c r="AK2" s="153" t="s">
        <v>36</v>
      </c>
      <c r="AL2" s="153" t="s">
        <v>400</v>
      </c>
      <c r="AM2" s="153" t="s">
        <v>37</v>
      </c>
      <c r="AN2" s="155" t="s">
        <v>39</v>
      </c>
      <c r="AO2" s="155" t="s">
        <v>40</v>
      </c>
      <c r="AP2" s="299" t="s">
        <v>401</v>
      </c>
      <c r="AQ2" s="276" t="s">
        <v>41</v>
      </c>
      <c r="AR2" s="277" t="s">
        <v>42</v>
      </c>
      <c r="AS2" s="157" t="s">
        <v>402</v>
      </c>
      <c r="AT2" s="158" t="s">
        <v>403</v>
      </c>
    </row>
    <row r="3" spans="1:46">
      <c r="A3" s="204" t="s">
        <v>376</v>
      </c>
      <c r="B3" s="206"/>
      <c r="C3" s="206"/>
      <c r="D3" s="304"/>
      <c r="E3" s="229"/>
      <c r="F3" s="204" t="s">
        <v>375</v>
      </c>
      <c r="G3" s="204" t="s">
        <v>377</v>
      </c>
      <c r="H3" s="309" t="s">
        <v>404</v>
      </c>
      <c r="I3" s="204"/>
      <c r="J3" s="310">
        <v>46088</v>
      </c>
      <c r="K3" s="311" t="s">
        <v>373</v>
      </c>
      <c r="L3" s="312"/>
      <c r="M3" s="162"/>
      <c r="N3" s="161"/>
      <c r="O3" s="161"/>
      <c r="P3" s="163"/>
      <c r="Q3" s="161"/>
      <c r="R3" s="164"/>
      <c r="S3" s="165"/>
      <c r="T3" s="162"/>
      <c r="U3" s="176"/>
      <c r="V3" s="285"/>
      <c r="W3" s="266"/>
      <c r="X3" s="267"/>
      <c r="Y3" s="289"/>
      <c r="Z3" s="268"/>
      <c r="AA3" s="268"/>
      <c r="AB3" s="269"/>
      <c r="AC3" s="269"/>
      <c r="AD3" s="270"/>
      <c r="AE3" s="271"/>
      <c r="AF3" s="262"/>
      <c r="AG3" s="161"/>
      <c r="AH3" s="161"/>
      <c r="AI3" s="171"/>
      <c r="AJ3" s="172"/>
      <c r="AK3" s="163"/>
      <c r="AL3" s="163"/>
      <c r="AM3" s="163"/>
      <c r="AN3" s="174"/>
      <c r="AO3" s="174"/>
      <c r="AP3" s="174"/>
      <c r="AQ3" s="175"/>
      <c r="AR3" s="176"/>
      <c r="AS3" s="177"/>
      <c r="AT3" s="178"/>
    </row>
    <row r="4" spans="1:46">
      <c r="A4" s="173"/>
      <c r="B4" s="161"/>
      <c r="C4" s="161"/>
      <c r="D4" s="160"/>
      <c r="E4" s="226"/>
      <c r="F4" s="173"/>
      <c r="G4" s="173"/>
      <c r="H4" s="173"/>
      <c r="I4" s="173"/>
      <c r="J4" s="173"/>
      <c r="K4" s="176"/>
      <c r="L4" s="176"/>
      <c r="M4" s="162"/>
      <c r="N4" s="161"/>
      <c r="O4" s="161"/>
      <c r="P4" s="163"/>
      <c r="Q4" s="161"/>
      <c r="R4" s="179"/>
      <c r="S4" s="176"/>
      <c r="T4" s="162"/>
      <c r="U4" s="161"/>
      <c r="V4" s="171"/>
      <c r="W4" s="167"/>
      <c r="X4" s="180"/>
      <c r="Y4" s="290"/>
      <c r="Z4" s="168"/>
      <c r="AA4" s="168"/>
      <c r="AB4" s="161"/>
      <c r="AC4" s="161"/>
      <c r="AD4" s="170"/>
      <c r="AE4" s="169"/>
      <c r="AF4" s="68"/>
      <c r="AG4" s="176"/>
      <c r="AH4" s="176"/>
      <c r="AI4" s="181"/>
      <c r="AJ4" s="172"/>
      <c r="AK4" s="182"/>
      <c r="AL4" s="182"/>
      <c r="AM4" s="180"/>
      <c r="AN4" s="174"/>
      <c r="AO4" s="174"/>
      <c r="AP4" s="174"/>
      <c r="AQ4" s="161"/>
      <c r="AR4" s="176"/>
      <c r="AS4" s="183"/>
      <c r="AT4" s="184"/>
    </row>
    <row r="5" spans="1:46">
      <c r="A5" s="173"/>
      <c r="B5" s="161"/>
      <c r="C5" s="161"/>
      <c r="D5" s="160"/>
      <c r="E5" s="226"/>
      <c r="F5" s="173"/>
      <c r="G5" s="173"/>
      <c r="H5" s="173"/>
      <c r="I5" s="173"/>
      <c r="J5" s="173"/>
      <c r="K5" s="161"/>
      <c r="L5" s="161"/>
      <c r="M5" s="162"/>
      <c r="N5" s="161"/>
      <c r="O5" s="161"/>
      <c r="P5" s="163"/>
      <c r="Q5" s="161"/>
      <c r="R5" s="185"/>
      <c r="S5" s="161"/>
      <c r="T5" s="162"/>
      <c r="U5" s="161"/>
      <c r="V5" s="171"/>
      <c r="W5" s="167"/>
      <c r="X5" s="180"/>
      <c r="Y5" s="290"/>
      <c r="Z5" s="168"/>
      <c r="AA5" s="168"/>
      <c r="AB5" s="161"/>
      <c r="AC5" s="161"/>
      <c r="AD5" s="169"/>
      <c r="AE5" s="169"/>
      <c r="AF5" s="40"/>
      <c r="AG5" s="161"/>
      <c r="AH5" s="161"/>
      <c r="AI5" s="171"/>
      <c r="AJ5" s="172"/>
      <c r="AK5" s="172"/>
      <c r="AL5" s="186"/>
      <c r="AM5" s="186"/>
      <c r="AN5" s="174"/>
      <c r="AO5" s="174"/>
      <c r="AP5" s="174"/>
      <c r="AQ5" s="175"/>
      <c r="AR5" s="176"/>
      <c r="AS5" s="183"/>
      <c r="AT5" s="178"/>
    </row>
    <row r="6" spans="1:46">
      <c r="A6" s="189"/>
      <c r="B6" s="161"/>
      <c r="C6" s="161"/>
      <c r="D6" s="160"/>
      <c r="E6" s="227"/>
      <c r="F6" s="173"/>
      <c r="G6" s="173"/>
      <c r="H6" s="173"/>
      <c r="I6" s="173"/>
      <c r="J6" s="173"/>
      <c r="K6" s="161"/>
      <c r="L6" s="161"/>
      <c r="M6" s="162"/>
      <c r="N6" s="161"/>
      <c r="O6" s="161"/>
      <c r="P6" s="163"/>
      <c r="Q6" s="161"/>
      <c r="R6" s="185"/>
      <c r="S6" s="161"/>
      <c r="T6" s="162"/>
      <c r="U6" s="161"/>
      <c r="V6" s="171"/>
      <c r="W6" s="167"/>
      <c r="X6" s="180"/>
      <c r="Y6" s="290"/>
      <c r="Z6" s="168"/>
      <c r="AA6" s="168"/>
      <c r="AB6" s="161"/>
      <c r="AC6" s="161"/>
      <c r="AD6" s="169"/>
      <c r="AE6" s="169"/>
      <c r="AF6" s="250"/>
      <c r="AG6" s="161"/>
      <c r="AH6" s="161"/>
      <c r="AI6" s="171"/>
      <c r="AJ6" s="172"/>
      <c r="AK6" s="187"/>
      <c r="AL6" s="283"/>
      <c r="AM6" s="284"/>
      <c r="AN6" s="174"/>
      <c r="AO6" s="174"/>
      <c r="AP6" s="174"/>
      <c r="AQ6" s="161"/>
      <c r="AR6" s="176"/>
      <c r="AS6" s="183"/>
      <c r="AT6" s="178"/>
    </row>
    <row r="7" spans="1:46">
      <c r="A7" s="173"/>
      <c r="B7" s="161"/>
      <c r="C7" s="161"/>
      <c r="D7" s="160"/>
      <c r="E7" s="226"/>
      <c r="F7" s="173"/>
      <c r="G7" s="173"/>
      <c r="H7" s="173"/>
      <c r="I7" s="173"/>
      <c r="J7" s="173"/>
      <c r="K7" s="161"/>
      <c r="L7" s="161"/>
      <c r="M7" s="162"/>
      <c r="N7" s="161"/>
      <c r="O7" s="161"/>
      <c r="P7" s="163"/>
      <c r="Q7" s="161"/>
      <c r="R7" s="164"/>
      <c r="S7" s="165"/>
      <c r="T7" s="162"/>
      <c r="U7" s="165"/>
      <c r="V7" s="286"/>
      <c r="W7" s="167"/>
      <c r="X7" s="180"/>
      <c r="Y7" s="290"/>
      <c r="Z7" s="168"/>
      <c r="AA7" s="168"/>
      <c r="AB7" s="161"/>
      <c r="AC7" s="161"/>
      <c r="AD7" s="169"/>
      <c r="AE7" s="169"/>
      <c r="AF7" s="63"/>
      <c r="AG7" s="176"/>
      <c r="AH7" s="176"/>
      <c r="AI7" s="181"/>
      <c r="AJ7" s="172"/>
      <c r="AK7" s="281"/>
      <c r="AL7" s="172"/>
      <c r="AM7" s="172"/>
      <c r="AN7" s="282"/>
      <c r="AO7" s="174"/>
      <c r="AP7" s="174"/>
      <c r="AQ7" s="161"/>
      <c r="AR7" s="176"/>
      <c r="AS7" s="183"/>
      <c r="AT7" s="184"/>
    </row>
    <row r="8" spans="1:46">
      <c r="A8" s="173"/>
      <c r="B8" s="161"/>
      <c r="C8" s="161"/>
      <c r="D8" s="160"/>
      <c r="E8" s="226"/>
      <c r="F8" s="173"/>
      <c r="G8" s="173"/>
      <c r="H8" s="173"/>
      <c r="I8" s="173"/>
      <c r="J8" s="173"/>
      <c r="K8" s="161"/>
      <c r="L8" s="161"/>
      <c r="M8" s="162"/>
      <c r="N8" s="161"/>
      <c r="O8" s="161"/>
      <c r="P8" s="163"/>
      <c r="Q8" s="161"/>
      <c r="R8" s="179"/>
      <c r="S8" s="176"/>
      <c r="T8" s="162"/>
      <c r="U8" s="176"/>
      <c r="V8" s="181"/>
      <c r="W8" s="167"/>
      <c r="X8" s="180"/>
      <c r="Y8" s="290"/>
      <c r="Z8" s="168"/>
      <c r="AA8" s="168"/>
      <c r="AB8" s="161"/>
      <c r="AC8" s="161"/>
      <c r="AD8" s="169"/>
      <c r="AE8" s="169"/>
      <c r="AF8" s="63"/>
      <c r="AG8" s="161"/>
      <c r="AH8" s="161"/>
      <c r="AI8" s="171"/>
      <c r="AJ8" s="172"/>
      <c r="AK8" s="281"/>
      <c r="AL8" s="172"/>
      <c r="AM8" s="172"/>
      <c r="AN8" s="282"/>
      <c r="AO8" s="174"/>
      <c r="AP8" s="174"/>
      <c r="AQ8" s="161"/>
      <c r="AR8" s="176"/>
      <c r="AS8" s="183"/>
      <c r="AT8" s="178"/>
    </row>
    <row r="9" spans="1:46">
      <c r="A9" s="173"/>
      <c r="B9" s="161"/>
      <c r="C9" s="161"/>
      <c r="D9" s="160"/>
      <c r="E9" s="226"/>
      <c r="F9" s="173"/>
      <c r="G9" s="173"/>
      <c r="H9" s="173"/>
      <c r="I9" s="173"/>
      <c r="J9" s="173"/>
      <c r="K9" s="161"/>
      <c r="L9" s="161"/>
      <c r="M9" s="162"/>
      <c r="N9" s="161"/>
      <c r="O9" s="161"/>
      <c r="P9" s="163"/>
      <c r="Q9" s="161"/>
      <c r="R9" s="185"/>
      <c r="S9" s="161"/>
      <c r="T9" s="162"/>
      <c r="U9" s="161"/>
      <c r="V9" s="171"/>
      <c r="W9" s="167"/>
      <c r="X9" s="180"/>
      <c r="Y9" s="290"/>
      <c r="Z9" s="168"/>
      <c r="AA9" s="168"/>
      <c r="AB9" s="161"/>
      <c r="AC9" s="161"/>
      <c r="AD9" s="169"/>
      <c r="AE9" s="169"/>
      <c r="AF9" s="63"/>
      <c r="AG9" s="161"/>
      <c r="AH9" s="161"/>
      <c r="AI9" s="171"/>
      <c r="AJ9" s="191"/>
      <c r="AK9" s="172"/>
      <c r="AL9" s="190"/>
      <c r="AM9" s="190"/>
      <c r="AN9" s="174"/>
      <c r="AO9" s="174"/>
      <c r="AP9" s="174"/>
      <c r="AQ9" s="161"/>
      <c r="AR9" s="176"/>
      <c r="AS9" s="183"/>
      <c r="AT9" s="178"/>
    </row>
    <row r="10" spans="1:46">
      <c r="A10" s="192"/>
      <c r="B10" s="161"/>
      <c r="C10" s="161"/>
      <c r="D10" s="160"/>
      <c r="E10" s="226"/>
      <c r="F10" s="192"/>
      <c r="G10" s="192"/>
      <c r="H10" s="192"/>
      <c r="I10" s="192"/>
      <c r="J10" s="192"/>
      <c r="K10" s="161"/>
      <c r="L10" s="161"/>
      <c r="M10" s="162"/>
      <c r="N10" s="161"/>
      <c r="O10" s="161"/>
      <c r="P10" s="163"/>
      <c r="Q10" s="161"/>
      <c r="R10" s="185"/>
      <c r="S10" s="161"/>
      <c r="T10" s="162"/>
      <c r="U10" s="161"/>
      <c r="V10" s="171"/>
      <c r="W10" s="167"/>
      <c r="X10" s="180"/>
      <c r="Y10" s="290"/>
      <c r="Z10" s="168"/>
      <c r="AA10" s="168"/>
      <c r="AB10" s="166"/>
      <c r="AC10" s="166"/>
      <c r="AD10" s="169"/>
      <c r="AE10" s="169"/>
      <c r="AF10" s="63"/>
      <c r="AG10" s="176"/>
      <c r="AH10" s="176"/>
      <c r="AI10" s="181"/>
      <c r="AJ10" s="186"/>
      <c r="AK10" s="172"/>
      <c r="AL10" s="172"/>
      <c r="AM10" s="172"/>
      <c r="AN10" s="193"/>
      <c r="AO10" s="193"/>
      <c r="AP10" s="193"/>
      <c r="AQ10" s="161"/>
      <c r="AR10" s="176"/>
      <c r="AS10" s="183"/>
      <c r="AT10" s="184"/>
    </row>
    <row r="11" spans="1:46">
      <c r="A11" s="173"/>
      <c r="B11" s="161"/>
      <c r="C11" s="161"/>
      <c r="D11" s="160"/>
      <c r="E11" s="226"/>
      <c r="F11" s="173"/>
      <c r="G11" s="173"/>
      <c r="H11" s="173"/>
      <c r="I11" s="173"/>
      <c r="J11" s="173"/>
      <c r="K11" s="161"/>
      <c r="L11" s="161"/>
      <c r="M11" s="162"/>
      <c r="N11" s="161"/>
      <c r="O11" s="161"/>
      <c r="P11" s="163"/>
      <c r="Q11" s="161"/>
      <c r="R11" s="164"/>
      <c r="S11" s="165"/>
      <c r="T11" s="162"/>
      <c r="U11" s="165"/>
      <c r="V11" s="286"/>
      <c r="W11" s="167"/>
      <c r="X11" s="180"/>
      <c r="Y11" s="290"/>
      <c r="Z11" s="168"/>
      <c r="AA11" s="168"/>
      <c r="AB11" s="194"/>
      <c r="AC11" s="194"/>
      <c r="AD11" s="169"/>
      <c r="AE11" s="169"/>
      <c r="AF11" s="63"/>
      <c r="AG11" s="161"/>
      <c r="AH11" s="161"/>
      <c r="AI11" s="171"/>
      <c r="AJ11" s="172"/>
      <c r="AK11" s="264"/>
      <c r="AL11" s="264"/>
      <c r="AM11" s="163"/>
      <c r="AN11" s="174"/>
      <c r="AO11" s="174"/>
      <c r="AP11" s="174"/>
      <c r="AQ11" s="161"/>
      <c r="AR11" s="176"/>
      <c r="AS11" s="183"/>
      <c r="AT11" s="178"/>
    </row>
    <row r="12" spans="1:46">
      <c r="A12" s="173"/>
      <c r="B12" s="161"/>
      <c r="C12" s="161"/>
      <c r="D12" s="160"/>
      <c r="E12" s="226"/>
      <c r="F12" s="173"/>
      <c r="G12" s="173"/>
      <c r="H12" s="173"/>
      <c r="I12" s="173"/>
      <c r="J12" s="173"/>
      <c r="K12" s="161"/>
      <c r="L12" s="161"/>
      <c r="M12" s="162"/>
      <c r="N12" s="161"/>
      <c r="O12" s="161"/>
      <c r="P12" s="195"/>
      <c r="Q12" s="196"/>
      <c r="R12" s="179"/>
      <c r="S12" s="176"/>
      <c r="T12" s="162"/>
      <c r="U12" s="176"/>
      <c r="V12" s="181"/>
      <c r="W12" s="167"/>
      <c r="X12" s="180"/>
      <c r="Y12" s="290"/>
      <c r="Z12" s="168"/>
      <c r="AA12" s="168"/>
      <c r="AB12" s="166"/>
      <c r="AC12" s="166"/>
      <c r="AD12" s="169"/>
      <c r="AE12" s="169"/>
      <c r="AF12" s="63"/>
      <c r="AG12" s="161"/>
      <c r="AH12" s="161"/>
      <c r="AI12" s="197"/>
      <c r="AJ12" s="205"/>
      <c r="AK12" s="163"/>
      <c r="AL12" s="163"/>
      <c r="AM12" s="163"/>
      <c r="AN12" s="174"/>
      <c r="AO12" s="174"/>
      <c r="AP12" s="174"/>
      <c r="AQ12" s="161"/>
      <c r="AR12" s="176"/>
      <c r="AS12" s="183"/>
      <c r="AT12" s="178"/>
    </row>
    <row r="13" spans="1:46">
      <c r="A13" s="173"/>
      <c r="B13" s="161"/>
      <c r="C13" s="161"/>
      <c r="D13" s="160"/>
      <c r="E13" s="226"/>
      <c r="F13" s="173"/>
      <c r="G13" s="173"/>
      <c r="H13" s="173"/>
      <c r="I13" s="173"/>
      <c r="J13" s="173"/>
      <c r="K13" s="161"/>
      <c r="L13" s="161"/>
      <c r="M13" s="162"/>
      <c r="N13" s="161"/>
      <c r="O13" s="161"/>
      <c r="P13" s="195"/>
      <c r="Q13" s="196"/>
      <c r="R13" s="198"/>
      <c r="S13" s="196"/>
      <c r="T13" s="162"/>
      <c r="U13" s="196"/>
      <c r="V13" s="197"/>
      <c r="W13" s="167"/>
      <c r="X13" s="180"/>
      <c r="Y13" s="290"/>
      <c r="Z13" s="168"/>
      <c r="AA13" s="168"/>
      <c r="AB13" s="161"/>
      <c r="AC13" s="161"/>
      <c r="AD13" s="169"/>
      <c r="AE13" s="169"/>
      <c r="AF13" s="63"/>
      <c r="AG13" s="161"/>
      <c r="AH13" s="161"/>
      <c r="AI13" s="197"/>
      <c r="AJ13" s="163"/>
      <c r="AK13" s="163"/>
      <c r="AL13" s="163"/>
      <c r="AM13" s="163"/>
      <c r="AN13" s="174"/>
      <c r="AO13" s="174"/>
      <c r="AP13" s="174"/>
      <c r="AQ13" s="161"/>
      <c r="AR13" s="176"/>
      <c r="AS13" s="183"/>
      <c r="AT13" s="178"/>
    </row>
    <row r="14" spans="1:46">
      <c r="A14" s="173"/>
      <c r="B14" s="161"/>
      <c r="C14" s="161"/>
      <c r="D14" s="160"/>
      <c r="E14" s="226"/>
      <c r="F14" s="173"/>
      <c r="G14" s="173"/>
      <c r="H14" s="173"/>
      <c r="I14" s="173"/>
      <c r="J14" s="173"/>
      <c r="K14" s="161"/>
      <c r="L14" s="161"/>
      <c r="M14" s="162"/>
      <c r="N14" s="161"/>
      <c r="O14" s="161"/>
      <c r="P14" s="163"/>
      <c r="Q14" s="161"/>
      <c r="R14" s="198"/>
      <c r="S14" s="196"/>
      <c r="T14" s="162"/>
      <c r="U14" s="196"/>
      <c r="V14" s="197"/>
      <c r="W14" s="167"/>
      <c r="X14" s="180"/>
      <c r="Y14" s="290"/>
      <c r="Z14" s="168"/>
      <c r="AA14" s="168"/>
      <c r="AB14" s="161"/>
      <c r="AC14" s="161"/>
      <c r="AD14" s="169"/>
      <c r="AE14" s="169"/>
      <c r="AF14" s="63"/>
      <c r="AG14" s="161"/>
      <c r="AH14" s="161"/>
      <c r="AI14" s="197"/>
      <c r="AJ14" s="172"/>
      <c r="AK14" s="172"/>
      <c r="AL14" s="172"/>
      <c r="AM14" s="172"/>
      <c r="AN14" s="174"/>
      <c r="AO14" s="174"/>
      <c r="AP14" s="174"/>
      <c r="AQ14" s="161"/>
      <c r="AR14" s="176"/>
      <c r="AS14" s="183"/>
      <c r="AT14" s="178"/>
    </row>
    <row r="15" spans="1:46">
      <c r="A15" s="173"/>
      <c r="B15" s="161"/>
      <c r="C15" s="161"/>
      <c r="D15" s="160"/>
      <c r="E15" s="226"/>
      <c r="F15" s="173"/>
      <c r="G15" s="173"/>
      <c r="H15" s="173"/>
      <c r="I15" s="173"/>
      <c r="J15" s="173"/>
      <c r="K15" s="161"/>
      <c r="L15" s="161"/>
      <c r="M15" s="162"/>
      <c r="N15" s="161"/>
      <c r="O15" s="161"/>
      <c r="P15" s="163"/>
      <c r="Q15" s="161"/>
      <c r="R15" s="198"/>
      <c r="S15" s="196"/>
      <c r="T15" s="162"/>
      <c r="U15" s="196"/>
      <c r="V15" s="197"/>
      <c r="W15" s="167"/>
      <c r="X15" s="180"/>
      <c r="Y15" s="290"/>
      <c r="Z15" s="168"/>
      <c r="AA15" s="168"/>
      <c r="AB15" s="161"/>
      <c r="AC15" s="161"/>
      <c r="AD15" s="169"/>
      <c r="AE15" s="169"/>
      <c r="AF15" s="63"/>
      <c r="AG15" s="161"/>
      <c r="AH15" s="161"/>
      <c r="AI15" s="197"/>
      <c r="AJ15" s="172"/>
      <c r="AK15" s="172"/>
      <c r="AL15" s="172"/>
      <c r="AM15" s="163"/>
      <c r="AN15" s="174"/>
      <c r="AO15" s="174"/>
      <c r="AP15" s="174"/>
      <c r="AQ15" s="161"/>
      <c r="AR15" s="176"/>
      <c r="AS15" s="183"/>
      <c r="AT15" s="178"/>
    </row>
    <row r="16" spans="1:46">
      <c r="A16" s="200"/>
      <c r="B16" s="161"/>
      <c r="C16" s="161"/>
      <c r="D16" s="160"/>
      <c r="E16" s="228"/>
      <c r="F16" s="200"/>
      <c r="G16" s="200"/>
      <c r="H16" s="200"/>
      <c r="I16" s="200"/>
      <c r="J16" s="200"/>
      <c r="K16" s="161"/>
      <c r="L16" s="161"/>
      <c r="M16" s="162"/>
      <c r="N16" s="161"/>
      <c r="O16" s="161"/>
      <c r="P16" s="199"/>
      <c r="Q16" s="196"/>
      <c r="R16" s="198"/>
      <c r="S16" s="196"/>
      <c r="T16" s="162"/>
      <c r="U16" s="196"/>
      <c r="V16" s="197"/>
      <c r="W16" s="167"/>
      <c r="X16" s="180"/>
      <c r="Y16" s="290"/>
      <c r="Z16" s="168"/>
      <c r="AA16" s="168"/>
      <c r="AB16" s="161"/>
      <c r="AC16" s="161"/>
      <c r="AD16" s="169"/>
      <c r="AE16" s="169"/>
      <c r="AF16" s="63"/>
      <c r="AG16" s="161"/>
      <c r="AH16" s="161"/>
      <c r="AI16" s="197"/>
      <c r="AJ16" s="172"/>
      <c r="AK16" s="172"/>
      <c r="AL16" s="278"/>
      <c r="AM16" s="187"/>
      <c r="AN16" s="174"/>
      <c r="AO16" s="174"/>
      <c r="AP16" s="174"/>
      <c r="AQ16" s="161"/>
      <c r="AR16" s="176"/>
      <c r="AS16" s="183"/>
      <c r="AT16" s="178"/>
    </row>
    <row r="17" spans="1:46">
      <c r="A17" s="173"/>
      <c r="B17" s="161"/>
      <c r="C17" s="161"/>
      <c r="D17" s="160"/>
      <c r="E17" s="226"/>
      <c r="F17" s="173"/>
      <c r="G17" s="173"/>
      <c r="H17" s="173"/>
      <c r="I17" s="173"/>
      <c r="J17" s="173"/>
      <c r="K17" s="161"/>
      <c r="L17" s="161"/>
      <c r="M17" s="162"/>
      <c r="N17" s="161"/>
      <c r="O17" s="161"/>
      <c r="P17" s="201"/>
      <c r="Q17" s="202"/>
      <c r="R17" s="198"/>
      <c r="S17" s="196"/>
      <c r="T17" s="162"/>
      <c r="U17" s="196"/>
      <c r="V17" s="197"/>
      <c r="W17" s="167"/>
      <c r="X17" s="203"/>
      <c r="Y17" s="291"/>
      <c r="Z17" s="168"/>
      <c r="AA17" s="168"/>
      <c r="AB17" s="161"/>
      <c r="AC17" s="161"/>
      <c r="AD17" s="169"/>
      <c r="AE17" s="169"/>
      <c r="AF17" s="63"/>
      <c r="AG17" s="161"/>
      <c r="AH17" s="161"/>
      <c r="AI17" s="197"/>
      <c r="AJ17" s="172"/>
      <c r="AK17" s="163"/>
      <c r="AL17" s="173"/>
      <c r="AM17" s="173"/>
      <c r="AN17" s="174"/>
      <c r="AO17" s="174"/>
      <c r="AP17" s="174"/>
      <c r="AQ17" s="161"/>
      <c r="AR17" s="176"/>
      <c r="AS17" s="183"/>
      <c r="AT17" s="178"/>
    </row>
    <row r="18" spans="1:46">
      <c r="A18" s="204"/>
      <c r="B18" s="161"/>
      <c r="C18" s="161"/>
      <c r="D18" s="160"/>
      <c r="E18" s="229"/>
      <c r="F18" s="204"/>
      <c r="G18" s="204"/>
      <c r="H18" s="204"/>
      <c r="I18" s="204"/>
      <c r="J18" s="204"/>
      <c r="K18" s="161"/>
      <c r="L18" s="161"/>
      <c r="M18" s="162"/>
      <c r="N18" s="161"/>
      <c r="O18" s="161"/>
      <c r="P18" s="163"/>
      <c r="Q18" s="161"/>
      <c r="R18" s="198"/>
      <c r="S18" s="196"/>
      <c r="T18" s="162"/>
      <c r="U18" s="196"/>
      <c r="V18" s="197"/>
      <c r="W18" s="167"/>
      <c r="X18" s="180"/>
      <c r="Y18" s="290"/>
      <c r="Z18" s="168"/>
      <c r="AA18" s="168"/>
      <c r="AB18" s="161"/>
      <c r="AC18" s="161"/>
      <c r="AD18" s="169"/>
      <c r="AE18" s="169"/>
      <c r="AF18" s="68"/>
      <c r="AG18" s="161"/>
      <c r="AH18" s="161"/>
      <c r="AI18" s="197"/>
      <c r="AJ18" s="172"/>
      <c r="AK18" s="163"/>
      <c r="AL18" s="163"/>
      <c r="AM18" s="163"/>
      <c r="AN18" s="174"/>
      <c r="AO18" s="174"/>
      <c r="AP18" s="174"/>
      <c r="AQ18" s="161"/>
      <c r="AR18" s="176"/>
      <c r="AS18" s="183"/>
      <c r="AT18" s="178"/>
    </row>
    <row r="19" spans="1:46">
      <c r="A19" s="200"/>
      <c r="B19" s="161"/>
      <c r="C19" s="161"/>
      <c r="D19" s="160"/>
      <c r="E19" s="228"/>
      <c r="F19" s="200"/>
      <c r="G19" s="200"/>
      <c r="H19" s="200"/>
      <c r="I19" s="200"/>
      <c r="J19" s="200"/>
      <c r="K19" s="161"/>
      <c r="L19" s="161"/>
      <c r="M19" s="162"/>
      <c r="N19" s="161"/>
      <c r="O19" s="161"/>
      <c r="P19" s="205"/>
      <c r="Q19" s="206"/>
      <c r="R19" s="198"/>
      <c r="S19" s="196"/>
      <c r="T19" s="162"/>
      <c r="U19" s="196"/>
      <c r="V19" s="197"/>
      <c r="W19" s="167"/>
      <c r="X19" s="180"/>
      <c r="Y19" s="290"/>
      <c r="Z19" s="168"/>
      <c r="AA19" s="168"/>
      <c r="AB19" s="161"/>
      <c r="AC19" s="161"/>
      <c r="AD19" s="169"/>
      <c r="AE19" s="169"/>
      <c r="AF19" s="68"/>
      <c r="AG19" s="161"/>
      <c r="AH19" s="161"/>
      <c r="AI19" s="197"/>
      <c r="AJ19" s="186"/>
      <c r="AK19" s="187"/>
      <c r="AL19" s="187"/>
      <c r="AM19" s="163"/>
      <c r="AN19" s="174"/>
      <c r="AO19" s="174"/>
      <c r="AP19" s="174"/>
      <c r="AQ19" s="161"/>
      <c r="AR19" s="176"/>
      <c r="AS19" s="183"/>
      <c r="AT19" s="178"/>
    </row>
    <row r="20" spans="1:46">
      <c r="A20" s="173"/>
      <c r="B20" s="161"/>
      <c r="C20" s="161"/>
      <c r="D20" s="160"/>
      <c r="E20" s="226"/>
      <c r="F20" s="173"/>
      <c r="G20" s="173"/>
      <c r="H20" s="173"/>
      <c r="I20" s="173"/>
      <c r="J20" s="173"/>
      <c r="K20" s="161"/>
      <c r="L20" s="161"/>
      <c r="M20" s="162"/>
      <c r="N20" s="161"/>
      <c r="O20" s="161"/>
      <c r="P20" s="163"/>
      <c r="Q20" s="161"/>
      <c r="R20" s="198"/>
      <c r="S20" s="196"/>
      <c r="T20" s="162"/>
      <c r="U20" s="196"/>
      <c r="V20" s="197"/>
      <c r="W20" s="167"/>
      <c r="X20" s="180"/>
      <c r="Y20" s="290"/>
      <c r="Z20" s="168"/>
      <c r="AA20" s="168"/>
      <c r="AB20" s="161"/>
      <c r="AC20" s="161"/>
      <c r="AD20" s="169"/>
      <c r="AE20" s="169"/>
      <c r="AF20" s="40"/>
      <c r="AG20" s="161"/>
      <c r="AH20" s="161"/>
      <c r="AI20" s="197"/>
      <c r="AJ20" s="188"/>
      <c r="AK20" s="207"/>
      <c r="AL20" s="279"/>
      <c r="AM20" s="173"/>
      <c r="AN20" s="165"/>
      <c r="AO20" s="165"/>
      <c r="AP20" s="165"/>
      <c r="AQ20" s="161"/>
      <c r="AR20" s="176"/>
      <c r="AS20" s="183"/>
      <c r="AT20" s="178"/>
    </row>
    <row r="21" spans="1:46">
      <c r="A21" s="212"/>
      <c r="B21" s="176"/>
      <c r="C21" s="176"/>
      <c r="D21" s="160"/>
      <c r="E21" s="230"/>
      <c r="F21" s="212"/>
      <c r="G21" s="212"/>
      <c r="H21" s="212"/>
      <c r="I21" s="212"/>
      <c r="J21" s="212"/>
      <c r="K21" s="176"/>
      <c r="L21" s="176"/>
      <c r="M21" s="162"/>
      <c r="N21" s="176"/>
      <c r="O21" s="161"/>
      <c r="P21" s="163"/>
      <c r="Q21" s="161"/>
      <c r="R21" s="179"/>
      <c r="S21" s="176"/>
      <c r="T21" s="162"/>
      <c r="U21" s="176"/>
      <c r="V21" s="181"/>
      <c r="W21" s="167"/>
      <c r="X21" s="180"/>
      <c r="Y21" s="223"/>
      <c r="Z21" s="208"/>
      <c r="AA21" s="208"/>
      <c r="AB21" s="176"/>
      <c r="AC21" s="176"/>
      <c r="AD21" s="169"/>
      <c r="AE21" s="169"/>
      <c r="AF21" s="250"/>
      <c r="AG21" s="176"/>
      <c r="AH21" s="176"/>
      <c r="AI21" s="181"/>
      <c r="AJ21" s="209"/>
      <c r="AK21" s="210"/>
      <c r="AL21" s="210"/>
      <c r="AM21" s="211"/>
      <c r="AN21" s="213"/>
      <c r="AO21" s="213"/>
      <c r="AP21" s="213"/>
      <c r="AQ21" s="176"/>
      <c r="AR21" s="176"/>
      <c r="AS21" s="183"/>
      <c r="AT21" s="184"/>
    </row>
    <row r="22" spans="1:46">
      <c r="A22" s="214"/>
      <c r="B22" s="176"/>
      <c r="C22" s="176"/>
      <c r="D22" s="160"/>
      <c r="E22" s="226"/>
      <c r="F22" s="214"/>
      <c r="G22" s="214"/>
      <c r="H22" s="214"/>
      <c r="I22" s="214"/>
      <c r="J22" s="214"/>
      <c r="K22" s="176"/>
      <c r="L22" s="176"/>
      <c r="M22" s="162"/>
      <c r="N22" s="176"/>
      <c r="O22" s="161"/>
      <c r="P22" s="163"/>
      <c r="Q22" s="161"/>
      <c r="R22" s="179"/>
      <c r="S22" s="176"/>
      <c r="T22" s="162"/>
      <c r="U22" s="176"/>
      <c r="V22" s="181"/>
      <c r="W22" s="167"/>
      <c r="X22" s="180"/>
      <c r="Y22" s="290"/>
      <c r="Z22" s="168"/>
      <c r="AA22" s="168"/>
      <c r="AB22" s="176"/>
      <c r="AC22" s="176"/>
      <c r="AD22" s="169"/>
      <c r="AE22" s="169"/>
      <c r="AF22" s="63"/>
      <c r="AG22" s="176"/>
      <c r="AH22" s="176"/>
      <c r="AI22" s="181"/>
      <c r="AJ22" s="182"/>
      <c r="AK22" s="182"/>
      <c r="AL22" s="182"/>
      <c r="AM22" s="182"/>
      <c r="AN22" s="213"/>
      <c r="AO22" s="213"/>
      <c r="AP22" s="213"/>
      <c r="AQ22" s="176"/>
      <c r="AR22" s="176"/>
      <c r="AS22" s="183"/>
      <c r="AT22" s="184"/>
    </row>
    <row r="23" spans="1:46">
      <c r="A23" s="214"/>
      <c r="B23" s="176"/>
      <c r="C23" s="176"/>
      <c r="D23" s="160"/>
      <c r="E23" s="226"/>
      <c r="F23" s="214"/>
      <c r="G23" s="214"/>
      <c r="H23" s="214"/>
      <c r="I23" s="214"/>
      <c r="J23" s="214"/>
      <c r="K23" s="215"/>
      <c r="L23" s="215"/>
      <c r="M23" s="162"/>
      <c r="N23" s="176"/>
      <c r="O23" s="161"/>
      <c r="P23" s="180"/>
      <c r="Q23" s="176"/>
      <c r="R23" s="179"/>
      <c r="S23" s="176"/>
      <c r="T23" s="162"/>
      <c r="U23" s="176"/>
      <c r="V23" s="287"/>
      <c r="W23" s="216"/>
      <c r="X23" s="180"/>
      <c r="Y23" s="292"/>
      <c r="Z23" s="217"/>
      <c r="AA23" s="217"/>
      <c r="AB23" s="215"/>
      <c r="AC23" s="215"/>
      <c r="AD23" s="169"/>
      <c r="AE23" s="169"/>
      <c r="AF23" s="63"/>
      <c r="AG23" s="176"/>
      <c r="AH23" s="176"/>
      <c r="AI23" s="181"/>
      <c r="AJ23" s="180"/>
      <c r="AK23" s="180"/>
      <c r="AL23" s="180"/>
      <c r="AM23" s="180"/>
      <c r="AN23" s="213"/>
      <c r="AO23" s="213"/>
      <c r="AP23" s="213"/>
      <c r="AQ23" s="176"/>
      <c r="AR23" s="176"/>
      <c r="AS23" s="183"/>
      <c r="AT23" s="184"/>
    </row>
    <row r="24" spans="1:46">
      <c r="A24" s="214"/>
      <c r="B24" s="176"/>
      <c r="C24" s="176"/>
      <c r="D24" s="160"/>
      <c r="E24" s="226"/>
      <c r="F24" s="214"/>
      <c r="G24" s="214"/>
      <c r="H24" s="214"/>
      <c r="I24" s="214"/>
      <c r="J24" s="214"/>
      <c r="K24" s="176"/>
      <c r="L24" s="176"/>
      <c r="M24" s="162"/>
      <c r="N24" s="176"/>
      <c r="O24" s="161"/>
      <c r="P24" s="180"/>
      <c r="Q24" s="176"/>
      <c r="R24" s="179"/>
      <c r="S24" s="176"/>
      <c r="T24" s="162"/>
      <c r="U24" s="181"/>
      <c r="V24" s="181"/>
      <c r="W24" s="167"/>
      <c r="X24" s="180"/>
      <c r="Y24" s="290"/>
      <c r="Z24" s="168"/>
      <c r="AA24" s="168"/>
      <c r="AB24" s="179"/>
      <c r="AC24" s="179"/>
      <c r="AD24" s="218"/>
      <c r="AE24" s="218"/>
      <c r="AF24" s="63"/>
      <c r="AG24" s="176"/>
      <c r="AH24" s="176"/>
      <c r="AI24" s="181"/>
      <c r="AJ24" s="180"/>
      <c r="AK24" s="180"/>
      <c r="AL24" s="180"/>
      <c r="AM24" s="180"/>
      <c r="AN24" s="213"/>
      <c r="AO24" s="213"/>
      <c r="AP24" s="213"/>
      <c r="AQ24" s="176"/>
      <c r="AR24" s="176"/>
      <c r="AS24" s="183"/>
      <c r="AT24" s="184"/>
    </row>
    <row r="25" spans="1:46">
      <c r="A25" s="214"/>
      <c r="B25" s="176"/>
      <c r="C25" s="176"/>
      <c r="D25" s="160"/>
      <c r="E25" s="226"/>
      <c r="F25" s="214"/>
      <c r="G25" s="214"/>
      <c r="H25" s="214"/>
      <c r="I25" s="214"/>
      <c r="J25" s="214"/>
      <c r="K25" s="176"/>
      <c r="L25" s="176"/>
      <c r="M25" s="162"/>
      <c r="N25" s="176"/>
      <c r="O25" s="161"/>
      <c r="P25" s="163"/>
      <c r="Q25" s="161"/>
      <c r="R25" s="179"/>
      <c r="S25" s="176"/>
      <c r="T25" s="162"/>
      <c r="U25" s="181"/>
      <c r="V25" s="181"/>
      <c r="W25" s="167"/>
      <c r="X25" s="180"/>
      <c r="Y25" s="290"/>
      <c r="Z25" s="168"/>
      <c r="AA25" s="168"/>
      <c r="AB25" s="179"/>
      <c r="AC25" s="179"/>
      <c r="AD25" s="218"/>
      <c r="AE25" s="218"/>
      <c r="AF25" s="63"/>
      <c r="AG25" s="176"/>
      <c r="AH25" s="176"/>
      <c r="AI25" s="181"/>
      <c r="AJ25" s="182"/>
      <c r="AK25" s="182"/>
      <c r="AL25" s="182"/>
      <c r="AM25" s="180"/>
      <c r="AN25" s="213"/>
      <c r="AO25" s="213"/>
      <c r="AP25" s="213"/>
      <c r="AQ25" s="176"/>
      <c r="AR25" s="176"/>
      <c r="AS25" s="183"/>
      <c r="AT25" s="184"/>
    </row>
    <row r="26" spans="1:46">
      <c r="A26" s="173"/>
      <c r="B26" s="176"/>
      <c r="C26" s="176"/>
      <c r="D26" s="160"/>
      <c r="E26" s="226"/>
      <c r="F26" s="173"/>
      <c r="G26" s="173"/>
      <c r="H26" s="173"/>
      <c r="I26" s="173"/>
      <c r="J26" s="173"/>
      <c r="K26" s="176"/>
      <c r="L26" s="176"/>
      <c r="M26" s="162"/>
      <c r="N26" s="176"/>
      <c r="O26" s="161"/>
      <c r="P26" s="163"/>
      <c r="Q26" s="161"/>
      <c r="R26" s="179"/>
      <c r="S26" s="176"/>
      <c r="T26" s="162"/>
      <c r="U26" s="181"/>
      <c r="V26" s="181"/>
      <c r="W26" s="167"/>
      <c r="X26" s="180"/>
      <c r="Y26" s="290"/>
      <c r="Z26" s="168"/>
      <c r="AA26" s="168"/>
      <c r="AB26" s="179"/>
      <c r="AC26" s="179"/>
      <c r="AD26" s="218"/>
      <c r="AE26" s="218"/>
      <c r="AF26" s="63"/>
      <c r="AG26" s="176"/>
      <c r="AH26" s="176"/>
      <c r="AI26" s="181"/>
      <c r="AJ26" s="172"/>
      <c r="AK26" s="172"/>
      <c r="AL26" s="172"/>
      <c r="AM26" s="172"/>
      <c r="AN26" s="174"/>
      <c r="AO26" s="174"/>
      <c r="AP26" s="174"/>
      <c r="AQ26" s="176"/>
      <c r="AR26" s="176"/>
      <c r="AS26" s="183"/>
      <c r="AT26" s="184"/>
    </row>
    <row r="27" spans="1:46">
      <c r="A27" s="219"/>
      <c r="B27" s="176"/>
      <c r="C27" s="176"/>
      <c r="D27" s="160"/>
      <c r="E27" s="226"/>
      <c r="F27" s="219"/>
      <c r="G27" s="219"/>
      <c r="H27" s="219"/>
      <c r="I27" s="219"/>
      <c r="J27" s="219"/>
      <c r="K27" s="176"/>
      <c r="L27" s="176"/>
      <c r="M27" s="162"/>
      <c r="N27" s="176"/>
      <c r="O27" s="161"/>
      <c r="P27" s="180"/>
      <c r="Q27" s="176"/>
      <c r="R27" s="179"/>
      <c r="S27" s="176"/>
      <c r="T27" s="162"/>
      <c r="U27" s="181"/>
      <c r="V27" s="181"/>
      <c r="W27" s="167"/>
      <c r="X27" s="180"/>
      <c r="Y27" s="290"/>
      <c r="Z27" s="168"/>
      <c r="AA27" s="217"/>
      <c r="AB27" s="260"/>
      <c r="AC27" s="260"/>
      <c r="AD27" s="261"/>
      <c r="AE27" s="261"/>
      <c r="AF27" s="63"/>
      <c r="AG27" s="176"/>
      <c r="AH27" s="176"/>
      <c r="AI27" s="181"/>
      <c r="AJ27" s="180"/>
      <c r="AK27" s="180"/>
      <c r="AL27" s="180"/>
      <c r="AM27" s="180"/>
      <c r="AN27" s="220"/>
      <c r="AO27" s="220"/>
      <c r="AP27" s="220"/>
      <c r="AQ27" s="176"/>
      <c r="AR27" s="176"/>
      <c r="AS27" s="183"/>
      <c r="AT27" s="184"/>
    </row>
    <row r="28" spans="1:46">
      <c r="A28" s="173"/>
      <c r="B28" s="176"/>
      <c r="C28" s="176"/>
      <c r="D28" s="160"/>
      <c r="E28" s="226"/>
      <c r="F28" s="173"/>
      <c r="G28" s="173"/>
      <c r="H28" s="173"/>
      <c r="I28" s="173"/>
      <c r="J28" s="173"/>
      <c r="K28" s="176"/>
      <c r="L28" s="176"/>
      <c r="M28" s="162"/>
      <c r="N28" s="176"/>
      <c r="O28" s="161"/>
      <c r="P28" s="163"/>
      <c r="Q28" s="161"/>
      <c r="R28" s="179"/>
      <c r="S28" s="176"/>
      <c r="T28" s="162"/>
      <c r="U28" s="181"/>
      <c r="V28" s="181"/>
      <c r="W28" s="167"/>
      <c r="X28" s="180"/>
      <c r="Y28" s="293"/>
      <c r="Z28" s="256"/>
      <c r="AA28" s="256"/>
      <c r="AB28" s="176"/>
      <c r="AC28" s="176"/>
      <c r="AD28" s="169"/>
      <c r="AE28" s="169"/>
      <c r="AF28" s="258"/>
      <c r="AG28" s="176"/>
      <c r="AH28" s="176"/>
      <c r="AI28" s="181"/>
      <c r="AJ28" s="182"/>
      <c r="AK28" s="180"/>
      <c r="AL28" s="180"/>
      <c r="AM28" s="180"/>
      <c r="AN28" s="213"/>
      <c r="AO28" s="213"/>
      <c r="AP28" s="213"/>
      <c r="AQ28" s="176"/>
      <c r="AR28" s="176"/>
      <c r="AS28" s="183"/>
      <c r="AT28" s="184"/>
    </row>
    <row r="29" spans="1:46">
      <c r="A29" s="173"/>
      <c r="B29" s="176"/>
      <c r="C29" s="176"/>
      <c r="D29" s="160"/>
      <c r="E29" s="226"/>
      <c r="F29" s="173"/>
      <c r="G29" s="173"/>
      <c r="H29" s="173"/>
      <c r="I29" s="173"/>
      <c r="J29" s="173"/>
      <c r="K29" s="176"/>
      <c r="L29" s="176"/>
      <c r="M29" s="162"/>
      <c r="N29" s="176"/>
      <c r="O29" s="161"/>
      <c r="P29" s="163"/>
      <c r="Q29" s="161"/>
      <c r="R29" s="179"/>
      <c r="S29" s="176"/>
      <c r="T29" s="162"/>
      <c r="U29" s="181"/>
      <c r="V29" s="181"/>
      <c r="W29" s="167"/>
      <c r="X29" s="180"/>
      <c r="Y29" s="293"/>
      <c r="Z29" s="256"/>
      <c r="AA29" s="256"/>
      <c r="AB29" s="176"/>
      <c r="AC29" s="176"/>
      <c r="AD29" s="169"/>
      <c r="AE29" s="169"/>
      <c r="AF29" s="258"/>
      <c r="AG29" s="176"/>
      <c r="AH29" s="176"/>
      <c r="AI29" s="181"/>
      <c r="AJ29" s="172"/>
      <c r="AK29" s="182"/>
      <c r="AL29" s="182"/>
      <c r="AM29" s="188"/>
      <c r="AN29" s="174"/>
      <c r="AO29" s="174"/>
      <c r="AP29" s="174"/>
      <c r="AQ29" s="176"/>
      <c r="AR29" s="176"/>
      <c r="AS29" s="183"/>
      <c r="AT29" s="184"/>
    </row>
    <row r="30" spans="1:46">
      <c r="A30" s="173"/>
      <c r="B30" s="176"/>
      <c r="C30" s="176"/>
      <c r="D30" s="160"/>
      <c r="E30" s="226"/>
      <c r="F30" s="173"/>
      <c r="G30" s="173"/>
      <c r="H30" s="173"/>
      <c r="I30" s="173"/>
      <c r="J30" s="173"/>
      <c r="K30" s="176"/>
      <c r="L30" s="176"/>
      <c r="M30" s="162"/>
      <c r="N30" s="176"/>
      <c r="O30" s="161"/>
      <c r="P30" s="163"/>
      <c r="Q30" s="161"/>
      <c r="R30" s="179"/>
      <c r="S30" s="176"/>
      <c r="T30" s="162"/>
      <c r="U30" s="181"/>
      <c r="V30" s="181"/>
      <c r="W30" s="167"/>
      <c r="X30" s="180"/>
      <c r="Y30" s="293"/>
      <c r="Z30" s="256"/>
      <c r="AA30" s="256"/>
      <c r="AB30" s="176"/>
      <c r="AC30" s="176"/>
      <c r="AD30" s="169"/>
      <c r="AE30" s="169"/>
      <c r="AF30" s="258"/>
      <c r="AG30" s="176"/>
      <c r="AH30" s="176"/>
      <c r="AI30" s="181"/>
      <c r="AJ30" s="172"/>
      <c r="AK30" s="172"/>
      <c r="AL30" s="172"/>
      <c r="AM30" s="180"/>
      <c r="AN30" s="174"/>
      <c r="AO30" s="174"/>
      <c r="AP30" s="174"/>
      <c r="AQ30" s="176"/>
      <c r="AR30" s="176"/>
      <c r="AS30" s="183"/>
      <c r="AT30" s="184"/>
    </row>
    <row r="31" spans="1:46">
      <c r="A31" s="214"/>
      <c r="B31" s="176"/>
      <c r="C31" s="176"/>
      <c r="D31" s="160"/>
      <c r="E31" s="226"/>
      <c r="F31" s="214"/>
      <c r="G31" s="214"/>
      <c r="H31" s="214"/>
      <c r="I31" s="214"/>
      <c r="J31" s="214"/>
      <c r="K31" s="176"/>
      <c r="L31" s="176"/>
      <c r="M31" s="162"/>
      <c r="N31" s="176"/>
      <c r="O31" s="161"/>
      <c r="P31" s="180"/>
      <c r="Q31" s="176"/>
      <c r="R31" s="179"/>
      <c r="S31" s="176"/>
      <c r="T31" s="162"/>
      <c r="U31" s="181"/>
      <c r="V31" s="181"/>
      <c r="W31" s="167"/>
      <c r="X31" s="180"/>
      <c r="Y31" s="293"/>
      <c r="Z31" s="256"/>
      <c r="AA31" s="256"/>
      <c r="AB31" s="176"/>
      <c r="AC31" s="176"/>
      <c r="AD31" s="169"/>
      <c r="AE31" s="169"/>
      <c r="AF31" s="258"/>
      <c r="AG31" s="176"/>
      <c r="AH31" s="176"/>
      <c r="AI31" s="181"/>
      <c r="AJ31" s="180"/>
      <c r="AK31" s="180"/>
      <c r="AL31" s="180"/>
      <c r="AM31" s="180"/>
      <c r="AN31" s="213"/>
      <c r="AO31" s="213"/>
      <c r="AP31" s="213"/>
      <c r="AQ31" s="176"/>
      <c r="AR31" s="176"/>
      <c r="AS31" s="183"/>
      <c r="AT31" s="184"/>
    </row>
    <row r="32" spans="1:46">
      <c r="A32" s="214"/>
      <c r="B32" s="176"/>
      <c r="C32" s="176"/>
      <c r="D32" s="160"/>
      <c r="E32" s="226"/>
      <c r="F32" s="214"/>
      <c r="G32" s="214"/>
      <c r="H32" s="214"/>
      <c r="I32" s="214"/>
      <c r="J32" s="214"/>
      <c r="K32" s="176"/>
      <c r="L32" s="176"/>
      <c r="M32" s="162"/>
      <c r="N32" s="176"/>
      <c r="O32" s="161"/>
      <c r="P32" s="211"/>
      <c r="Q32" s="176"/>
      <c r="R32" s="179"/>
      <c r="S32" s="176"/>
      <c r="T32" s="162"/>
      <c r="U32" s="181"/>
      <c r="V32" s="181"/>
      <c r="W32" s="167"/>
      <c r="X32" s="180"/>
      <c r="Y32" s="293"/>
      <c r="Z32" s="256"/>
      <c r="AA32" s="256"/>
      <c r="AB32" s="176"/>
      <c r="AC32" s="176"/>
      <c r="AD32" s="169"/>
      <c r="AE32" s="169"/>
      <c r="AF32" s="258"/>
      <c r="AG32" s="176"/>
      <c r="AH32" s="176"/>
      <c r="AI32" s="181"/>
      <c r="AJ32" s="182"/>
      <c r="AK32" s="180"/>
      <c r="AL32" s="180"/>
      <c r="AM32" s="180"/>
      <c r="AN32" s="213"/>
      <c r="AO32" s="213"/>
      <c r="AP32" s="213"/>
      <c r="AQ32" s="176"/>
      <c r="AR32" s="176"/>
      <c r="AS32" s="183"/>
      <c r="AT32" s="184"/>
    </row>
    <row r="33" spans="1:46">
      <c r="A33" s="222"/>
      <c r="B33" s="176"/>
      <c r="C33" s="176"/>
      <c r="D33" s="160"/>
      <c r="E33" s="229"/>
      <c r="F33" s="222"/>
      <c r="G33" s="222"/>
      <c r="H33" s="222"/>
      <c r="I33" s="222"/>
      <c r="J33" s="222"/>
      <c r="K33" s="176"/>
      <c r="L33" s="176"/>
      <c r="M33" s="162"/>
      <c r="N33" s="176"/>
      <c r="O33" s="161"/>
      <c r="P33" s="180"/>
      <c r="Q33" s="179"/>
      <c r="R33" s="179"/>
      <c r="S33" s="176"/>
      <c r="T33" s="162"/>
      <c r="U33" s="181"/>
      <c r="V33" s="181"/>
      <c r="W33" s="167"/>
      <c r="X33" s="180"/>
      <c r="Y33" s="293"/>
      <c r="Z33" s="256"/>
      <c r="AA33" s="256"/>
      <c r="AB33" s="176"/>
      <c r="AC33" s="176"/>
      <c r="AD33" s="169"/>
      <c r="AE33" s="169"/>
      <c r="AF33" s="259"/>
      <c r="AG33" s="176"/>
      <c r="AH33" s="176"/>
      <c r="AI33" s="181"/>
      <c r="AJ33" s="221"/>
      <c r="AK33" s="221"/>
      <c r="AL33" s="221"/>
      <c r="AM33" s="221"/>
      <c r="AN33" s="213"/>
      <c r="AO33" s="213"/>
      <c r="AP33" s="213"/>
      <c r="AQ33" s="176"/>
      <c r="AR33" s="176"/>
      <c r="AS33" s="183"/>
      <c r="AT33" s="184"/>
    </row>
    <row r="34" spans="1:46">
      <c r="A34" s="214"/>
      <c r="B34" s="176"/>
      <c r="C34" s="176"/>
      <c r="D34" s="160"/>
      <c r="E34" s="226"/>
      <c r="F34" s="214"/>
      <c r="G34" s="214"/>
      <c r="H34" s="214"/>
      <c r="I34" s="214"/>
      <c r="J34" s="214"/>
      <c r="K34" s="176"/>
      <c r="L34" s="176"/>
      <c r="M34" s="162"/>
      <c r="N34" s="176"/>
      <c r="O34" s="161"/>
      <c r="P34" s="180"/>
      <c r="Q34" s="179"/>
      <c r="R34" s="179"/>
      <c r="S34" s="176"/>
      <c r="T34" s="176"/>
      <c r="U34" s="181"/>
      <c r="V34" s="181"/>
      <c r="W34" s="167"/>
      <c r="X34" s="180"/>
      <c r="Y34" s="293"/>
      <c r="Z34" s="256"/>
      <c r="AA34" s="256"/>
      <c r="AB34" s="176"/>
      <c r="AC34" s="176"/>
      <c r="AD34" s="169"/>
      <c r="AE34" s="169"/>
      <c r="AF34" s="218"/>
      <c r="AG34" s="176"/>
      <c r="AH34" s="176"/>
      <c r="AI34" s="181"/>
      <c r="AJ34" s="180"/>
      <c r="AK34" s="180"/>
      <c r="AL34" s="180"/>
      <c r="AM34" s="180"/>
      <c r="AN34" s="213"/>
      <c r="AO34" s="213"/>
      <c r="AP34" s="213"/>
      <c r="AQ34" s="176"/>
      <c r="AR34" s="176"/>
      <c r="AS34" s="183"/>
      <c r="AT34" s="184"/>
    </row>
    <row r="35" spans="1:46">
      <c r="A35" s="214"/>
      <c r="B35" s="176"/>
      <c r="C35" s="176"/>
      <c r="D35" s="160"/>
      <c r="E35" s="226"/>
      <c r="F35" s="214"/>
      <c r="G35" s="214"/>
      <c r="H35" s="214"/>
      <c r="I35" s="214"/>
      <c r="J35" s="214"/>
      <c r="K35" s="176"/>
      <c r="L35" s="176"/>
      <c r="M35" s="162"/>
      <c r="N35" s="176"/>
      <c r="O35" s="161"/>
      <c r="P35" s="180"/>
      <c r="Q35" s="179"/>
      <c r="R35" s="179"/>
      <c r="S35" s="176"/>
      <c r="T35" s="176"/>
      <c r="U35" s="181"/>
      <c r="V35" s="181"/>
      <c r="W35" s="167"/>
      <c r="X35" s="180"/>
      <c r="Y35" s="293"/>
      <c r="Z35" s="256"/>
      <c r="AA35" s="256"/>
      <c r="AB35" s="176"/>
      <c r="AC35" s="176"/>
      <c r="AD35" s="169"/>
      <c r="AE35" s="169"/>
      <c r="AF35" s="218"/>
      <c r="AG35" s="176"/>
      <c r="AH35" s="176"/>
      <c r="AI35" s="181"/>
      <c r="AJ35" s="180"/>
      <c r="AK35" s="180"/>
      <c r="AL35" s="180"/>
      <c r="AM35" s="180"/>
      <c r="AN35" s="213"/>
      <c r="AO35" s="213"/>
      <c r="AP35" s="213"/>
      <c r="AQ35" s="176"/>
      <c r="AR35" s="176"/>
      <c r="AS35" s="183"/>
      <c r="AT35" s="184"/>
    </row>
    <row r="36" spans="1:46">
      <c r="A36" s="214"/>
      <c r="B36" s="176"/>
      <c r="C36" s="176"/>
      <c r="D36" s="160"/>
      <c r="E36" s="226"/>
      <c r="F36" s="214"/>
      <c r="G36" s="214"/>
      <c r="H36" s="214"/>
      <c r="I36" s="214"/>
      <c r="J36" s="214"/>
      <c r="K36" s="176"/>
      <c r="L36" s="176"/>
      <c r="M36" s="162"/>
      <c r="N36" s="176"/>
      <c r="O36" s="161"/>
      <c r="P36" s="180"/>
      <c r="Q36" s="179"/>
      <c r="R36" s="179"/>
      <c r="S36" s="176"/>
      <c r="T36" s="176"/>
      <c r="U36" s="181"/>
      <c r="V36" s="181"/>
      <c r="W36" s="167"/>
      <c r="X36" s="180"/>
      <c r="Y36" s="293"/>
      <c r="Z36" s="256"/>
      <c r="AA36" s="256"/>
      <c r="AB36" s="176"/>
      <c r="AC36" s="176"/>
      <c r="AD36" s="169"/>
      <c r="AE36" s="169"/>
      <c r="AF36" s="218"/>
      <c r="AG36" s="176"/>
      <c r="AH36" s="176"/>
      <c r="AI36" s="181"/>
      <c r="AJ36" s="180"/>
      <c r="AK36" s="180"/>
      <c r="AL36" s="180"/>
      <c r="AM36" s="180"/>
      <c r="AN36" s="213"/>
      <c r="AO36" s="213"/>
      <c r="AP36" s="213"/>
      <c r="AQ36" s="176"/>
      <c r="AR36" s="176"/>
      <c r="AS36" s="183"/>
      <c r="AT36" s="184"/>
    </row>
    <row r="37" spans="1:46">
      <c r="A37" s="214"/>
      <c r="B37" s="176"/>
      <c r="C37" s="176"/>
      <c r="D37" s="160"/>
      <c r="E37" s="226"/>
      <c r="F37" s="214"/>
      <c r="G37" s="214"/>
      <c r="H37" s="214"/>
      <c r="I37" s="214"/>
      <c r="J37" s="214"/>
      <c r="K37" s="215"/>
      <c r="L37" s="215"/>
      <c r="M37" s="162"/>
      <c r="N37" s="176"/>
      <c r="O37" s="161"/>
      <c r="P37" s="223"/>
      <c r="Q37" s="176"/>
      <c r="R37" s="179"/>
      <c r="S37" s="176"/>
      <c r="T37" s="176"/>
      <c r="U37" s="181"/>
      <c r="V37" s="287"/>
      <c r="W37" s="216"/>
      <c r="X37" s="180"/>
      <c r="Y37" s="294"/>
      <c r="Z37" s="257"/>
      <c r="AA37" s="257"/>
      <c r="AB37" s="176"/>
      <c r="AC37" s="176"/>
      <c r="AD37" s="169"/>
      <c r="AE37" s="169"/>
      <c r="AF37" s="218"/>
      <c r="AG37" s="176"/>
      <c r="AH37" s="176"/>
      <c r="AI37" s="181"/>
      <c r="AJ37" s="180"/>
      <c r="AK37" s="180"/>
      <c r="AL37" s="180"/>
      <c r="AM37" s="180"/>
      <c r="AN37" s="213"/>
      <c r="AO37" s="213"/>
      <c r="AP37" s="213"/>
      <c r="AQ37" s="176"/>
      <c r="AR37" s="176"/>
      <c r="AS37" s="183"/>
      <c r="AT37" s="184"/>
    </row>
    <row r="38" spans="1:46">
      <c r="A38" s="98"/>
      <c r="C38" s="6"/>
      <c r="D38" s="16"/>
      <c r="E38" s="231"/>
      <c r="F38" s="98"/>
      <c r="G38" s="98"/>
      <c r="H38" s="98"/>
      <c r="I38" s="98"/>
      <c r="J38" s="98"/>
      <c r="K38" s="6"/>
      <c r="L38" s="6"/>
      <c r="M38" s="7"/>
      <c r="N38" s="6"/>
      <c r="O38" s="11"/>
      <c r="P38" s="39"/>
      <c r="Q38" s="31"/>
      <c r="R38" s="31"/>
      <c r="S38" s="6"/>
      <c r="T38" s="6"/>
      <c r="U38" s="24"/>
      <c r="V38" s="24"/>
      <c r="W38" s="67"/>
      <c r="X38" s="39"/>
      <c r="Y38" s="295"/>
      <c r="Z38" s="251"/>
      <c r="AA38" s="251"/>
      <c r="AB38" s="6"/>
      <c r="AC38" s="6"/>
      <c r="AD38" s="68"/>
      <c r="AE38" s="224"/>
      <c r="AF38" s="104"/>
      <c r="AG38" s="100"/>
      <c r="AH38" s="6"/>
      <c r="AI38" s="24"/>
      <c r="AJ38" s="39"/>
      <c r="AK38" s="39"/>
      <c r="AL38" s="39"/>
      <c r="AM38" s="39"/>
      <c r="AN38" s="80"/>
      <c r="AO38" s="80"/>
      <c r="AP38" s="80"/>
      <c r="AQ38" s="6"/>
      <c r="AR38" s="6"/>
      <c r="AS38" s="25"/>
      <c r="AT38" s="91"/>
    </row>
    <row r="39" spans="1:46">
      <c r="A39" s="117"/>
      <c r="C39" s="6"/>
      <c r="D39" s="16"/>
      <c r="E39" s="231"/>
      <c r="F39" s="117"/>
      <c r="G39" s="117"/>
      <c r="H39" s="117"/>
      <c r="I39" s="117"/>
      <c r="J39" s="117"/>
      <c r="K39" s="6"/>
      <c r="L39" s="6"/>
      <c r="M39" s="7"/>
      <c r="N39" s="6"/>
      <c r="O39" s="11"/>
      <c r="P39" s="137"/>
      <c r="Q39" s="28"/>
      <c r="R39" s="31"/>
      <c r="S39" s="6"/>
      <c r="T39" s="6"/>
      <c r="U39" s="24"/>
      <c r="V39" s="24"/>
      <c r="W39" s="67"/>
      <c r="X39" s="39"/>
      <c r="Y39" s="295"/>
      <c r="Z39" s="251"/>
      <c r="AA39" s="252"/>
      <c r="AB39" s="140"/>
      <c r="AC39" s="140"/>
      <c r="AD39" s="262"/>
      <c r="AE39" s="263"/>
      <c r="AF39" s="104"/>
      <c r="AG39" s="100"/>
      <c r="AH39" s="6"/>
      <c r="AI39" s="24"/>
      <c r="AJ39" s="116"/>
      <c r="AK39" s="124"/>
      <c r="AL39" s="124"/>
      <c r="AM39" s="39"/>
      <c r="AN39" s="77"/>
      <c r="AO39" s="77"/>
      <c r="AP39" s="77"/>
      <c r="AQ39" s="6"/>
      <c r="AR39" s="6"/>
      <c r="AS39" s="25"/>
      <c r="AT39" s="91"/>
    </row>
    <row r="40" spans="1:46">
      <c r="A40" s="98"/>
      <c r="C40" s="6"/>
      <c r="D40" s="16"/>
      <c r="E40" s="231"/>
      <c r="F40" s="98"/>
      <c r="G40" s="98"/>
      <c r="H40" s="98"/>
      <c r="I40" s="98"/>
      <c r="J40" s="98"/>
      <c r="K40" s="56"/>
      <c r="L40" s="56"/>
      <c r="M40" s="7"/>
      <c r="N40" s="6"/>
      <c r="O40" s="11"/>
      <c r="P40" s="39"/>
      <c r="Q40" s="6"/>
      <c r="R40" s="31"/>
      <c r="S40" s="6"/>
      <c r="T40" s="6"/>
      <c r="U40" s="6"/>
      <c r="V40" s="56"/>
      <c r="W40" s="138"/>
      <c r="X40" s="39"/>
      <c r="Y40" s="296"/>
      <c r="Z40" s="252"/>
      <c r="AA40" s="252"/>
      <c r="AB40" s="6"/>
      <c r="AC40" s="6"/>
      <c r="AD40" s="224"/>
      <c r="AE40" s="224"/>
      <c r="AF40" s="104"/>
      <c r="AG40" s="139"/>
      <c r="AH40" s="6"/>
      <c r="AI40" s="24"/>
      <c r="AJ40" s="39"/>
      <c r="AK40" s="39"/>
      <c r="AL40" s="39"/>
      <c r="AM40" s="39"/>
      <c r="AN40" s="80"/>
      <c r="AO40" s="80"/>
      <c r="AP40" s="80"/>
      <c r="AQ40" s="6"/>
      <c r="AR40" s="6"/>
      <c r="AS40" s="25"/>
      <c r="AT40" s="91"/>
    </row>
    <row r="41" spans="1:46">
      <c r="A41" s="98"/>
      <c r="C41" s="6"/>
      <c r="D41" s="16"/>
      <c r="E41" s="231"/>
      <c r="F41" s="98"/>
      <c r="G41" s="98"/>
      <c r="H41" s="98"/>
      <c r="I41" s="98"/>
      <c r="J41" s="98"/>
      <c r="K41" s="24"/>
      <c r="L41" s="24"/>
      <c r="M41" s="7"/>
      <c r="N41" s="6"/>
      <c r="O41" s="11"/>
      <c r="P41" s="135"/>
      <c r="Q41" s="140"/>
      <c r="R41" s="31"/>
      <c r="S41" s="6"/>
      <c r="T41" s="6"/>
      <c r="U41" s="6"/>
      <c r="V41" s="24"/>
      <c r="W41" s="67"/>
      <c r="X41" s="39"/>
      <c r="Y41" s="295"/>
      <c r="Z41" s="251"/>
      <c r="AA41" s="251"/>
      <c r="AB41" s="6"/>
      <c r="AC41" s="6"/>
      <c r="AD41" s="224"/>
      <c r="AE41" s="224"/>
      <c r="AF41" s="104"/>
      <c r="AG41" s="100"/>
      <c r="AH41" s="6"/>
      <c r="AI41" s="24"/>
      <c r="AJ41" s="39"/>
      <c r="AK41" s="39"/>
      <c r="AL41" s="39"/>
      <c r="AM41" s="39"/>
      <c r="AN41" s="80"/>
      <c r="AO41" s="80"/>
      <c r="AP41" s="80"/>
      <c r="AQ41" s="6"/>
      <c r="AR41" s="6"/>
      <c r="AS41" s="25"/>
      <c r="AT41" s="91"/>
    </row>
    <row r="42" spans="1:46">
      <c r="A42" s="98"/>
      <c r="C42" s="6"/>
      <c r="D42" s="16"/>
      <c r="E42" s="231"/>
      <c r="F42" s="98"/>
      <c r="G42" s="98"/>
      <c r="H42" s="98"/>
      <c r="I42" s="98"/>
      <c r="J42" s="98"/>
      <c r="K42" s="24"/>
      <c r="L42" s="24"/>
      <c r="M42" s="7"/>
      <c r="N42" s="6"/>
      <c r="O42" s="11"/>
      <c r="P42" s="39"/>
      <c r="Q42" s="6"/>
      <c r="R42" s="31"/>
      <c r="S42" s="6"/>
      <c r="T42" s="6"/>
      <c r="U42" s="6"/>
      <c r="V42" s="24"/>
      <c r="W42" s="67"/>
      <c r="X42" s="39"/>
      <c r="Y42" s="295"/>
      <c r="Z42" s="251"/>
      <c r="AA42" s="251"/>
      <c r="AB42" s="6"/>
      <c r="AC42" s="6"/>
      <c r="AD42" s="224"/>
      <c r="AE42" s="224"/>
      <c r="AF42" s="104"/>
      <c r="AG42" s="100"/>
      <c r="AH42" s="6"/>
      <c r="AI42" s="24"/>
      <c r="AJ42" s="39"/>
      <c r="AK42" s="39"/>
      <c r="AL42" s="39"/>
      <c r="AM42" s="39"/>
      <c r="AN42" s="80"/>
      <c r="AO42" s="80"/>
      <c r="AP42" s="80"/>
      <c r="AQ42" s="6"/>
      <c r="AR42" s="6"/>
      <c r="AS42" s="25"/>
      <c r="AT42" s="91"/>
    </row>
    <row r="43" spans="1:46">
      <c r="A43" s="98"/>
      <c r="C43" s="6"/>
      <c r="D43" s="16"/>
      <c r="E43" s="231"/>
      <c r="F43" s="98"/>
      <c r="G43" s="98"/>
      <c r="H43" s="98"/>
      <c r="I43" s="98"/>
      <c r="J43" s="98"/>
      <c r="K43" s="24"/>
      <c r="L43" s="24"/>
      <c r="M43" s="7"/>
      <c r="N43" s="6"/>
      <c r="O43" s="11"/>
      <c r="P43" s="39"/>
      <c r="Q43" s="6"/>
      <c r="R43" s="31"/>
      <c r="S43" s="6"/>
      <c r="T43" s="6"/>
      <c r="U43" s="6"/>
      <c r="V43" s="24"/>
      <c r="W43" s="67"/>
      <c r="X43" s="39"/>
      <c r="Y43" s="61"/>
      <c r="Z43" s="64"/>
      <c r="AA43" s="64"/>
      <c r="AB43" s="6"/>
      <c r="AC43" s="6"/>
      <c r="AD43" s="224"/>
      <c r="AE43" s="224"/>
      <c r="AF43" s="104"/>
      <c r="AG43" s="64"/>
      <c r="AH43" s="6"/>
      <c r="AI43" s="24"/>
      <c r="AJ43" s="118"/>
      <c r="AK43" s="39"/>
      <c r="AL43" s="39"/>
      <c r="AM43" s="39"/>
      <c r="AN43" s="80"/>
      <c r="AO43" s="80"/>
      <c r="AP43" s="80"/>
      <c r="AQ43" s="6"/>
      <c r="AR43" s="6"/>
      <c r="AS43" s="25"/>
      <c r="AT43" s="91"/>
    </row>
    <row r="44" spans="1:46">
      <c r="A44" s="98"/>
      <c r="C44" s="6"/>
      <c r="D44" s="16"/>
      <c r="E44" s="231"/>
      <c r="F44" s="98"/>
      <c r="G44" s="98"/>
      <c r="H44" s="98"/>
      <c r="I44" s="98"/>
      <c r="J44" s="98"/>
      <c r="K44" s="24"/>
      <c r="L44" s="24"/>
      <c r="M44" s="7"/>
      <c r="N44" s="6"/>
      <c r="O44" s="11"/>
      <c r="P44" s="39"/>
      <c r="Q44" s="6"/>
      <c r="R44" s="31"/>
      <c r="S44" s="6"/>
      <c r="T44" s="6"/>
      <c r="U44" s="6"/>
      <c r="V44" s="24"/>
      <c r="W44" s="67"/>
      <c r="X44" s="39"/>
      <c r="Y44" s="295"/>
      <c r="Z44" s="251"/>
      <c r="AA44" s="251"/>
      <c r="AB44" s="6"/>
      <c r="AC44" s="6"/>
      <c r="AD44" s="224"/>
      <c r="AE44" s="224"/>
      <c r="AF44" s="104"/>
      <c r="AG44" s="100"/>
      <c r="AH44" s="6"/>
      <c r="AI44" s="24"/>
      <c r="AJ44" s="39"/>
      <c r="AK44" s="39"/>
      <c r="AL44" s="39"/>
      <c r="AM44" s="39"/>
      <c r="AN44" s="80"/>
      <c r="AO44" s="80"/>
      <c r="AP44" s="80"/>
      <c r="AQ44" s="6"/>
      <c r="AR44" s="6"/>
      <c r="AS44" s="25"/>
      <c r="AT44" s="91"/>
    </row>
    <row r="45" spans="1:46">
      <c r="A45" s="98"/>
      <c r="C45" s="6"/>
      <c r="D45" s="16"/>
      <c r="E45" s="231"/>
      <c r="F45" s="98"/>
      <c r="G45" s="98"/>
      <c r="H45" s="98"/>
      <c r="I45" s="98"/>
      <c r="J45" s="98"/>
      <c r="K45" s="24"/>
      <c r="L45" s="24"/>
      <c r="M45" s="7"/>
      <c r="N45" s="6"/>
      <c r="O45" s="11"/>
      <c r="P45" s="39"/>
      <c r="Q45" s="6"/>
      <c r="R45" s="31"/>
      <c r="S45" s="6"/>
      <c r="T45" s="6"/>
      <c r="U45" s="6"/>
      <c r="V45" s="24"/>
      <c r="W45" s="67"/>
      <c r="X45" s="39"/>
      <c r="Y45" s="295"/>
      <c r="Z45" s="251"/>
      <c r="AA45" s="251"/>
      <c r="AB45" s="6"/>
      <c r="AC45" s="6"/>
      <c r="AD45" s="224"/>
      <c r="AE45" s="224"/>
      <c r="AF45" s="104"/>
      <c r="AG45" s="100"/>
      <c r="AH45" s="6"/>
      <c r="AI45" s="24"/>
      <c r="AJ45" s="39"/>
      <c r="AK45" s="39"/>
      <c r="AL45" s="39"/>
      <c r="AM45" s="39"/>
      <c r="AN45" s="80"/>
      <c r="AO45" s="80"/>
      <c r="AP45" s="80"/>
      <c r="AQ45" s="6"/>
      <c r="AR45" s="6"/>
      <c r="AS45" s="25"/>
      <c r="AT45" s="91"/>
    </row>
    <row r="46" spans="1:46">
      <c r="A46" s="117"/>
      <c r="C46" s="6"/>
      <c r="D46" s="16"/>
      <c r="E46" s="231"/>
      <c r="F46" s="117"/>
      <c r="G46" s="117"/>
      <c r="H46" s="117"/>
      <c r="I46" s="117"/>
      <c r="J46" s="117"/>
      <c r="K46" s="24"/>
      <c r="L46" s="24"/>
      <c r="M46" s="7"/>
      <c r="N46" s="6"/>
      <c r="O46" s="11"/>
      <c r="P46" s="94"/>
      <c r="Q46" s="11"/>
      <c r="R46" s="31"/>
      <c r="S46" s="6"/>
      <c r="T46" s="6"/>
      <c r="U46" s="6"/>
      <c r="V46" s="24"/>
      <c r="W46" s="67"/>
      <c r="X46" s="39"/>
      <c r="Y46" s="254"/>
      <c r="Z46" s="253"/>
      <c r="AA46" s="253"/>
      <c r="AB46" s="6"/>
      <c r="AC46" s="6"/>
      <c r="AD46" s="224"/>
      <c r="AE46" s="224"/>
      <c r="AF46" s="104"/>
      <c r="AG46" s="102"/>
      <c r="AH46" s="6"/>
      <c r="AI46" s="24"/>
      <c r="AJ46" s="116"/>
      <c r="AK46" s="118"/>
      <c r="AL46" s="118"/>
      <c r="AM46" s="39"/>
      <c r="AN46" s="77"/>
      <c r="AO46" s="77"/>
      <c r="AP46" s="77"/>
      <c r="AQ46" s="6"/>
      <c r="AR46" s="6"/>
      <c r="AS46" s="25"/>
      <c r="AT46" s="91"/>
    </row>
    <row r="47" spans="1:46">
      <c r="A47" s="98"/>
      <c r="C47" s="6"/>
      <c r="D47" s="16"/>
      <c r="E47" s="231"/>
      <c r="F47" s="98"/>
      <c r="G47" s="98"/>
      <c r="H47" s="98"/>
      <c r="I47" s="98"/>
      <c r="J47" s="98"/>
      <c r="K47" s="24"/>
      <c r="L47" s="24"/>
      <c r="M47" s="7"/>
      <c r="N47" s="6"/>
      <c r="O47" s="11"/>
      <c r="P47" s="39"/>
      <c r="Q47" s="6"/>
      <c r="R47" s="31"/>
      <c r="S47" s="6"/>
      <c r="T47" s="6"/>
      <c r="U47" s="6"/>
      <c r="V47" s="24"/>
      <c r="W47" s="67"/>
      <c r="X47" s="39"/>
      <c r="Y47" s="295"/>
      <c r="Z47" s="251"/>
      <c r="AA47" s="251"/>
      <c r="AB47" s="6"/>
      <c r="AC47" s="6"/>
      <c r="AD47" s="224"/>
      <c r="AE47" s="224"/>
      <c r="AF47" s="104"/>
      <c r="AG47" s="100"/>
      <c r="AH47" s="6"/>
      <c r="AI47" s="24"/>
      <c r="AJ47" s="39"/>
      <c r="AK47" s="39"/>
      <c r="AL47" s="39"/>
      <c r="AM47" s="39"/>
      <c r="AN47" s="80"/>
      <c r="AO47" s="80"/>
      <c r="AP47" s="80"/>
      <c r="AQ47" s="6"/>
      <c r="AR47" s="6"/>
      <c r="AS47" s="25"/>
      <c r="AT47" s="91"/>
    </row>
    <row r="48" spans="1:46">
      <c r="A48" s="98"/>
      <c r="C48" s="6"/>
      <c r="D48" s="16"/>
      <c r="E48" s="231"/>
      <c r="F48" s="98"/>
      <c r="G48" s="98"/>
      <c r="H48" s="98"/>
      <c r="I48" s="98"/>
      <c r="J48" s="98"/>
      <c r="K48" s="24"/>
      <c r="L48" s="24"/>
      <c r="M48" s="7"/>
      <c r="N48" s="6"/>
      <c r="O48" s="11"/>
      <c r="P48" s="94"/>
      <c r="Q48" s="11"/>
      <c r="R48" s="31"/>
      <c r="S48" s="6"/>
      <c r="T48" s="6"/>
      <c r="U48" s="6"/>
      <c r="V48" s="24"/>
      <c r="W48" s="67"/>
      <c r="X48" s="39"/>
      <c r="Y48" s="296"/>
      <c r="Z48" s="252"/>
      <c r="AA48" s="252"/>
      <c r="AB48" s="6"/>
      <c r="AC48" s="6"/>
      <c r="AD48" s="224"/>
      <c r="AE48" s="224"/>
      <c r="AF48" s="104"/>
      <c r="AG48" s="139"/>
      <c r="AH48" s="6"/>
      <c r="AI48" s="24"/>
      <c r="AJ48" s="116"/>
      <c r="AK48" s="118"/>
      <c r="AL48" s="280"/>
      <c r="AM48" s="120"/>
      <c r="AN48" s="80"/>
      <c r="AO48" s="80"/>
      <c r="AP48" s="80"/>
      <c r="AQ48" s="6"/>
      <c r="AR48" s="6"/>
      <c r="AS48" s="25"/>
      <c r="AT48" s="91"/>
    </row>
    <row r="49" spans="1:46">
      <c r="A49" s="98"/>
      <c r="C49" s="6"/>
      <c r="D49" s="16"/>
      <c r="E49" s="231"/>
      <c r="F49" s="98"/>
      <c r="G49" s="98"/>
      <c r="H49" s="98"/>
      <c r="I49" s="98"/>
      <c r="J49" s="98"/>
      <c r="K49" s="37"/>
      <c r="L49" s="37"/>
      <c r="M49" s="35"/>
      <c r="N49" s="6"/>
      <c r="O49" s="11"/>
      <c r="P49" s="39"/>
      <c r="Q49" s="6"/>
      <c r="R49" s="31"/>
      <c r="S49" s="6"/>
      <c r="T49" s="6"/>
      <c r="U49" s="6"/>
      <c r="V49" s="37"/>
      <c r="W49" s="97"/>
      <c r="X49" s="39"/>
      <c r="Y49" s="254"/>
      <c r="Z49" s="254"/>
      <c r="AA49" s="254"/>
      <c r="AB49" s="6"/>
      <c r="AC49" s="6"/>
      <c r="AD49" s="224"/>
      <c r="AE49" s="224"/>
      <c r="AF49" s="104"/>
      <c r="AG49" s="143"/>
      <c r="AH49" s="6"/>
      <c r="AI49" s="24"/>
      <c r="AJ49" s="39"/>
      <c r="AK49" s="39"/>
      <c r="AL49" s="39"/>
      <c r="AM49" s="39"/>
      <c r="AN49" s="80"/>
      <c r="AO49" s="80"/>
      <c r="AP49" s="80"/>
      <c r="AQ49" s="6"/>
      <c r="AR49" s="6"/>
      <c r="AS49" s="25"/>
      <c r="AT49" s="91"/>
    </row>
    <row r="50" spans="1:46">
      <c r="A50" s="117"/>
      <c r="C50" s="37"/>
      <c r="D50" s="34"/>
      <c r="E50" s="232"/>
      <c r="F50" s="127"/>
      <c r="G50" s="127"/>
      <c r="H50" s="127"/>
      <c r="I50" s="127"/>
      <c r="J50" s="127"/>
      <c r="K50" s="6"/>
      <c r="L50" s="6"/>
      <c r="M50" s="7"/>
      <c r="N50" s="36"/>
      <c r="O50" s="28"/>
      <c r="P50" s="128"/>
      <c r="Q50" s="28"/>
      <c r="R50" s="36"/>
      <c r="S50" s="26"/>
      <c r="T50" s="26"/>
      <c r="U50" s="37"/>
      <c r="V50" s="37"/>
      <c r="W50" s="97"/>
      <c r="X50" s="39"/>
      <c r="Y50" s="295"/>
      <c r="Z50" s="251"/>
      <c r="AA50" s="251"/>
      <c r="AB50" s="6"/>
      <c r="AC50" s="6"/>
      <c r="AD50" s="69"/>
      <c r="AE50" s="224"/>
      <c r="AF50" s="104"/>
      <c r="AG50" s="100"/>
      <c r="AH50" s="26"/>
      <c r="AI50" s="37"/>
      <c r="AJ50" s="116"/>
      <c r="AK50" s="39"/>
      <c r="AL50" s="39"/>
      <c r="AM50" s="39"/>
      <c r="AN50" s="77"/>
      <c r="AO50" s="77"/>
      <c r="AP50" s="77"/>
      <c r="AQ50" s="6"/>
      <c r="AR50" s="6"/>
      <c r="AS50" s="38"/>
      <c r="AT50" s="92"/>
    </row>
    <row r="51" spans="1:46">
      <c r="A51" s="98"/>
      <c r="C51" s="24"/>
      <c r="D51" s="16"/>
      <c r="E51" s="231"/>
      <c r="F51" s="98"/>
      <c r="G51" s="98"/>
      <c r="H51" s="98"/>
      <c r="I51" s="98"/>
      <c r="J51" s="98"/>
      <c r="K51" s="56"/>
      <c r="L51" s="56"/>
      <c r="M51" s="7"/>
      <c r="N51" s="31"/>
      <c r="O51" s="24"/>
      <c r="P51" s="43"/>
      <c r="Q51" s="6"/>
      <c r="R51" s="31"/>
      <c r="S51" s="6"/>
      <c r="T51" s="6"/>
      <c r="U51" s="6"/>
      <c r="V51" s="24"/>
      <c r="W51" s="113"/>
      <c r="X51" s="39"/>
      <c r="Y51" s="61"/>
      <c r="Z51" s="112"/>
      <c r="AA51" s="112"/>
      <c r="AB51" s="6"/>
      <c r="AC51" s="6"/>
      <c r="AD51" s="86"/>
      <c r="AE51" s="12"/>
      <c r="AF51" s="104"/>
      <c r="AG51" s="112"/>
      <c r="AH51" s="6"/>
      <c r="AI51" s="24"/>
      <c r="AJ51" s="116"/>
      <c r="AK51" s="39"/>
      <c r="AL51" s="39"/>
      <c r="AM51" s="39"/>
      <c r="AN51" s="80"/>
      <c r="AO51" s="80"/>
      <c r="AP51" s="80"/>
      <c r="AQ51" s="6"/>
      <c r="AR51" s="6"/>
      <c r="AS51" s="25"/>
      <c r="AT51" s="91"/>
    </row>
    <row r="52" spans="1:46">
      <c r="A52" s="98"/>
      <c r="C52" s="37"/>
      <c r="D52" s="34"/>
      <c r="E52" s="232"/>
      <c r="F52" s="144"/>
      <c r="G52" s="144"/>
      <c r="H52" s="144"/>
      <c r="I52" s="144"/>
      <c r="J52" s="144"/>
      <c r="K52" s="37"/>
      <c r="L52" s="37"/>
      <c r="M52" s="7"/>
      <c r="N52" s="36"/>
      <c r="O52" s="37"/>
      <c r="P52" s="39"/>
      <c r="Q52" s="57"/>
      <c r="R52" s="36"/>
      <c r="S52" s="26"/>
      <c r="T52" s="26"/>
      <c r="U52" s="26"/>
      <c r="V52" s="37"/>
      <c r="W52" s="113"/>
      <c r="X52" s="39"/>
      <c r="Y52" s="104"/>
      <c r="Z52" s="100"/>
      <c r="AA52" s="298"/>
      <c r="AD52" s="85"/>
      <c r="AE52" s="255"/>
      <c r="AF52" s="39"/>
      <c r="AG52" s="100"/>
      <c r="AH52" s="26"/>
      <c r="AI52" s="37"/>
      <c r="AJ52" s="39"/>
      <c r="AK52" s="39"/>
      <c r="AL52" s="39"/>
      <c r="AM52" s="39"/>
      <c r="AN52" s="80"/>
      <c r="AO52" s="80"/>
      <c r="AP52" s="80"/>
      <c r="AQ52" s="6"/>
      <c r="AR52" s="6"/>
      <c r="AS52" s="38"/>
      <c r="AT52" s="92"/>
    </row>
    <row r="53" spans="1:46">
      <c r="A53" s="98"/>
      <c r="C53" s="37"/>
      <c r="D53" s="34"/>
      <c r="E53" s="232"/>
      <c r="F53" s="144"/>
      <c r="G53" s="144"/>
      <c r="H53" s="144"/>
      <c r="I53" s="144"/>
      <c r="J53" s="144"/>
      <c r="K53" s="37"/>
      <c r="L53" s="37"/>
      <c r="M53" s="7"/>
      <c r="N53" s="36"/>
      <c r="O53" s="37"/>
      <c r="P53" s="135"/>
      <c r="Q53" s="26"/>
      <c r="R53" s="36"/>
      <c r="S53" s="26"/>
      <c r="T53" s="26"/>
      <c r="U53" s="26"/>
      <c r="V53" s="288"/>
      <c r="W53" s="136"/>
      <c r="X53" s="39"/>
      <c r="Y53" s="104"/>
      <c r="Z53" s="104"/>
      <c r="AA53" s="254"/>
      <c r="AB53" s="42"/>
      <c r="AC53" s="42"/>
      <c r="AD53" s="86"/>
      <c r="AE53" s="136"/>
      <c r="AF53" s="39"/>
      <c r="AG53" s="104"/>
      <c r="AH53" s="26"/>
      <c r="AI53" s="37"/>
      <c r="AJ53" s="39"/>
      <c r="AK53" s="39"/>
      <c r="AL53" s="39"/>
      <c r="AM53" s="39"/>
      <c r="AN53" s="80"/>
      <c r="AO53" s="80"/>
      <c r="AP53" s="80"/>
      <c r="AQ53" s="6"/>
      <c r="AR53" s="6"/>
      <c r="AS53" s="38"/>
      <c r="AT53" s="92"/>
    </row>
    <row r="54" spans="1:46">
      <c r="A54" s="144"/>
      <c r="C54" s="26"/>
      <c r="D54" s="43"/>
      <c r="E54" s="144"/>
      <c r="F54" s="144"/>
      <c r="G54" s="144"/>
      <c r="H54" s="144"/>
      <c r="I54" s="144"/>
      <c r="J54" s="144"/>
      <c r="K54" s="26"/>
      <c r="L54" s="225"/>
      <c r="M54" s="44"/>
      <c r="N54" s="26"/>
      <c r="O54" s="26"/>
      <c r="P54" s="98"/>
      <c r="Q54" s="6"/>
      <c r="R54" s="36"/>
      <c r="S54" s="26"/>
      <c r="T54" s="26"/>
      <c r="U54" s="26"/>
      <c r="W54" s="64"/>
      <c r="X54" s="39"/>
      <c r="Y54" s="297"/>
      <c r="Z54" s="103"/>
      <c r="AA54" s="298"/>
      <c r="AB54" s="37"/>
      <c r="AC54" s="37"/>
      <c r="AD54" s="62"/>
      <c r="AE54" s="64"/>
      <c r="AF54" s="39"/>
      <c r="AG54" s="103"/>
      <c r="AH54" s="26"/>
      <c r="AI54" s="37"/>
      <c r="AJ54" s="43"/>
      <c r="AK54" s="43"/>
      <c r="AL54" s="43"/>
      <c r="AM54" s="43"/>
      <c r="AN54" s="80"/>
      <c r="AO54" s="80"/>
      <c r="AP54" s="80"/>
      <c r="AQ54" s="6"/>
      <c r="AR54" s="6"/>
      <c r="AS54" s="38"/>
      <c r="AT54" s="92"/>
    </row>
    <row r="55" spans="1:46">
      <c r="A55" s="24"/>
      <c r="C55" s="6"/>
      <c r="D55" s="39"/>
      <c r="E55" s="98"/>
      <c r="F55" s="24"/>
      <c r="G55" s="24"/>
      <c r="H55" s="24"/>
      <c r="I55" s="24"/>
      <c r="J55" s="24"/>
      <c r="K55" s="6"/>
      <c r="L55" s="6"/>
      <c r="M55" s="6"/>
      <c r="N55" s="6"/>
      <c r="O55" s="6"/>
      <c r="P55" s="39"/>
      <c r="Q55" s="140"/>
      <c r="R55" s="31"/>
      <c r="S55" s="6"/>
      <c r="T55" s="6"/>
      <c r="U55" s="6"/>
      <c r="V55" s="24"/>
      <c r="W55" s="67"/>
      <c r="X55" s="39"/>
      <c r="Y55" s="104"/>
      <c r="Z55" s="100"/>
      <c r="AA55" s="100"/>
      <c r="AB55" s="6"/>
      <c r="AC55" s="6"/>
      <c r="AD55" s="69"/>
      <c r="AE55" s="67"/>
      <c r="AF55" s="39"/>
      <c r="AG55" s="100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25"/>
      <c r="AT55" s="91"/>
    </row>
    <row r="56" spans="1:46">
      <c r="A56" s="24"/>
      <c r="C56" s="6"/>
      <c r="D56" s="39"/>
      <c r="E56" s="98"/>
      <c r="F56" s="24"/>
      <c r="G56" s="24"/>
      <c r="H56" s="24"/>
      <c r="I56" s="24"/>
      <c r="J56" s="24"/>
      <c r="K56" s="6"/>
      <c r="L56" s="6"/>
      <c r="M56" s="6"/>
      <c r="N56" s="6"/>
      <c r="O56" s="6"/>
      <c r="P56" s="39"/>
      <c r="Q56" s="6"/>
      <c r="R56" s="31"/>
      <c r="S56" s="6"/>
      <c r="T56" s="6"/>
      <c r="U56" s="6"/>
      <c r="V56" s="24"/>
      <c r="W56" s="67"/>
      <c r="X56" s="39"/>
      <c r="Y56" s="61"/>
      <c r="Z56" s="112"/>
      <c r="AA56" s="112"/>
      <c r="AB56" s="6"/>
      <c r="AC56" s="6"/>
      <c r="AD56" s="86"/>
      <c r="AE56" s="67"/>
      <c r="AF56" s="39"/>
      <c r="AG56" s="112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25"/>
      <c r="AT56" s="91"/>
    </row>
    <row r="57" spans="1:46">
      <c r="A57" s="24"/>
      <c r="C57" s="6"/>
      <c r="D57" s="39"/>
      <c r="E57" s="98"/>
      <c r="F57" s="24"/>
      <c r="G57" s="24"/>
      <c r="H57" s="24"/>
      <c r="I57" s="24"/>
      <c r="J57" s="24"/>
      <c r="K57" s="6"/>
      <c r="L57" s="6"/>
      <c r="M57" s="6"/>
      <c r="N57" s="6"/>
      <c r="O57" s="6"/>
      <c r="P57" s="39"/>
      <c r="Q57" s="6"/>
      <c r="R57" s="31"/>
      <c r="S57" s="6"/>
      <c r="T57" s="6"/>
      <c r="U57" s="6"/>
      <c r="W57" s="61"/>
      <c r="X57" s="39"/>
      <c r="Y57" s="104"/>
      <c r="Z57" s="104"/>
      <c r="AA57" s="104"/>
      <c r="AB57" s="6"/>
      <c r="AC57" s="6"/>
      <c r="AD57" s="6"/>
      <c r="AE57" s="61"/>
      <c r="AF57" s="39"/>
      <c r="AG57" s="104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25"/>
      <c r="AT57" s="91"/>
    </row>
    <row r="58" spans="1:46">
      <c r="A58" s="24"/>
      <c r="C58" s="6"/>
      <c r="D58" s="39"/>
      <c r="E58" s="98"/>
      <c r="F58" s="24"/>
      <c r="G58" s="24"/>
      <c r="H58" s="24"/>
      <c r="I58" s="24"/>
      <c r="J58" s="24"/>
      <c r="K58" s="6"/>
      <c r="L58" s="6"/>
      <c r="M58" s="6"/>
      <c r="N58" s="6"/>
      <c r="O58" s="6"/>
      <c r="P58" s="39"/>
      <c r="Q58" s="6"/>
      <c r="R58" s="31"/>
      <c r="S58" s="6"/>
      <c r="T58" s="6"/>
      <c r="U58" s="6"/>
      <c r="V58" s="24"/>
      <c r="W58" s="67"/>
      <c r="X58" s="39"/>
      <c r="Y58" s="104"/>
      <c r="Z58" s="100"/>
      <c r="AA58" s="100"/>
      <c r="AB58" s="6"/>
      <c r="AC58" s="6"/>
      <c r="AD58" s="6"/>
      <c r="AE58" s="67"/>
      <c r="AF58" s="39"/>
      <c r="AG58" s="100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25"/>
      <c r="AT58" s="91"/>
    </row>
    <row r="59" spans="1:46">
      <c r="A59" s="24"/>
      <c r="C59" s="6"/>
      <c r="D59" s="39"/>
      <c r="E59" s="98"/>
      <c r="F59" s="24"/>
      <c r="G59" s="24"/>
      <c r="H59" s="24"/>
      <c r="I59" s="24"/>
      <c r="J59" s="24"/>
      <c r="K59" s="6"/>
      <c r="L59" s="6"/>
      <c r="M59" s="6"/>
      <c r="N59" s="6"/>
      <c r="O59" s="6"/>
      <c r="P59" s="39"/>
      <c r="Q59" s="6"/>
      <c r="R59" s="31"/>
      <c r="S59" s="6"/>
      <c r="T59" s="6"/>
      <c r="U59" s="6"/>
      <c r="V59" s="24"/>
      <c r="W59" s="98"/>
      <c r="X59" s="39"/>
      <c r="Y59" s="104"/>
      <c r="Z59" s="104"/>
      <c r="AA59" s="104"/>
      <c r="AB59" s="6"/>
      <c r="AC59" s="6"/>
      <c r="AD59" s="6"/>
      <c r="AE59" s="98"/>
      <c r="AF59" s="39"/>
      <c r="AG59" s="104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25"/>
      <c r="AT59" s="91"/>
    </row>
    <row r="60" spans="1:46">
      <c r="A60" s="24"/>
      <c r="C60" s="6"/>
      <c r="D60" s="39"/>
      <c r="E60" s="98"/>
      <c r="F60" s="24"/>
      <c r="G60" s="24"/>
      <c r="H60" s="24"/>
      <c r="I60" s="24"/>
      <c r="J60" s="24"/>
      <c r="K60" s="6"/>
      <c r="L60" s="6"/>
      <c r="M60" s="6"/>
      <c r="N60" s="6"/>
      <c r="O60" s="6"/>
      <c r="P60" s="39"/>
      <c r="Q60" s="6"/>
      <c r="R60" s="31"/>
      <c r="S60" s="6"/>
      <c r="T60" s="6"/>
      <c r="U60" s="6"/>
      <c r="V60" s="24"/>
      <c r="W60" s="98"/>
      <c r="X60" s="39"/>
      <c r="Y60" s="104"/>
      <c r="Z60" s="104"/>
      <c r="AA60" s="104"/>
      <c r="AB60" s="6"/>
      <c r="AC60" s="6"/>
      <c r="AD60" s="6"/>
      <c r="AE60" s="98"/>
      <c r="AF60" s="39"/>
      <c r="AG60" s="104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25"/>
      <c r="AT60" s="91"/>
    </row>
    <row r="61" spans="1:46">
      <c r="A61" s="24"/>
      <c r="C61" s="6"/>
      <c r="D61" s="39"/>
      <c r="E61" s="98"/>
      <c r="F61" s="24"/>
      <c r="G61" s="24"/>
      <c r="H61" s="24"/>
      <c r="I61" s="24"/>
      <c r="J61" s="24"/>
      <c r="K61" s="6"/>
      <c r="L61" s="6"/>
      <c r="M61" s="6"/>
      <c r="N61" s="6"/>
      <c r="O61" s="6"/>
      <c r="P61" s="39"/>
      <c r="Q61" s="6"/>
      <c r="R61" s="31"/>
      <c r="S61" s="6"/>
      <c r="T61" s="6"/>
      <c r="U61" s="6"/>
      <c r="V61" s="24"/>
      <c r="W61" s="98"/>
      <c r="X61" s="39"/>
      <c r="Y61" s="104"/>
      <c r="Z61" s="104"/>
      <c r="AA61" s="104"/>
      <c r="AB61" s="6"/>
      <c r="AC61" s="6"/>
      <c r="AD61" s="6"/>
      <c r="AE61" s="98"/>
      <c r="AF61" s="39"/>
      <c r="AG61" s="104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25"/>
      <c r="AT61" s="91"/>
    </row>
    <row r="62" spans="1:46">
      <c r="A62" s="24"/>
      <c r="C62" s="6"/>
      <c r="D62" s="39"/>
      <c r="E62" s="98"/>
      <c r="F62" s="24"/>
      <c r="G62" s="24"/>
      <c r="H62" s="24"/>
      <c r="I62" s="24"/>
      <c r="J62" s="24"/>
      <c r="K62" s="6"/>
      <c r="L62" s="6"/>
      <c r="M62" s="6"/>
      <c r="N62" s="6"/>
      <c r="O62" s="6"/>
      <c r="P62" s="39"/>
      <c r="Q62" s="6"/>
      <c r="R62" s="31"/>
      <c r="S62" s="6"/>
      <c r="T62" s="6"/>
      <c r="U62" s="6"/>
      <c r="V62" s="24"/>
      <c r="W62" s="98"/>
      <c r="X62" s="39"/>
      <c r="Y62" s="104"/>
      <c r="Z62" s="104"/>
      <c r="AA62" s="104"/>
      <c r="AB62" s="6"/>
      <c r="AC62" s="6"/>
      <c r="AD62" s="6"/>
      <c r="AE62" s="98"/>
      <c r="AF62" s="39"/>
      <c r="AG62" s="104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25"/>
      <c r="AT62" s="91"/>
    </row>
    <row r="63" spans="1:46">
      <c r="A63" s="24"/>
      <c r="C63" s="6"/>
      <c r="D63" s="39"/>
      <c r="E63" s="98"/>
      <c r="F63" s="24"/>
      <c r="G63" s="24"/>
      <c r="H63" s="24"/>
      <c r="I63" s="24"/>
      <c r="J63" s="24"/>
      <c r="K63" s="6"/>
      <c r="L63" s="6"/>
      <c r="M63" s="6"/>
      <c r="N63" s="6"/>
      <c r="O63" s="6"/>
      <c r="P63" s="39"/>
      <c r="Q63" s="6"/>
      <c r="R63" s="31"/>
      <c r="S63" s="6"/>
      <c r="T63" s="6"/>
      <c r="U63" s="6"/>
      <c r="V63" s="24"/>
      <c r="W63" s="98"/>
      <c r="X63" s="39"/>
      <c r="Y63" s="104"/>
      <c r="Z63" s="104"/>
      <c r="AA63" s="104"/>
      <c r="AB63" s="6"/>
      <c r="AC63" s="6"/>
      <c r="AD63" s="6"/>
      <c r="AE63" s="98"/>
      <c r="AF63" s="39"/>
      <c r="AG63" s="104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25"/>
      <c r="AT63" s="91"/>
    </row>
    <row r="64" spans="1:46">
      <c r="A64" s="24"/>
      <c r="C64" s="6"/>
      <c r="D64" s="39"/>
      <c r="E64" s="98"/>
      <c r="F64" s="24"/>
      <c r="G64" s="24"/>
      <c r="H64" s="24"/>
      <c r="I64" s="24"/>
      <c r="J64" s="24"/>
      <c r="K64" s="6"/>
      <c r="L64" s="6"/>
      <c r="M64" s="6"/>
      <c r="N64" s="6"/>
      <c r="O64" s="6"/>
      <c r="P64" s="39"/>
      <c r="Q64" s="6"/>
      <c r="R64" s="31"/>
      <c r="S64" s="6"/>
      <c r="T64" s="6"/>
      <c r="U64" s="6"/>
      <c r="V64" s="24"/>
      <c r="W64" s="98"/>
      <c r="X64" s="39"/>
      <c r="Y64" s="104"/>
      <c r="Z64" s="104"/>
      <c r="AA64" s="104"/>
      <c r="AB64" s="6"/>
      <c r="AC64" s="6"/>
      <c r="AD64" s="6"/>
      <c r="AE64" s="98"/>
      <c r="AF64" s="39"/>
      <c r="AG64" s="104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25"/>
      <c r="AT64" s="91"/>
    </row>
    <row r="65" spans="1:46">
      <c r="A65" s="24"/>
      <c r="C65" s="6"/>
      <c r="D65" s="39"/>
      <c r="E65" s="98"/>
      <c r="F65" s="24"/>
      <c r="G65" s="24"/>
      <c r="H65" s="24"/>
      <c r="I65" s="24"/>
      <c r="J65" s="24"/>
      <c r="K65" s="6"/>
      <c r="L65" s="6"/>
      <c r="M65" s="6"/>
      <c r="N65" s="6"/>
      <c r="O65" s="6"/>
      <c r="P65" s="39"/>
      <c r="Q65" s="6"/>
      <c r="R65" s="31"/>
      <c r="S65" s="6"/>
      <c r="T65" s="6"/>
      <c r="U65" s="6"/>
      <c r="V65" s="24"/>
      <c r="W65" s="98"/>
      <c r="X65" s="39"/>
      <c r="Y65" s="104"/>
      <c r="Z65" s="104"/>
      <c r="AA65" s="104"/>
      <c r="AB65" s="6"/>
      <c r="AC65" s="6"/>
      <c r="AD65" s="6"/>
      <c r="AE65" s="98"/>
      <c r="AF65" s="39"/>
      <c r="AG65" s="104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25"/>
      <c r="AT65" s="91"/>
    </row>
    <row r="66" spans="1:46">
      <c r="A66" s="24"/>
      <c r="C66" s="6"/>
      <c r="D66" s="39"/>
      <c r="E66" s="98"/>
      <c r="F66" s="24"/>
      <c r="G66" s="24"/>
      <c r="H66" s="24"/>
      <c r="I66" s="24"/>
      <c r="J66" s="24"/>
      <c r="K66" s="6"/>
      <c r="L66" s="6"/>
      <c r="M66" s="6"/>
      <c r="N66" s="6"/>
      <c r="O66" s="6"/>
      <c r="P66" s="39"/>
      <c r="Q66" s="6"/>
      <c r="R66" s="31"/>
      <c r="S66" s="6"/>
      <c r="T66" s="6"/>
      <c r="U66" s="6"/>
      <c r="V66" s="24"/>
      <c r="W66" s="98"/>
      <c r="X66" s="39"/>
      <c r="Y66" s="104"/>
      <c r="Z66" s="104"/>
      <c r="AA66" s="104"/>
      <c r="AB66" s="6"/>
      <c r="AC66" s="6"/>
      <c r="AD66" s="6"/>
      <c r="AE66" s="98"/>
      <c r="AF66" s="39"/>
      <c r="AG66" s="104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25"/>
      <c r="AT66" s="91"/>
    </row>
    <row r="67" spans="1:46">
      <c r="A67" s="24"/>
      <c r="C67" s="6"/>
      <c r="D67" s="39"/>
      <c r="E67" s="98"/>
      <c r="F67" s="24"/>
      <c r="G67" s="24"/>
      <c r="H67" s="24"/>
      <c r="I67" s="24"/>
      <c r="J67" s="24"/>
      <c r="K67" s="6"/>
      <c r="L67" s="6"/>
      <c r="M67" s="6"/>
      <c r="N67" s="6"/>
      <c r="O67" s="6"/>
      <c r="P67" s="39"/>
      <c r="Q67" s="6"/>
      <c r="R67" s="31"/>
      <c r="S67" s="6"/>
      <c r="T67" s="6"/>
      <c r="U67" s="6"/>
      <c r="V67" s="24"/>
      <c r="W67" s="98"/>
      <c r="X67" s="39"/>
      <c r="Y67" s="104"/>
      <c r="Z67" s="104"/>
      <c r="AA67" s="104"/>
      <c r="AB67" s="6"/>
      <c r="AC67" s="6"/>
      <c r="AD67" s="6"/>
      <c r="AE67" s="98"/>
      <c r="AF67" s="39"/>
      <c r="AG67" s="104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25"/>
      <c r="AT67" s="91"/>
    </row>
    <row r="68" spans="1:46">
      <c r="A68" s="24"/>
      <c r="C68" s="6"/>
      <c r="D68" s="39"/>
      <c r="E68" s="98"/>
      <c r="F68" s="24"/>
      <c r="G68" s="24"/>
      <c r="H68" s="24"/>
      <c r="I68" s="24"/>
      <c r="J68" s="24"/>
      <c r="K68" s="6"/>
      <c r="L68" s="6"/>
      <c r="M68" s="6"/>
      <c r="N68" s="6"/>
      <c r="O68" s="6"/>
      <c r="P68" s="39"/>
      <c r="Q68" s="6"/>
      <c r="R68" s="31"/>
      <c r="S68" s="6"/>
      <c r="T68" s="6"/>
      <c r="U68" s="6"/>
      <c r="V68" s="24"/>
      <c r="W68" s="98"/>
      <c r="X68" s="39"/>
      <c r="Y68" s="104"/>
      <c r="Z68" s="104"/>
      <c r="AA68" s="104"/>
      <c r="AB68" s="6"/>
      <c r="AC68" s="6"/>
      <c r="AD68" s="6"/>
      <c r="AE68" s="98"/>
      <c r="AF68" s="39"/>
      <c r="AG68" s="104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25"/>
      <c r="AT68" s="91"/>
    </row>
    <row r="69" spans="1:46">
      <c r="A69" s="24"/>
      <c r="C69" s="6"/>
      <c r="D69" s="39"/>
      <c r="E69" s="98"/>
      <c r="F69" s="24"/>
      <c r="G69" s="24"/>
      <c r="H69" s="24"/>
      <c r="I69" s="24"/>
      <c r="J69" s="24"/>
      <c r="K69" s="6"/>
      <c r="L69" s="6"/>
      <c r="M69" s="6"/>
      <c r="N69" s="6"/>
      <c r="O69" s="6"/>
      <c r="P69" s="39"/>
      <c r="Q69" s="6"/>
      <c r="R69" s="31"/>
      <c r="S69" s="6"/>
      <c r="T69" s="6"/>
      <c r="U69" s="6"/>
      <c r="V69" s="24"/>
      <c r="W69" s="98"/>
      <c r="X69" s="39"/>
      <c r="Y69" s="104"/>
      <c r="Z69" s="104"/>
      <c r="AA69" s="104"/>
      <c r="AB69" s="6"/>
      <c r="AC69" s="6"/>
      <c r="AD69" s="6"/>
      <c r="AE69" s="98"/>
      <c r="AF69" s="39"/>
      <c r="AG69" s="104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25"/>
      <c r="AT69" s="91"/>
    </row>
    <row r="70" spans="1:46">
      <c r="A70" s="24"/>
      <c r="C70" s="6"/>
      <c r="D70" s="39"/>
      <c r="E70" s="98"/>
      <c r="F70" s="24"/>
      <c r="G70" s="24"/>
      <c r="H70" s="24"/>
      <c r="I70" s="24"/>
      <c r="J70" s="24"/>
      <c r="K70" s="6"/>
      <c r="L70" s="6"/>
      <c r="M70" s="6"/>
      <c r="N70" s="6"/>
      <c r="O70" s="6"/>
      <c r="P70" s="39"/>
      <c r="Q70" s="6"/>
      <c r="R70" s="31"/>
      <c r="S70" s="6"/>
      <c r="T70" s="6"/>
      <c r="U70" s="6"/>
      <c r="V70" s="24"/>
      <c r="W70" s="98"/>
      <c r="X70" s="39"/>
      <c r="Y70" s="104"/>
      <c r="Z70" s="104"/>
      <c r="AA70" s="104"/>
      <c r="AB70" s="6"/>
      <c r="AC70" s="6"/>
      <c r="AD70" s="6"/>
      <c r="AE70" s="98"/>
      <c r="AF70" s="39"/>
      <c r="AG70" s="104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25"/>
      <c r="AT70" s="91"/>
    </row>
    <row r="71" spans="1:46">
      <c r="A71" s="24"/>
      <c r="C71" s="6"/>
      <c r="D71" s="39"/>
      <c r="E71" s="98"/>
      <c r="F71" s="24"/>
      <c r="G71" s="24"/>
      <c r="H71" s="24"/>
      <c r="I71" s="24"/>
      <c r="J71" s="24"/>
      <c r="K71" s="6"/>
      <c r="L71" s="6"/>
      <c r="M71" s="6"/>
      <c r="N71" s="6"/>
      <c r="O71" s="6"/>
      <c r="P71" s="39"/>
      <c r="Q71" s="6"/>
      <c r="R71" s="31"/>
      <c r="S71" s="6"/>
      <c r="T71" s="6"/>
      <c r="U71" s="6"/>
      <c r="V71" s="24"/>
      <c r="W71" s="98"/>
      <c r="X71" s="39"/>
      <c r="Y71" s="104"/>
      <c r="Z71" s="104"/>
      <c r="AA71" s="104"/>
      <c r="AB71" s="6"/>
      <c r="AC71" s="6"/>
      <c r="AD71" s="6"/>
      <c r="AE71" s="98"/>
      <c r="AF71" s="39"/>
      <c r="AG71" s="104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25"/>
      <c r="AT71" s="91"/>
    </row>
    <row r="72" spans="1:46">
      <c r="A72" s="24"/>
      <c r="C72" s="6"/>
      <c r="D72" s="39"/>
      <c r="E72" s="98"/>
      <c r="F72" s="24"/>
      <c r="G72" s="24"/>
      <c r="H72" s="24"/>
      <c r="I72" s="24"/>
      <c r="J72" s="24"/>
      <c r="K72" s="6"/>
      <c r="L72" s="6"/>
      <c r="M72" s="6"/>
      <c r="N72" s="6"/>
      <c r="O72" s="6"/>
      <c r="P72" s="39"/>
      <c r="Q72" s="6"/>
      <c r="R72" s="31"/>
      <c r="S72" s="6"/>
      <c r="T72" s="6"/>
      <c r="U72" s="6"/>
      <c r="V72" s="24"/>
      <c r="W72" s="98"/>
      <c r="X72" s="39"/>
      <c r="Y72" s="104"/>
      <c r="Z72" s="104"/>
      <c r="AA72" s="104"/>
      <c r="AB72" s="6"/>
      <c r="AC72" s="6"/>
      <c r="AD72" s="6"/>
      <c r="AE72" s="98"/>
      <c r="AF72" s="39"/>
      <c r="AG72" s="104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25"/>
      <c r="AT72" s="91"/>
    </row>
    <row r="73" spans="1:46">
      <c r="A73" s="24"/>
      <c r="C73" s="6"/>
      <c r="D73" s="39"/>
      <c r="E73" s="98"/>
      <c r="F73" s="24"/>
      <c r="G73" s="24"/>
      <c r="H73" s="24"/>
      <c r="I73" s="24"/>
      <c r="J73" s="24"/>
      <c r="K73" s="6"/>
      <c r="L73" s="6"/>
      <c r="M73" s="6"/>
      <c r="N73" s="6"/>
      <c r="O73" s="6"/>
      <c r="P73" s="39"/>
      <c r="Q73" s="6"/>
      <c r="R73" s="31"/>
      <c r="S73" s="6"/>
      <c r="T73" s="6"/>
      <c r="U73" s="6"/>
      <c r="V73" s="24"/>
      <c r="W73" s="98"/>
      <c r="X73" s="39"/>
      <c r="Y73" s="104"/>
      <c r="Z73" s="104"/>
      <c r="AA73" s="104"/>
      <c r="AB73" s="6"/>
      <c r="AC73" s="6"/>
      <c r="AD73" s="6"/>
      <c r="AE73" s="98"/>
      <c r="AF73" s="39"/>
      <c r="AG73" s="104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25"/>
      <c r="AT73" s="91"/>
    </row>
    <row r="74" spans="1:46">
      <c r="A74" s="24"/>
      <c r="C74" s="6"/>
      <c r="D74" s="39"/>
      <c r="E74" s="98"/>
      <c r="F74" s="24"/>
      <c r="G74" s="24"/>
      <c r="H74" s="24"/>
      <c r="I74" s="24"/>
      <c r="J74" s="24"/>
      <c r="K74" s="6"/>
      <c r="L74" s="6"/>
      <c r="M74" s="6"/>
      <c r="N74" s="6"/>
      <c r="O74" s="6"/>
      <c r="P74" s="39"/>
      <c r="Q74" s="6"/>
      <c r="R74" s="31"/>
      <c r="S74" s="6"/>
      <c r="T74" s="6"/>
      <c r="U74" s="6"/>
      <c r="V74" s="24"/>
      <c r="W74" s="98"/>
      <c r="X74" s="39"/>
      <c r="Y74" s="104"/>
      <c r="Z74" s="104"/>
      <c r="AA74" s="104"/>
      <c r="AB74" s="6"/>
      <c r="AC74" s="6"/>
      <c r="AD74" s="6"/>
      <c r="AE74" s="98"/>
      <c r="AF74" s="39"/>
      <c r="AG74" s="104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25"/>
      <c r="AT74" s="91"/>
    </row>
    <row r="75" spans="1:46">
      <c r="A75" s="24"/>
      <c r="C75" s="6"/>
      <c r="D75" s="39"/>
      <c r="E75" s="98"/>
      <c r="F75" s="24"/>
      <c r="G75" s="24"/>
      <c r="H75" s="24"/>
      <c r="I75" s="24"/>
      <c r="J75" s="24"/>
      <c r="K75" s="6"/>
      <c r="L75" s="6"/>
      <c r="M75" s="6"/>
      <c r="N75" s="6"/>
      <c r="O75" s="6"/>
      <c r="P75" s="39"/>
      <c r="Q75" s="6"/>
      <c r="R75" s="31"/>
      <c r="S75" s="6"/>
      <c r="T75" s="6"/>
      <c r="U75" s="6"/>
      <c r="V75" s="24"/>
      <c r="W75" s="98"/>
      <c r="X75" s="39"/>
      <c r="Y75" s="104"/>
      <c r="Z75" s="104"/>
      <c r="AA75" s="104"/>
      <c r="AB75" s="6"/>
      <c r="AC75" s="6"/>
      <c r="AD75" s="6"/>
      <c r="AE75" s="98"/>
      <c r="AF75" s="39"/>
      <c r="AG75" s="104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25"/>
      <c r="AT75" s="91"/>
    </row>
    <row r="76" spans="1:46">
      <c r="A76" s="24"/>
      <c r="C76" s="6"/>
      <c r="D76" s="39"/>
      <c r="E76" s="98"/>
      <c r="F76" s="24"/>
      <c r="G76" s="24"/>
      <c r="H76" s="24"/>
      <c r="I76" s="24"/>
      <c r="J76" s="24"/>
      <c r="K76" s="6"/>
      <c r="L76" s="6"/>
      <c r="M76" s="6"/>
      <c r="N76" s="6"/>
      <c r="O76" s="6"/>
      <c r="P76" s="39"/>
      <c r="Q76" s="6"/>
      <c r="R76" s="31"/>
      <c r="S76" s="6"/>
      <c r="T76" s="6"/>
      <c r="U76" s="6"/>
      <c r="V76" s="24"/>
      <c r="W76" s="98"/>
      <c r="X76" s="39"/>
      <c r="Y76" s="104"/>
      <c r="Z76" s="104"/>
      <c r="AA76" s="104"/>
      <c r="AB76" s="6"/>
      <c r="AC76" s="6"/>
      <c r="AD76" s="6"/>
      <c r="AE76" s="98"/>
      <c r="AF76" s="39"/>
      <c r="AG76" s="104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25"/>
      <c r="AT76" s="91"/>
    </row>
    <row r="77" spans="1:46">
      <c r="A77" s="24"/>
      <c r="C77" s="6"/>
      <c r="D77" s="39"/>
      <c r="E77" s="98"/>
      <c r="F77" s="24"/>
      <c r="G77" s="24"/>
      <c r="H77" s="24"/>
      <c r="I77" s="24"/>
      <c r="J77" s="24"/>
      <c r="K77" s="6"/>
      <c r="L77" s="6"/>
      <c r="M77" s="6"/>
      <c r="N77" s="6"/>
      <c r="O77" s="6"/>
      <c r="P77" s="39"/>
      <c r="Q77" s="6"/>
      <c r="R77" s="31"/>
      <c r="S77" s="6"/>
      <c r="T77" s="6"/>
      <c r="U77" s="6"/>
      <c r="V77" s="24"/>
      <c r="W77" s="98"/>
      <c r="X77" s="39"/>
      <c r="Y77" s="104"/>
      <c r="Z77" s="104"/>
      <c r="AA77" s="104"/>
      <c r="AB77" s="6"/>
      <c r="AC77" s="6"/>
      <c r="AD77" s="6"/>
      <c r="AE77" s="98"/>
      <c r="AF77" s="39"/>
      <c r="AG77" s="104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25"/>
      <c r="AT77" s="91"/>
    </row>
    <row r="78" spans="1:46">
      <c r="A78" s="24"/>
      <c r="C78" s="6"/>
      <c r="D78" s="39"/>
      <c r="E78" s="98"/>
      <c r="F78" s="24"/>
      <c r="G78" s="24"/>
      <c r="H78" s="24"/>
      <c r="I78" s="24"/>
      <c r="J78" s="24"/>
      <c r="K78" s="6"/>
      <c r="L78" s="6"/>
      <c r="M78" s="6"/>
      <c r="N78" s="6"/>
      <c r="O78" s="6"/>
      <c r="P78" s="39"/>
      <c r="Q78" s="6"/>
      <c r="R78" s="31"/>
      <c r="S78" s="6"/>
      <c r="T78" s="6"/>
      <c r="U78" s="6"/>
      <c r="V78" s="24"/>
      <c r="W78" s="98"/>
      <c r="X78" s="39"/>
      <c r="Y78" s="104"/>
      <c r="Z78" s="104"/>
      <c r="AA78" s="104"/>
      <c r="AB78" s="6"/>
      <c r="AC78" s="6"/>
      <c r="AD78" s="6"/>
      <c r="AE78" s="98"/>
      <c r="AF78" s="39"/>
      <c r="AG78" s="104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25"/>
      <c r="AT78" s="91"/>
    </row>
    <row r="79" spans="1:46">
      <c r="A79" s="24"/>
      <c r="C79" s="6"/>
      <c r="D79" s="39"/>
      <c r="E79" s="98"/>
      <c r="F79" s="24"/>
      <c r="G79" s="24"/>
      <c r="H79" s="24"/>
      <c r="I79" s="24"/>
      <c r="J79" s="24"/>
      <c r="K79" s="6"/>
      <c r="L79" s="6"/>
      <c r="M79" s="6"/>
      <c r="N79" s="6"/>
      <c r="O79" s="6"/>
      <c r="P79" s="39"/>
      <c r="Q79" s="6"/>
      <c r="R79" s="31"/>
      <c r="S79" s="6"/>
      <c r="T79" s="6"/>
      <c r="U79" s="6"/>
      <c r="V79" s="24"/>
      <c r="W79" s="98"/>
      <c r="X79" s="39"/>
      <c r="Y79" s="104"/>
      <c r="Z79" s="104"/>
      <c r="AA79" s="104"/>
      <c r="AB79" s="6"/>
      <c r="AC79" s="6"/>
      <c r="AD79" s="6"/>
      <c r="AE79" s="98"/>
      <c r="AF79" s="39"/>
      <c r="AG79" s="104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25"/>
      <c r="AT79" s="91"/>
    </row>
    <row r="80" spans="1:46">
      <c r="A80" s="24"/>
      <c r="C80" s="6"/>
      <c r="D80" s="39"/>
      <c r="E80" s="98"/>
      <c r="F80" s="24"/>
      <c r="G80" s="24"/>
      <c r="H80" s="24"/>
      <c r="I80" s="24"/>
      <c r="J80" s="24"/>
      <c r="K80" s="6"/>
      <c r="L80" s="6"/>
      <c r="M80" s="6"/>
      <c r="N80" s="6"/>
      <c r="O80" s="6"/>
      <c r="P80" s="39"/>
      <c r="Q80" s="6"/>
      <c r="R80" s="31"/>
      <c r="S80" s="6"/>
      <c r="T80" s="6"/>
      <c r="U80" s="6"/>
      <c r="V80" s="24"/>
      <c r="W80" s="98"/>
      <c r="X80" s="39"/>
      <c r="Y80" s="104"/>
      <c r="Z80" s="104"/>
      <c r="AA80" s="104"/>
      <c r="AB80" s="6"/>
      <c r="AC80" s="6"/>
      <c r="AD80" s="6"/>
      <c r="AE80" s="6"/>
      <c r="AF80" s="142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25"/>
      <c r="AT80" s="91"/>
    </row>
    <row r="81" spans="1:46">
      <c r="A81" s="24"/>
      <c r="C81" s="6"/>
      <c r="D81" s="39"/>
      <c r="E81" s="98"/>
      <c r="F81" s="24"/>
      <c r="G81" s="24"/>
      <c r="H81" s="24"/>
      <c r="I81" s="24"/>
      <c r="J81" s="24"/>
      <c r="K81" s="6"/>
      <c r="L81" s="6"/>
      <c r="M81" s="6"/>
      <c r="N81" s="6"/>
      <c r="O81" s="6"/>
      <c r="P81" s="39"/>
      <c r="Q81" s="6"/>
      <c r="R81" s="31"/>
      <c r="S81" s="6"/>
      <c r="T81" s="6"/>
      <c r="U81" s="6"/>
      <c r="V81" s="24"/>
      <c r="W81" s="98"/>
      <c r="X81" s="39"/>
      <c r="Y81" s="104"/>
      <c r="Z81" s="104"/>
      <c r="AA81" s="104"/>
      <c r="AB81" s="6"/>
      <c r="AC81" s="6"/>
      <c r="AD81" s="6"/>
      <c r="AE81" s="6"/>
      <c r="AF81" s="141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25"/>
      <c r="AT81" s="91"/>
    </row>
    <row r="82" spans="1:46">
      <c r="A82" s="24"/>
      <c r="C82" s="6"/>
      <c r="D82" s="39"/>
      <c r="E82" s="98"/>
      <c r="F82" s="24"/>
      <c r="G82" s="24"/>
      <c r="H82" s="24"/>
      <c r="I82" s="24"/>
      <c r="J82" s="24"/>
      <c r="K82" s="6"/>
      <c r="L82" s="6"/>
      <c r="M82" s="6"/>
      <c r="N82" s="6"/>
      <c r="O82" s="6"/>
      <c r="P82" s="39"/>
      <c r="Q82" s="6"/>
      <c r="R82" s="31"/>
      <c r="S82" s="6"/>
      <c r="T82" s="6"/>
      <c r="U82" s="6"/>
      <c r="V82" s="24"/>
      <c r="W82" s="98"/>
      <c r="X82" s="39"/>
      <c r="Y82" s="104"/>
      <c r="Z82" s="104"/>
      <c r="AA82" s="104"/>
      <c r="AB82" s="6"/>
      <c r="AC82" s="6"/>
      <c r="AD82" s="6"/>
      <c r="AE82" s="6"/>
      <c r="AF82" s="141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25"/>
      <c r="AT82" s="91"/>
    </row>
    <row r="83" spans="1:46">
      <c r="A83" s="24"/>
      <c r="C83" s="6"/>
      <c r="D83" s="39"/>
      <c r="E83" s="98"/>
      <c r="F83" s="24"/>
      <c r="G83" s="24"/>
      <c r="H83" s="24"/>
      <c r="I83" s="24"/>
      <c r="J83" s="24"/>
      <c r="K83" s="6"/>
      <c r="L83" s="6"/>
      <c r="M83" s="6"/>
      <c r="N83" s="6"/>
      <c r="O83" s="6"/>
      <c r="P83" s="39"/>
      <c r="Q83" s="6"/>
      <c r="R83" s="31"/>
      <c r="S83" s="6"/>
      <c r="T83" s="6"/>
      <c r="U83" s="6"/>
      <c r="V83" s="24"/>
      <c r="W83" s="98"/>
      <c r="X83" s="39"/>
      <c r="Y83" s="104"/>
      <c r="Z83" s="104"/>
      <c r="AA83" s="104"/>
      <c r="AB83" s="6"/>
      <c r="AC83" s="6"/>
      <c r="AD83" s="6"/>
      <c r="AE83" s="6"/>
      <c r="AF83" s="141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25"/>
      <c r="AT83" s="91"/>
    </row>
    <row r="84" spans="1:46">
      <c r="A84" s="24"/>
      <c r="C84" s="6"/>
      <c r="D84" s="39"/>
      <c r="E84" s="98"/>
      <c r="F84" s="24"/>
      <c r="G84" s="24"/>
      <c r="H84" s="24"/>
      <c r="I84" s="24"/>
      <c r="J84" s="24"/>
      <c r="K84" s="6"/>
      <c r="L84" s="6"/>
      <c r="M84" s="6"/>
      <c r="N84" s="6"/>
      <c r="O84" s="6"/>
      <c r="P84" s="39"/>
      <c r="Q84" s="6"/>
      <c r="R84" s="31"/>
      <c r="S84" s="6"/>
      <c r="T84" s="6"/>
      <c r="U84" s="6"/>
      <c r="V84" s="24"/>
      <c r="W84" s="98"/>
      <c r="X84" s="39"/>
      <c r="Y84" s="104"/>
      <c r="Z84" s="104"/>
      <c r="AA84" s="104"/>
      <c r="AB84" s="6"/>
      <c r="AC84" s="6"/>
      <c r="AD84" s="6"/>
      <c r="AE84" s="6"/>
      <c r="AF84" s="8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25"/>
      <c r="AT84" s="91"/>
    </row>
    <row r="85" spans="1:46">
      <c r="A85" s="24"/>
      <c r="C85" s="6"/>
      <c r="D85" s="39"/>
      <c r="E85" s="98"/>
      <c r="F85" s="24"/>
      <c r="G85" s="24"/>
      <c r="H85" s="24"/>
      <c r="I85" s="24"/>
      <c r="J85" s="24"/>
      <c r="K85" s="6"/>
      <c r="L85" s="6"/>
      <c r="M85" s="6"/>
      <c r="N85" s="6"/>
      <c r="O85" s="6"/>
      <c r="P85" s="39"/>
      <c r="Q85" s="6"/>
      <c r="R85" s="31"/>
      <c r="S85" s="6"/>
      <c r="T85" s="6"/>
      <c r="U85" s="6"/>
      <c r="V85" s="24"/>
      <c r="W85" s="98"/>
      <c r="X85" s="39"/>
      <c r="Y85" s="104"/>
      <c r="Z85" s="104"/>
      <c r="AA85" s="104"/>
      <c r="AB85" s="6"/>
      <c r="AC85" s="6"/>
      <c r="AD85" s="6"/>
      <c r="AE85" s="6"/>
      <c r="AF85" s="8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25"/>
      <c r="AT85" s="91"/>
    </row>
    <row r="86" spans="1:46">
      <c r="A86" s="24"/>
      <c r="C86" s="6"/>
      <c r="D86" s="39"/>
      <c r="E86" s="98"/>
      <c r="F86" s="24"/>
      <c r="G86" s="24"/>
      <c r="H86" s="24"/>
      <c r="I86" s="24"/>
      <c r="J86" s="24"/>
      <c r="K86" s="6"/>
      <c r="L86" s="6"/>
      <c r="M86" s="6"/>
      <c r="N86" s="6"/>
      <c r="O86" s="6"/>
      <c r="P86" s="39"/>
      <c r="Q86" s="6"/>
      <c r="R86" s="31"/>
      <c r="S86" s="6"/>
      <c r="T86" s="6"/>
      <c r="U86" s="6"/>
      <c r="V86" s="24"/>
      <c r="W86" s="98"/>
      <c r="X86" s="39"/>
      <c r="Y86" s="104"/>
      <c r="Z86" s="104"/>
      <c r="AA86" s="104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25"/>
      <c r="AT86" s="91"/>
    </row>
    <row r="87" spans="1:46">
      <c r="A87" s="24"/>
      <c r="C87" s="6"/>
      <c r="D87" s="39"/>
      <c r="E87" s="98"/>
      <c r="F87" s="24"/>
      <c r="G87" s="24"/>
      <c r="H87" s="24"/>
      <c r="I87" s="24"/>
      <c r="J87" s="24"/>
      <c r="K87" s="6"/>
      <c r="L87" s="6"/>
      <c r="M87" s="6"/>
      <c r="N87" s="6"/>
      <c r="O87" s="6"/>
      <c r="P87" s="39"/>
      <c r="Q87" s="6"/>
      <c r="R87" s="31"/>
      <c r="S87" s="6"/>
      <c r="T87" s="6"/>
      <c r="U87" s="6"/>
      <c r="V87" s="24"/>
      <c r="W87" s="98"/>
      <c r="X87" s="39"/>
      <c r="Y87" s="104"/>
      <c r="Z87" s="104"/>
      <c r="AA87" s="104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25"/>
      <c r="AT87" s="91"/>
    </row>
    <row r="88" spans="1:46">
      <c r="A88" s="24"/>
      <c r="C88" s="6"/>
      <c r="D88" s="39"/>
      <c r="E88" s="98"/>
      <c r="F88" s="24"/>
      <c r="G88" s="24"/>
      <c r="H88" s="24"/>
      <c r="I88" s="24"/>
      <c r="J88" s="24"/>
      <c r="K88" s="6"/>
      <c r="L88" s="6"/>
      <c r="M88" s="6"/>
      <c r="N88" s="6"/>
      <c r="O88" s="6"/>
      <c r="P88" s="135"/>
      <c r="Q88" s="140"/>
      <c r="R88" s="6"/>
      <c r="S88" s="6"/>
      <c r="T88" s="6"/>
      <c r="U88" s="6"/>
      <c r="V88" s="24"/>
      <c r="W88" s="98"/>
      <c r="X88" s="39"/>
      <c r="Y88" s="104"/>
      <c r="Z88" s="104"/>
      <c r="AA88" s="104"/>
      <c r="AB88" s="6"/>
      <c r="AC88" s="6"/>
      <c r="AD88" s="6"/>
      <c r="AE88" s="65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25"/>
      <c r="AT88" s="91"/>
    </row>
    <row r="89" spans="1:46">
      <c r="A89" s="24"/>
      <c r="C89" s="6"/>
      <c r="D89" s="39"/>
      <c r="E89" s="98"/>
      <c r="F89" s="24"/>
      <c r="G89" s="24"/>
      <c r="H89" s="24"/>
      <c r="I89" s="24"/>
      <c r="J89" s="24"/>
      <c r="K89" s="6"/>
      <c r="L89" s="6"/>
      <c r="M89" s="6"/>
      <c r="N89" s="6"/>
      <c r="O89" s="6"/>
      <c r="P89" s="39"/>
      <c r="Q89" s="6"/>
      <c r="R89" s="6"/>
      <c r="S89" s="6"/>
      <c r="T89" s="6"/>
      <c r="U89" s="6"/>
      <c r="V89" s="24"/>
      <c r="W89" s="98"/>
      <c r="X89" s="39"/>
      <c r="Y89" s="104"/>
      <c r="Z89" s="104"/>
      <c r="AA89" s="104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25"/>
      <c r="AT89" s="91"/>
    </row>
    <row r="90" spans="1:46">
      <c r="A90" s="24"/>
      <c r="C90" s="6"/>
      <c r="D90" s="39"/>
      <c r="E90" s="98"/>
      <c r="F90" s="24"/>
      <c r="G90" s="24"/>
      <c r="H90" s="24"/>
      <c r="I90" s="24"/>
      <c r="J90" s="24"/>
      <c r="K90" s="6"/>
      <c r="L90" s="6"/>
      <c r="M90" s="6"/>
      <c r="N90" s="6"/>
      <c r="O90" s="6"/>
      <c r="P90" s="39"/>
      <c r="Q90" s="6"/>
      <c r="R90" s="6"/>
      <c r="S90" s="6"/>
      <c r="T90" s="6"/>
      <c r="U90" s="6"/>
      <c r="V90" s="24"/>
      <c r="W90" s="98"/>
      <c r="X90" s="39"/>
      <c r="Y90" s="104"/>
      <c r="Z90" s="104"/>
      <c r="AA90" s="104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25"/>
      <c r="AT90" s="91"/>
    </row>
    <row r="91" spans="1:46">
      <c r="A91" s="24"/>
      <c r="C91" s="6"/>
      <c r="D91" s="39"/>
      <c r="E91" s="98"/>
      <c r="F91" s="24"/>
      <c r="G91" s="24"/>
      <c r="H91" s="24"/>
      <c r="I91" s="24"/>
      <c r="J91" s="24"/>
      <c r="K91" s="6"/>
      <c r="L91" s="6"/>
      <c r="M91" s="6"/>
      <c r="N91" s="6"/>
      <c r="O91" s="6"/>
      <c r="P91" s="39"/>
      <c r="Q91" s="6"/>
      <c r="R91" s="6"/>
      <c r="S91" s="6"/>
      <c r="T91" s="6"/>
      <c r="U91" s="6"/>
      <c r="V91" s="24"/>
      <c r="W91" s="98"/>
      <c r="X91" s="39"/>
      <c r="Y91" s="104"/>
      <c r="Z91" s="104"/>
      <c r="AA91" s="104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25"/>
      <c r="AT91" s="91"/>
    </row>
    <row r="92" spans="1:46">
      <c r="A92" s="24"/>
      <c r="C92" s="6"/>
      <c r="D92" s="39"/>
      <c r="E92" s="98"/>
      <c r="F92" s="24"/>
      <c r="G92" s="24"/>
      <c r="H92" s="24"/>
      <c r="I92" s="24"/>
      <c r="J92" s="24"/>
      <c r="K92" s="6"/>
      <c r="L92" s="6"/>
      <c r="M92" s="6"/>
      <c r="N92" s="6"/>
      <c r="O92" s="6"/>
      <c r="P92" s="39"/>
      <c r="Q92" s="6"/>
      <c r="R92" s="6"/>
      <c r="S92" s="6"/>
      <c r="T92" s="6"/>
      <c r="U92" s="6"/>
      <c r="V92" s="24"/>
      <c r="W92" s="98"/>
      <c r="X92" s="39"/>
      <c r="Y92" s="104"/>
      <c r="Z92" s="104"/>
      <c r="AA92" s="104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25"/>
      <c r="AT92" s="91"/>
    </row>
    <row r="93" spans="1:46">
      <c r="A93" s="24"/>
      <c r="C93" s="6"/>
      <c r="D93" s="39"/>
      <c r="E93" s="98"/>
      <c r="F93" s="24"/>
      <c r="G93" s="24"/>
      <c r="H93" s="24"/>
      <c r="I93" s="24"/>
      <c r="J93" s="24"/>
      <c r="K93" s="6"/>
      <c r="L93" s="6"/>
      <c r="M93" s="6"/>
      <c r="N93" s="6"/>
      <c r="O93" s="6"/>
      <c r="P93" s="39"/>
      <c r="Q93" s="6"/>
      <c r="R93" s="6"/>
      <c r="S93" s="6"/>
      <c r="T93" s="6"/>
      <c r="U93" s="6"/>
      <c r="V93" s="24"/>
      <c r="W93" s="98"/>
      <c r="X93" s="39"/>
      <c r="Y93" s="104"/>
      <c r="Z93" s="104"/>
      <c r="AA93" s="104"/>
      <c r="AB93" s="6"/>
      <c r="AC93" s="6"/>
      <c r="AD93" s="6"/>
      <c r="AE93" s="6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25"/>
      <c r="AT93" s="91"/>
    </row>
    <row r="94" spans="1:46">
      <c r="A94" s="24"/>
      <c r="C94" s="6"/>
      <c r="D94" s="39"/>
      <c r="E94" s="98"/>
      <c r="F94" s="24"/>
      <c r="G94" s="24"/>
      <c r="H94" s="24"/>
      <c r="I94" s="24"/>
      <c r="J94" s="24"/>
      <c r="K94" s="6"/>
      <c r="L94" s="6"/>
      <c r="M94" s="6"/>
      <c r="N94" s="6"/>
      <c r="O94" s="6"/>
      <c r="P94" s="39"/>
      <c r="Q94" s="6"/>
      <c r="R94" s="6"/>
      <c r="S94" s="6"/>
      <c r="T94" s="6"/>
      <c r="U94" s="6"/>
      <c r="V94" s="24"/>
      <c r="W94" s="98"/>
      <c r="X94" s="39"/>
      <c r="Y94" s="104"/>
      <c r="Z94" s="104"/>
      <c r="AA94" s="104"/>
      <c r="AB94" s="6"/>
      <c r="AC94" s="6"/>
      <c r="AD94" s="6"/>
      <c r="AE94" s="6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25"/>
      <c r="AT94" s="91"/>
    </row>
    <row r="95" spans="1:46">
      <c r="A95" s="24"/>
      <c r="C95" s="6"/>
      <c r="D95" s="39"/>
      <c r="E95" s="98"/>
      <c r="F95" s="24"/>
      <c r="G95" s="24"/>
      <c r="H95" s="24"/>
      <c r="I95" s="24"/>
      <c r="J95" s="24"/>
      <c r="K95" s="6"/>
      <c r="L95" s="6"/>
      <c r="M95" s="6"/>
      <c r="N95" s="6"/>
      <c r="O95" s="6"/>
      <c r="P95" s="39"/>
      <c r="Q95" s="6"/>
      <c r="R95" s="6"/>
      <c r="S95" s="6"/>
      <c r="T95" s="6"/>
      <c r="U95" s="6"/>
      <c r="V95" s="24"/>
      <c r="W95" s="98"/>
      <c r="X95" s="39"/>
      <c r="Y95" s="104"/>
      <c r="Z95" s="104"/>
      <c r="AA95" s="104"/>
      <c r="AB95" s="6"/>
      <c r="AC95" s="6"/>
      <c r="AD95" s="6"/>
      <c r="AE95" s="6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25"/>
      <c r="AT95" s="91"/>
    </row>
    <row r="96" spans="1:46">
      <c r="A96" s="24"/>
      <c r="C96" s="6"/>
      <c r="D96" s="39"/>
      <c r="E96" s="98"/>
      <c r="F96" s="24"/>
      <c r="G96" s="24"/>
      <c r="H96" s="24"/>
      <c r="I96" s="24"/>
      <c r="J96" s="24"/>
      <c r="K96" s="6"/>
      <c r="L96" s="6"/>
      <c r="M96" s="6"/>
      <c r="N96" s="6"/>
      <c r="O96" s="6"/>
      <c r="P96" s="39"/>
      <c r="Q96" s="6"/>
      <c r="R96" s="6"/>
      <c r="S96" s="6"/>
      <c r="T96" s="6"/>
      <c r="U96" s="6"/>
      <c r="V96" s="24"/>
      <c r="W96" s="98"/>
      <c r="X96" s="39"/>
      <c r="Y96" s="104"/>
      <c r="Z96" s="104"/>
      <c r="AA96" s="104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25"/>
      <c r="AT96" s="91"/>
    </row>
    <row r="97" spans="1:46">
      <c r="A97" s="24"/>
      <c r="C97" s="6"/>
      <c r="D97" s="39"/>
      <c r="E97" s="98"/>
      <c r="F97" s="24"/>
      <c r="G97" s="24"/>
      <c r="H97" s="24"/>
      <c r="I97" s="24"/>
      <c r="J97" s="24"/>
      <c r="K97" s="6"/>
      <c r="L97" s="6"/>
      <c r="M97" s="6"/>
      <c r="N97" s="6"/>
      <c r="O97" s="6"/>
      <c r="P97" s="39"/>
      <c r="Q97" s="6"/>
      <c r="R97" s="6"/>
      <c r="S97" s="6"/>
      <c r="T97" s="6"/>
      <c r="U97" s="6"/>
      <c r="V97" s="24"/>
      <c r="W97" s="98"/>
      <c r="X97" s="39"/>
      <c r="Y97" s="104"/>
      <c r="Z97" s="104"/>
      <c r="AA97" s="104"/>
      <c r="AB97" s="6"/>
      <c r="AC97" s="6"/>
      <c r="AD97" s="6"/>
      <c r="AE97" s="6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25"/>
      <c r="AT97" s="91"/>
    </row>
    <row r="98" spans="1:46">
      <c r="A98" s="24"/>
      <c r="C98" s="6"/>
      <c r="D98" s="39"/>
      <c r="E98" s="98"/>
      <c r="F98" s="24"/>
      <c r="G98" s="24"/>
      <c r="H98" s="24"/>
      <c r="I98" s="24"/>
      <c r="J98" s="24"/>
      <c r="K98" s="6"/>
      <c r="L98" s="6"/>
      <c r="M98" s="6"/>
      <c r="N98" s="6"/>
      <c r="O98" s="6"/>
      <c r="P98" s="39"/>
      <c r="Q98" s="6"/>
      <c r="R98" s="6"/>
      <c r="S98" s="6"/>
      <c r="T98" s="6"/>
      <c r="U98" s="6"/>
      <c r="V98" s="24"/>
      <c r="W98" s="98"/>
      <c r="X98" s="39"/>
      <c r="Y98" s="104"/>
      <c r="Z98" s="104"/>
      <c r="AA98" s="104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25"/>
      <c r="AT98" s="91"/>
    </row>
    <row r="99" spans="1:46">
      <c r="A99" s="24"/>
      <c r="C99" s="6"/>
      <c r="D99" s="39"/>
      <c r="E99" s="98"/>
      <c r="F99" s="24"/>
      <c r="G99" s="24"/>
      <c r="H99" s="24"/>
      <c r="I99" s="24"/>
      <c r="J99" s="24"/>
      <c r="K99" s="6"/>
      <c r="L99" s="6"/>
      <c r="M99" s="6"/>
      <c r="N99" s="6"/>
      <c r="O99" s="6"/>
      <c r="P99" s="39"/>
      <c r="Q99" s="6"/>
      <c r="R99" s="6"/>
      <c r="S99" s="6"/>
      <c r="T99" s="6"/>
      <c r="U99" s="6"/>
      <c r="V99" s="24"/>
      <c r="W99" s="98"/>
      <c r="X99" s="39"/>
      <c r="Y99" s="104"/>
      <c r="Z99" s="104"/>
      <c r="AA99" s="104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25"/>
      <c r="AT99" s="91"/>
    </row>
    <row r="100" spans="1:46">
      <c r="A100" s="24"/>
      <c r="C100" s="6"/>
      <c r="D100" s="39"/>
      <c r="E100" s="98"/>
      <c r="F100" s="24"/>
      <c r="G100" s="24"/>
      <c r="H100" s="24"/>
      <c r="I100" s="24"/>
      <c r="J100" s="24"/>
      <c r="K100" s="6"/>
      <c r="L100" s="6"/>
      <c r="M100" s="6"/>
      <c r="N100" s="6"/>
      <c r="O100" s="6"/>
      <c r="P100" s="39"/>
      <c r="Q100" s="6"/>
      <c r="R100" s="6"/>
      <c r="S100" s="6"/>
      <c r="T100" s="6"/>
      <c r="U100" s="6"/>
      <c r="V100" s="24"/>
      <c r="W100" s="98"/>
      <c r="X100" s="39"/>
      <c r="Y100" s="104"/>
      <c r="Z100" s="104"/>
      <c r="AA100" s="104"/>
      <c r="AB100" s="6"/>
      <c r="AC100" s="6"/>
      <c r="AD100" s="6"/>
      <c r="AE100" s="6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25"/>
      <c r="AT100" s="91"/>
    </row>
    <row r="101" spans="1:46">
      <c r="A101" s="24"/>
      <c r="C101" s="6"/>
      <c r="D101" s="39"/>
      <c r="E101" s="98"/>
      <c r="F101" s="24"/>
      <c r="G101" s="24"/>
      <c r="H101" s="24"/>
      <c r="I101" s="24"/>
      <c r="J101" s="24"/>
      <c r="K101" s="6"/>
      <c r="L101" s="6"/>
      <c r="M101" s="6"/>
      <c r="N101" s="6"/>
      <c r="O101" s="6"/>
      <c r="P101" s="39"/>
      <c r="Q101" s="6"/>
      <c r="R101" s="6"/>
      <c r="S101" s="6"/>
      <c r="T101" s="6"/>
      <c r="U101" s="6"/>
      <c r="V101" s="24"/>
      <c r="W101" s="98"/>
      <c r="X101" s="39"/>
      <c r="Y101" s="104"/>
      <c r="Z101" s="104"/>
      <c r="AA101" s="104"/>
      <c r="AB101" s="6"/>
      <c r="AC101" s="6"/>
      <c r="AD101" s="6"/>
      <c r="AE101" s="6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25"/>
      <c r="AT101" s="91"/>
    </row>
    <row r="102" spans="1:46">
      <c r="A102" s="24"/>
      <c r="C102" s="6"/>
      <c r="D102" s="39"/>
      <c r="E102" s="98"/>
      <c r="F102" s="24"/>
      <c r="G102" s="24"/>
      <c r="H102" s="24"/>
      <c r="I102" s="24"/>
      <c r="J102" s="24"/>
      <c r="K102" s="6"/>
      <c r="L102" s="6"/>
      <c r="M102" s="6"/>
      <c r="N102" s="6"/>
      <c r="O102" s="6"/>
      <c r="P102" s="39"/>
      <c r="Q102" s="6"/>
      <c r="R102" s="6"/>
      <c r="S102" s="6"/>
      <c r="T102" s="6"/>
      <c r="U102" s="6"/>
      <c r="V102" s="24"/>
      <c r="W102" s="98"/>
      <c r="X102" s="39"/>
      <c r="Y102" s="104"/>
      <c r="Z102" s="104"/>
      <c r="AA102" s="104"/>
      <c r="AB102" s="6"/>
      <c r="AC102" s="6"/>
      <c r="AD102" s="6"/>
      <c r="AE102" s="65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25"/>
      <c r="AT102" s="91"/>
    </row>
    <row r="103" spans="1:46">
      <c r="A103" s="24"/>
      <c r="C103" s="6"/>
      <c r="D103" s="39"/>
      <c r="E103" s="98"/>
      <c r="F103" s="24"/>
      <c r="G103" s="24"/>
      <c r="H103" s="24"/>
      <c r="I103" s="24"/>
      <c r="J103" s="24"/>
      <c r="K103" s="6"/>
      <c r="L103" s="6"/>
      <c r="M103" s="6"/>
      <c r="N103" s="6"/>
      <c r="O103" s="6"/>
      <c r="P103" s="39"/>
      <c r="Q103" s="6"/>
      <c r="R103" s="6"/>
      <c r="S103" s="6"/>
      <c r="T103" s="6"/>
      <c r="U103" s="6"/>
      <c r="V103" s="24"/>
      <c r="W103" s="98"/>
      <c r="X103" s="39"/>
      <c r="Y103" s="104"/>
      <c r="Z103" s="104"/>
      <c r="AA103" s="104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25"/>
      <c r="AT103" s="91"/>
    </row>
    <row r="104" spans="1:46">
      <c r="A104" s="24"/>
      <c r="C104" s="6"/>
      <c r="D104" s="39"/>
      <c r="E104" s="98"/>
      <c r="F104" s="24"/>
      <c r="G104" s="24"/>
      <c r="H104" s="24"/>
      <c r="I104" s="24"/>
      <c r="J104" s="24"/>
      <c r="K104" s="6"/>
      <c r="L104" s="6"/>
      <c r="M104" s="6"/>
      <c r="N104" s="6"/>
      <c r="O104" s="6"/>
      <c r="P104" s="39"/>
      <c r="Q104" s="6"/>
      <c r="R104" s="6"/>
      <c r="S104" s="6"/>
      <c r="T104" s="6"/>
      <c r="U104" s="6"/>
      <c r="V104" s="24"/>
      <c r="W104" s="98"/>
      <c r="X104" s="39"/>
      <c r="Y104" s="104"/>
      <c r="Z104" s="104"/>
      <c r="AA104" s="104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25"/>
      <c r="AT104" s="91"/>
    </row>
    <row r="105" spans="1:46">
      <c r="A105" s="24"/>
      <c r="C105" s="6"/>
      <c r="D105" s="39"/>
      <c r="E105" s="98"/>
      <c r="F105" s="24"/>
      <c r="G105" s="24"/>
      <c r="H105" s="24"/>
      <c r="I105" s="24"/>
      <c r="J105" s="24"/>
      <c r="K105" s="6"/>
      <c r="L105" s="6"/>
      <c r="M105" s="6"/>
      <c r="N105" s="6"/>
      <c r="O105" s="6"/>
      <c r="P105" s="39"/>
      <c r="Q105" s="6"/>
      <c r="R105" s="6"/>
      <c r="S105" s="6"/>
      <c r="T105" s="6"/>
      <c r="U105" s="6"/>
      <c r="V105" s="24"/>
      <c r="W105" s="98"/>
      <c r="X105" s="39"/>
      <c r="Y105" s="104"/>
      <c r="Z105" s="104"/>
      <c r="AA105" s="104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25"/>
      <c r="AT105" s="91"/>
    </row>
    <row r="106" spans="1:46">
      <c r="A106" s="24"/>
      <c r="C106" s="6"/>
      <c r="D106" s="39"/>
      <c r="E106" s="98"/>
      <c r="F106" s="24"/>
      <c r="G106" s="24"/>
      <c r="H106" s="24"/>
      <c r="I106" s="24"/>
      <c r="J106" s="24"/>
      <c r="K106" s="6"/>
      <c r="L106" s="6"/>
      <c r="M106" s="6"/>
      <c r="N106" s="6"/>
      <c r="O106" s="6"/>
      <c r="P106" s="39"/>
      <c r="Q106" s="6"/>
      <c r="R106" s="6"/>
      <c r="S106" s="6"/>
      <c r="T106" s="6"/>
      <c r="U106" s="6"/>
      <c r="V106" s="24"/>
      <c r="W106" s="98"/>
      <c r="X106" s="39"/>
      <c r="Y106" s="104"/>
      <c r="Z106" s="104"/>
      <c r="AA106" s="104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25"/>
      <c r="AT106" s="91"/>
    </row>
    <row r="107" spans="1:46">
      <c r="A107" s="24"/>
      <c r="C107" s="6"/>
      <c r="D107" s="39"/>
      <c r="E107" s="98"/>
      <c r="F107" s="24"/>
      <c r="G107" s="24"/>
      <c r="H107" s="24"/>
      <c r="I107" s="24"/>
      <c r="J107" s="24"/>
      <c r="K107" s="6"/>
      <c r="L107" s="6"/>
      <c r="M107" s="6"/>
      <c r="N107" s="6"/>
      <c r="O107" s="6"/>
      <c r="P107" s="39"/>
      <c r="Q107" s="6"/>
      <c r="R107" s="6"/>
      <c r="S107" s="6"/>
      <c r="T107" s="6"/>
      <c r="U107" s="6"/>
      <c r="V107" s="24"/>
      <c r="W107" s="98"/>
      <c r="X107" s="39"/>
      <c r="Y107" s="104"/>
      <c r="Z107" s="104"/>
      <c r="AA107" s="104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25"/>
      <c r="AT107" s="91"/>
    </row>
    <row r="108" spans="1:46">
      <c r="A108" s="24"/>
      <c r="C108" s="6"/>
      <c r="D108" s="39"/>
      <c r="E108" s="98"/>
      <c r="F108" s="24"/>
      <c r="G108" s="24"/>
      <c r="H108" s="24"/>
      <c r="I108" s="24"/>
      <c r="J108" s="24"/>
      <c r="K108" s="6"/>
      <c r="L108" s="6"/>
      <c r="M108" s="6"/>
      <c r="N108" s="6"/>
      <c r="O108" s="6"/>
      <c r="P108" s="39"/>
      <c r="Q108" s="6"/>
      <c r="R108" s="6"/>
      <c r="S108" s="6"/>
      <c r="T108" s="6"/>
      <c r="U108" s="6"/>
      <c r="V108" s="24"/>
      <c r="W108" s="98"/>
      <c r="X108" s="39"/>
      <c r="Y108" s="104"/>
      <c r="Z108" s="104"/>
      <c r="AA108" s="104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25"/>
      <c r="AT108" s="91"/>
    </row>
    <row r="109" spans="1:46">
      <c r="A109" s="24"/>
      <c r="C109" s="6"/>
      <c r="D109" s="39"/>
      <c r="E109" s="98"/>
      <c r="F109" s="24"/>
      <c r="G109" s="24"/>
      <c r="H109" s="24"/>
      <c r="I109" s="24"/>
      <c r="J109" s="24"/>
      <c r="K109" s="6"/>
      <c r="L109" s="6"/>
      <c r="M109" s="6"/>
      <c r="N109" s="6"/>
      <c r="O109" s="6"/>
      <c r="P109" s="39"/>
      <c r="Q109" s="6"/>
      <c r="R109" s="6"/>
      <c r="S109" s="6"/>
      <c r="T109" s="6"/>
      <c r="U109" s="6"/>
      <c r="V109" s="24"/>
      <c r="W109" s="98"/>
      <c r="X109" s="39"/>
      <c r="Y109" s="104"/>
      <c r="Z109" s="104"/>
      <c r="AA109" s="104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25"/>
      <c r="AT109" s="91"/>
    </row>
    <row r="110" spans="1:46">
      <c r="A110" s="24"/>
      <c r="C110" s="6"/>
      <c r="D110" s="39"/>
      <c r="E110" s="98"/>
      <c r="F110" s="24"/>
      <c r="G110" s="24"/>
      <c r="H110" s="24"/>
      <c r="I110" s="24"/>
      <c r="J110" s="24"/>
      <c r="K110" s="6"/>
      <c r="L110" s="6"/>
      <c r="M110" s="6"/>
      <c r="N110" s="6"/>
      <c r="O110" s="6"/>
      <c r="P110" s="39"/>
      <c r="Q110" s="6"/>
      <c r="R110" s="6"/>
      <c r="S110" s="6"/>
      <c r="T110" s="6"/>
      <c r="U110" s="6"/>
      <c r="V110" s="24"/>
      <c r="W110" s="98"/>
      <c r="X110" s="39"/>
      <c r="Y110" s="104"/>
      <c r="Z110" s="104"/>
      <c r="AA110" s="104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25"/>
      <c r="AT110" s="91"/>
    </row>
    <row r="111" spans="1:46">
      <c r="A111" s="24"/>
      <c r="C111" s="6"/>
      <c r="D111" s="39"/>
      <c r="E111" s="98"/>
      <c r="F111" s="24"/>
      <c r="G111" s="24"/>
      <c r="H111" s="24"/>
      <c r="I111" s="24"/>
      <c r="J111" s="24"/>
      <c r="K111" s="6"/>
      <c r="L111" s="6"/>
      <c r="M111" s="6"/>
      <c r="N111" s="6"/>
      <c r="O111" s="6"/>
      <c r="P111" s="39"/>
      <c r="Q111" s="6"/>
      <c r="R111" s="6"/>
      <c r="S111" s="6"/>
      <c r="T111" s="6"/>
      <c r="U111" s="6"/>
      <c r="V111" s="24"/>
      <c r="W111" s="98"/>
      <c r="X111" s="39"/>
      <c r="Y111" s="104"/>
      <c r="Z111" s="104"/>
      <c r="AA111" s="104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25"/>
      <c r="AT111" s="91"/>
    </row>
    <row r="112" spans="1:46">
      <c r="A112" s="24"/>
      <c r="C112" s="6"/>
      <c r="D112" s="39"/>
      <c r="E112" s="98"/>
      <c r="F112" s="24"/>
      <c r="G112" s="24"/>
      <c r="H112" s="24"/>
      <c r="I112" s="24"/>
      <c r="J112" s="24"/>
      <c r="K112" s="6"/>
      <c r="L112" s="6"/>
      <c r="M112" s="6"/>
      <c r="N112" s="6"/>
      <c r="O112" s="6"/>
      <c r="P112" s="39"/>
      <c r="Q112" s="6"/>
      <c r="R112" s="6"/>
      <c r="S112" s="6"/>
      <c r="T112" s="6"/>
      <c r="U112" s="6"/>
      <c r="V112" s="24"/>
      <c r="W112" s="98"/>
      <c r="X112" s="39"/>
      <c r="Y112" s="104"/>
      <c r="Z112" s="104"/>
      <c r="AA112" s="104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25"/>
      <c r="AT112" s="91"/>
    </row>
    <row r="113" spans="1:46">
      <c r="A113" s="24"/>
      <c r="C113" s="6"/>
      <c r="D113" s="39"/>
      <c r="E113" s="98"/>
      <c r="F113" s="24"/>
      <c r="G113" s="24"/>
      <c r="H113" s="24"/>
      <c r="I113" s="24"/>
      <c r="J113" s="24"/>
      <c r="K113" s="6"/>
      <c r="L113" s="6"/>
      <c r="M113" s="6"/>
      <c r="N113" s="6"/>
      <c r="O113" s="6"/>
      <c r="P113" s="39"/>
      <c r="Q113" s="6"/>
      <c r="R113" s="6"/>
      <c r="S113" s="6"/>
      <c r="T113" s="6"/>
      <c r="U113" s="6"/>
      <c r="V113" s="24"/>
      <c r="W113" s="98"/>
      <c r="X113" s="39"/>
      <c r="Y113" s="104"/>
      <c r="Z113" s="104"/>
      <c r="AA113" s="104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25"/>
      <c r="AT113" s="91"/>
    </row>
    <row r="114" spans="1:46">
      <c r="A114" s="24"/>
      <c r="C114" s="6"/>
      <c r="D114" s="39"/>
      <c r="E114" s="98"/>
      <c r="F114" s="24"/>
      <c r="G114" s="24"/>
      <c r="H114" s="24"/>
      <c r="I114" s="24"/>
      <c r="J114" s="24"/>
      <c r="K114" s="6"/>
      <c r="L114" s="6"/>
      <c r="M114" s="6"/>
      <c r="N114" s="6"/>
      <c r="O114" s="6"/>
      <c r="P114" s="39"/>
      <c r="Q114" s="6"/>
      <c r="R114" s="6"/>
      <c r="S114" s="6"/>
      <c r="T114" s="6"/>
      <c r="U114" s="6"/>
      <c r="V114" s="24"/>
      <c r="W114" s="98"/>
      <c r="X114" s="39"/>
      <c r="Y114" s="104"/>
      <c r="Z114" s="104"/>
      <c r="AA114" s="104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25"/>
      <c r="AT114" s="91"/>
    </row>
    <row r="115" spans="1:46">
      <c r="A115" s="24"/>
      <c r="C115" s="6"/>
      <c r="D115" s="39"/>
      <c r="E115" s="98"/>
      <c r="F115" s="24"/>
      <c r="G115" s="24"/>
      <c r="H115" s="24"/>
      <c r="I115" s="24"/>
      <c r="J115" s="24"/>
      <c r="K115" s="6"/>
      <c r="L115" s="6"/>
      <c r="M115" s="6"/>
      <c r="N115" s="6"/>
      <c r="O115" s="6"/>
      <c r="P115" s="39"/>
      <c r="Q115" s="6"/>
      <c r="R115" s="6"/>
      <c r="S115" s="6"/>
      <c r="T115" s="6"/>
      <c r="U115" s="6"/>
      <c r="V115" s="24"/>
      <c r="W115" s="98"/>
      <c r="X115" s="39"/>
      <c r="Y115" s="104"/>
      <c r="Z115" s="104"/>
      <c r="AA115" s="104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25"/>
      <c r="AT115" s="91"/>
    </row>
    <row r="116" spans="1:46">
      <c r="A116" s="24"/>
      <c r="C116" s="6"/>
      <c r="D116" s="39"/>
      <c r="E116" s="98"/>
      <c r="F116" s="24"/>
      <c r="G116" s="24"/>
      <c r="H116" s="24"/>
      <c r="I116" s="24"/>
      <c r="J116" s="24"/>
      <c r="K116" s="6"/>
      <c r="L116" s="6"/>
      <c r="M116" s="6"/>
      <c r="N116" s="6"/>
      <c r="O116" s="6"/>
      <c r="P116" s="39"/>
      <c r="Q116" s="6"/>
      <c r="R116" s="6"/>
      <c r="S116" s="6"/>
      <c r="T116" s="6"/>
      <c r="U116" s="6"/>
      <c r="V116" s="24"/>
      <c r="W116" s="98"/>
      <c r="X116" s="39"/>
      <c r="Y116" s="104"/>
      <c r="Z116" s="104"/>
      <c r="AA116" s="104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25"/>
      <c r="AT116" s="91"/>
    </row>
    <row r="117" spans="1:46">
      <c r="A117" s="24"/>
      <c r="C117" s="6"/>
      <c r="D117" s="39"/>
      <c r="E117" s="98"/>
      <c r="F117" s="24"/>
      <c r="G117" s="24"/>
      <c r="H117" s="24"/>
      <c r="I117" s="24"/>
      <c r="J117" s="24"/>
      <c r="K117" s="6"/>
      <c r="L117" s="6"/>
      <c r="M117" s="6"/>
      <c r="N117" s="6"/>
      <c r="O117" s="6"/>
      <c r="P117" s="39"/>
      <c r="Q117" s="6"/>
      <c r="R117" s="6"/>
      <c r="S117" s="6"/>
      <c r="T117" s="6"/>
      <c r="U117" s="6"/>
      <c r="V117" s="24"/>
      <c r="W117" s="98"/>
      <c r="X117" s="39"/>
      <c r="Y117" s="104"/>
      <c r="Z117" s="104"/>
      <c r="AA117" s="104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25"/>
      <c r="AT117" s="91"/>
    </row>
    <row r="118" spans="1:46">
      <c r="A118" s="24"/>
      <c r="C118" s="6"/>
      <c r="D118" s="39"/>
      <c r="E118" s="98"/>
      <c r="F118" s="24"/>
      <c r="G118" s="24"/>
      <c r="H118" s="24"/>
      <c r="I118" s="24"/>
      <c r="J118" s="24"/>
      <c r="K118" s="6"/>
      <c r="L118" s="6"/>
      <c r="M118" s="6"/>
      <c r="N118" s="6"/>
      <c r="O118" s="6"/>
      <c r="P118" s="39"/>
      <c r="Q118" s="6"/>
      <c r="R118" s="6"/>
      <c r="S118" s="6"/>
      <c r="T118" s="6"/>
      <c r="U118" s="6"/>
      <c r="V118" s="24"/>
      <c r="W118" s="98"/>
      <c r="X118" s="39"/>
      <c r="Y118" s="104"/>
      <c r="Z118" s="104"/>
      <c r="AA118" s="104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25"/>
      <c r="AT118" s="91"/>
    </row>
    <row r="119" spans="1:46">
      <c r="A119" s="24"/>
      <c r="C119" s="6"/>
      <c r="D119" s="39"/>
      <c r="E119" s="98"/>
      <c r="F119" s="24"/>
      <c r="G119" s="24"/>
      <c r="H119" s="24"/>
      <c r="I119" s="24"/>
      <c r="J119" s="24"/>
      <c r="K119" s="6"/>
      <c r="L119" s="6"/>
      <c r="M119" s="6"/>
      <c r="N119" s="6"/>
      <c r="O119" s="6"/>
      <c r="P119" s="39"/>
      <c r="Q119" s="6"/>
      <c r="R119" s="6"/>
      <c r="S119" s="6"/>
      <c r="T119" s="6"/>
      <c r="U119" s="6"/>
      <c r="V119" s="24"/>
      <c r="W119" s="98"/>
      <c r="X119" s="39"/>
      <c r="Y119" s="104"/>
      <c r="Z119" s="104"/>
      <c r="AA119" s="104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25"/>
      <c r="AT119" s="91"/>
    </row>
    <row r="120" spans="1:46">
      <c r="A120" s="24"/>
      <c r="C120" s="6"/>
      <c r="D120" s="39"/>
      <c r="E120" s="98"/>
      <c r="F120" s="24"/>
      <c r="G120" s="24"/>
      <c r="H120" s="24"/>
      <c r="I120" s="24"/>
      <c r="J120" s="24"/>
      <c r="K120" s="6"/>
      <c r="L120" s="6"/>
      <c r="M120" s="6"/>
      <c r="N120" s="6"/>
      <c r="O120" s="6"/>
      <c r="P120" s="39"/>
      <c r="Q120" s="6"/>
      <c r="R120" s="6"/>
      <c r="S120" s="6"/>
      <c r="T120" s="6"/>
      <c r="U120" s="6"/>
      <c r="V120" s="24"/>
      <c r="W120" s="98"/>
      <c r="X120" s="39"/>
      <c r="Y120" s="104"/>
      <c r="Z120" s="104"/>
      <c r="AA120" s="104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25"/>
      <c r="AT120" s="91"/>
    </row>
    <row r="121" spans="1:46">
      <c r="A121" s="24"/>
      <c r="C121" s="6"/>
      <c r="D121" s="39"/>
      <c r="E121" s="98"/>
      <c r="F121" s="24"/>
      <c r="G121" s="24"/>
      <c r="H121" s="24"/>
      <c r="I121" s="24"/>
      <c r="J121" s="24"/>
      <c r="K121" s="6"/>
      <c r="L121" s="6"/>
      <c r="M121" s="6"/>
      <c r="N121" s="6"/>
      <c r="O121" s="6"/>
      <c r="P121" s="39"/>
      <c r="Q121" s="6"/>
      <c r="R121" s="6"/>
      <c r="S121" s="6"/>
      <c r="T121" s="6"/>
      <c r="U121" s="6"/>
      <c r="V121" s="24"/>
      <c r="W121" s="98"/>
      <c r="X121" s="39"/>
      <c r="Y121" s="104"/>
      <c r="Z121" s="104"/>
      <c r="AA121" s="104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25"/>
      <c r="AT121" s="91"/>
    </row>
    <row r="122" spans="1:46">
      <c r="A122" s="24"/>
      <c r="C122" s="6"/>
      <c r="D122" s="39"/>
      <c r="E122" s="98"/>
      <c r="F122" s="24"/>
      <c r="G122" s="24"/>
      <c r="H122" s="24"/>
      <c r="I122" s="24"/>
      <c r="J122" s="24"/>
      <c r="K122" s="6"/>
      <c r="L122" s="6"/>
      <c r="M122" s="6"/>
      <c r="N122" s="6"/>
      <c r="O122" s="6"/>
      <c r="P122" s="39"/>
      <c r="Q122" s="6"/>
      <c r="R122" s="6"/>
      <c r="S122" s="6"/>
      <c r="T122" s="6"/>
      <c r="U122" s="6"/>
      <c r="V122" s="24"/>
      <c r="W122" s="98"/>
      <c r="X122" s="39"/>
      <c r="Y122" s="104"/>
      <c r="Z122" s="104"/>
      <c r="AA122" s="104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25"/>
      <c r="AT122" s="91"/>
    </row>
    <row r="123" spans="1:46">
      <c r="A123" s="24"/>
      <c r="C123" s="6"/>
      <c r="D123" s="39"/>
      <c r="E123" s="98"/>
      <c r="F123" s="24"/>
      <c r="G123" s="24"/>
      <c r="H123" s="24"/>
      <c r="I123" s="24"/>
      <c r="J123" s="24"/>
      <c r="K123" s="6"/>
      <c r="L123" s="6"/>
      <c r="M123" s="6"/>
      <c r="N123" s="6"/>
      <c r="O123" s="6"/>
      <c r="P123" s="39"/>
      <c r="Q123" s="6"/>
      <c r="R123" s="6"/>
      <c r="S123" s="6"/>
      <c r="T123" s="6"/>
      <c r="U123" s="6"/>
      <c r="V123" s="24"/>
      <c r="W123" s="98"/>
      <c r="X123" s="39"/>
      <c r="Y123" s="104"/>
      <c r="Z123" s="104"/>
      <c r="AA123" s="104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25"/>
      <c r="AT123" s="91"/>
    </row>
    <row r="124" spans="1:46">
      <c r="A124" s="24"/>
      <c r="C124" s="6"/>
      <c r="D124" s="39"/>
      <c r="E124" s="98"/>
      <c r="F124" s="24"/>
      <c r="G124" s="24"/>
      <c r="H124" s="24"/>
      <c r="I124" s="24"/>
      <c r="J124" s="24"/>
      <c r="K124" s="6"/>
      <c r="L124" s="6"/>
      <c r="M124" s="6"/>
      <c r="N124" s="6"/>
      <c r="O124" s="6"/>
      <c r="P124" s="39"/>
      <c r="Q124" s="6"/>
      <c r="R124" s="6"/>
      <c r="S124" s="6"/>
      <c r="T124" s="6"/>
      <c r="U124" s="6"/>
      <c r="V124" s="24"/>
      <c r="W124" s="98"/>
      <c r="X124" s="39"/>
      <c r="Y124" s="104"/>
      <c r="Z124" s="104"/>
      <c r="AA124" s="104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25"/>
      <c r="AT124" s="91"/>
    </row>
    <row r="125" spans="1:46">
      <c r="A125" s="24"/>
      <c r="C125" s="6"/>
      <c r="D125" s="39"/>
      <c r="E125" s="98"/>
      <c r="F125" s="24"/>
      <c r="G125" s="24"/>
      <c r="H125" s="24"/>
      <c r="I125" s="24"/>
      <c r="J125" s="24"/>
      <c r="K125" s="6"/>
      <c r="L125" s="6"/>
      <c r="M125" s="6"/>
      <c r="N125" s="6"/>
      <c r="O125" s="6"/>
      <c r="P125" s="39"/>
      <c r="Q125" s="6"/>
      <c r="R125" s="6"/>
      <c r="S125" s="6"/>
      <c r="T125" s="6"/>
      <c r="U125" s="6"/>
      <c r="V125" s="24"/>
      <c r="W125" s="98"/>
      <c r="X125" s="39"/>
      <c r="Y125" s="104"/>
      <c r="Z125" s="104"/>
      <c r="AA125" s="104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25"/>
      <c r="AT125" s="91"/>
    </row>
    <row r="126" spans="1:46">
      <c r="A126" s="24"/>
      <c r="C126" s="6"/>
      <c r="D126" s="39"/>
      <c r="E126" s="98"/>
      <c r="F126" s="24"/>
      <c r="G126" s="24"/>
      <c r="H126" s="24"/>
      <c r="I126" s="24"/>
      <c r="J126" s="24"/>
      <c r="K126" s="6"/>
      <c r="L126" s="6"/>
      <c r="M126" s="6"/>
      <c r="N126" s="6"/>
      <c r="O126" s="6"/>
      <c r="P126" s="39"/>
      <c r="Q126" s="6"/>
      <c r="R126" s="6"/>
      <c r="S126" s="6"/>
      <c r="T126" s="6"/>
      <c r="U126" s="6"/>
      <c r="V126" s="24"/>
      <c r="W126" s="98"/>
      <c r="X126" s="39"/>
      <c r="Y126" s="104"/>
      <c r="Z126" s="104"/>
      <c r="AA126" s="104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25"/>
      <c r="AT126" s="91"/>
    </row>
    <row r="127" spans="1:46">
      <c r="A127" s="24"/>
      <c r="C127" s="6"/>
      <c r="D127" s="39"/>
      <c r="E127" s="98"/>
      <c r="F127" s="24"/>
      <c r="G127" s="24"/>
      <c r="H127" s="24"/>
      <c r="I127" s="24"/>
      <c r="J127" s="24"/>
      <c r="K127" s="6"/>
      <c r="L127" s="6"/>
      <c r="M127" s="6"/>
      <c r="N127" s="6"/>
      <c r="O127" s="6"/>
      <c r="P127" s="39"/>
      <c r="Q127" s="6"/>
      <c r="R127" s="6"/>
      <c r="S127" s="6"/>
      <c r="T127" s="6"/>
      <c r="U127" s="6"/>
      <c r="V127" s="24"/>
      <c r="W127" s="98"/>
      <c r="X127" s="39"/>
      <c r="Y127" s="104"/>
      <c r="Z127" s="104"/>
      <c r="AA127" s="104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25"/>
      <c r="AT127" s="91"/>
    </row>
    <row r="128" spans="1:46">
      <c r="A128" s="24"/>
      <c r="C128" s="6"/>
      <c r="D128" s="39"/>
      <c r="E128" s="98"/>
      <c r="F128" s="24"/>
      <c r="G128" s="24"/>
      <c r="H128" s="24"/>
      <c r="I128" s="24"/>
      <c r="J128" s="24"/>
      <c r="K128" s="6"/>
      <c r="L128" s="6"/>
      <c r="M128" s="6"/>
      <c r="N128" s="6"/>
      <c r="O128" s="6"/>
      <c r="P128" s="39"/>
      <c r="Q128" s="6"/>
      <c r="R128" s="6"/>
      <c r="S128" s="6"/>
      <c r="T128" s="6"/>
      <c r="U128" s="6"/>
      <c r="V128" s="24"/>
      <c r="W128" s="98"/>
      <c r="X128" s="39"/>
      <c r="Y128" s="104"/>
      <c r="Z128" s="104"/>
      <c r="AA128" s="104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25"/>
      <c r="AT128" s="91"/>
    </row>
    <row r="129" spans="1:46">
      <c r="A129" s="24"/>
      <c r="C129" s="6"/>
      <c r="D129" s="39"/>
      <c r="E129" s="98"/>
      <c r="F129" s="24"/>
      <c r="G129" s="24"/>
      <c r="H129" s="24"/>
      <c r="I129" s="24"/>
      <c r="J129" s="24"/>
      <c r="K129" s="6"/>
      <c r="L129" s="6"/>
      <c r="M129" s="6"/>
      <c r="N129" s="6"/>
      <c r="O129" s="6"/>
      <c r="P129" s="39"/>
      <c r="Q129" s="6"/>
      <c r="R129" s="6"/>
      <c r="S129" s="6"/>
      <c r="T129" s="6"/>
      <c r="U129" s="6"/>
      <c r="V129" s="24"/>
      <c r="W129" s="98"/>
      <c r="X129" s="39"/>
      <c r="Y129" s="104"/>
      <c r="Z129" s="104"/>
      <c r="AA129" s="104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25"/>
      <c r="AT129" s="91"/>
    </row>
    <row r="130" spans="1:46">
      <c r="A130" s="24"/>
      <c r="C130" s="6"/>
      <c r="D130" s="39"/>
      <c r="E130" s="98"/>
      <c r="F130" s="24"/>
      <c r="G130" s="24"/>
      <c r="H130" s="24"/>
      <c r="I130" s="24"/>
      <c r="J130" s="24"/>
      <c r="K130" s="6"/>
      <c r="L130" s="6"/>
      <c r="M130" s="6"/>
      <c r="N130" s="6"/>
      <c r="O130" s="6"/>
      <c r="P130" s="39"/>
      <c r="Q130" s="6"/>
      <c r="R130" s="6"/>
      <c r="S130" s="6"/>
      <c r="T130" s="6"/>
      <c r="U130" s="6"/>
      <c r="V130" s="24"/>
      <c r="W130" s="98"/>
      <c r="X130" s="39"/>
      <c r="Y130" s="104"/>
      <c r="Z130" s="104"/>
      <c r="AA130" s="104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25"/>
      <c r="AT130" s="91"/>
    </row>
    <row r="131" spans="1:46">
      <c r="A131" s="24"/>
      <c r="C131" s="6"/>
      <c r="D131" s="39"/>
      <c r="E131" s="98"/>
      <c r="F131" s="24"/>
      <c r="G131" s="24"/>
      <c r="H131" s="24"/>
      <c r="I131" s="24"/>
      <c r="J131" s="24"/>
      <c r="K131" s="6"/>
      <c r="L131" s="6"/>
      <c r="M131" s="6"/>
      <c r="N131" s="6"/>
      <c r="O131" s="6"/>
      <c r="P131" s="39"/>
      <c r="Q131" s="6"/>
      <c r="R131" s="6"/>
      <c r="S131" s="6"/>
      <c r="T131" s="6"/>
      <c r="U131" s="6"/>
      <c r="V131" s="24"/>
      <c r="W131" s="98"/>
      <c r="X131" s="39"/>
      <c r="Y131" s="104"/>
      <c r="Z131" s="104"/>
      <c r="AA131" s="104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25"/>
      <c r="AT131" s="91"/>
    </row>
    <row r="132" spans="1:46">
      <c r="A132" s="24"/>
      <c r="C132" s="6"/>
      <c r="D132" s="39"/>
      <c r="E132" s="98"/>
      <c r="F132" s="24"/>
      <c r="G132" s="24"/>
      <c r="H132" s="24"/>
      <c r="I132" s="24"/>
      <c r="J132" s="24"/>
      <c r="K132" s="6"/>
      <c r="L132" s="6"/>
      <c r="M132" s="6"/>
      <c r="N132" s="6"/>
      <c r="O132" s="6"/>
      <c r="P132" s="39"/>
      <c r="Q132" s="6"/>
      <c r="R132" s="6"/>
      <c r="S132" s="6"/>
      <c r="T132" s="6"/>
      <c r="U132" s="6"/>
      <c r="V132" s="24"/>
      <c r="W132" s="98"/>
      <c r="X132" s="39"/>
      <c r="Y132" s="104"/>
      <c r="Z132" s="104"/>
      <c r="AA132" s="104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25"/>
      <c r="AT132" s="91"/>
    </row>
    <row r="133" spans="1:46">
      <c r="A133" s="24"/>
      <c r="C133" s="6"/>
      <c r="D133" s="39"/>
      <c r="E133" s="98"/>
      <c r="F133" s="24"/>
      <c r="G133" s="24"/>
      <c r="H133" s="24"/>
      <c r="I133" s="24"/>
      <c r="J133" s="24"/>
      <c r="K133" s="6"/>
      <c r="L133" s="6"/>
      <c r="M133" s="6"/>
      <c r="N133" s="6"/>
      <c r="O133" s="6"/>
      <c r="P133" s="39"/>
      <c r="Q133" s="6"/>
      <c r="R133" s="6"/>
      <c r="S133" s="6"/>
      <c r="T133" s="6"/>
      <c r="U133" s="6"/>
      <c r="V133" s="24"/>
      <c r="W133" s="98"/>
      <c r="X133" s="39"/>
      <c r="Y133" s="104"/>
      <c r="Z133" s="104"/>
      <c r="AA133" s="104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25"/>
      <c r="AT133" s="91"/>
    </row>
    <row r="134" spans="1:46">
      <c r="A134" s="24"/>
      <c r="C134" s="6"/>
      <c r="D134" s="39"/>
      <c r="E134" s="98"/>
      <c r="F134" s="24"/>
      <c r="G134" s="24"/>
      <c r="H134" s="24"/>
      <c r="I134" s="24"/>
      <c r="J134" s="24"/>
      <c r="K134" s="6"/>
      <c r="L134" s="6"/>
      <c r="M134" s="6"/>
      <c r="N134" s="6"/>
      <c r="O134" s="6"/>
      <c r="P134" s="39"/>
      <c r="Q134" s="6"/>
      <c r="R134" s="6"/>
      <c r="S134" s="6"/>
      <c r="T134" s="6"/>
      <c r="U134" s="6"/>
      <c r="V134" s="24"/>
      <c r="W134" s="98"/>
      <c r="X134" s="39"/>
      <c r="Y134" s="104"/>
      <c r="Z134" s="104"/>
      <c r="AA134" s="104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25"/>
      <c r="AT134" s="91"/>
    </row>
    <row r="135" spans="1:46">
      <c r="A135" s="24"/>
      <c r="C135" s="6"/>
      <c r="D135" s="39"/>
      <c r="E135" s="98"/>
      <c r="F135" s="24"/>
      <c r="G135" s="24"/>
      <c r="H135" s="24"/>
      <c r="I135" s="24"/>
      <c r="J135" s="24"/>
      <c r="K135" s="6"/>
      <c r="L135" s="6"/>
      <c r="M135" s="6"/>
      <c r="N135" s="6"/>
      <c r="O135" s="6"/>
      <c r="P135" s="39"/>
      <c r="Q135" s="6"/>
      <c r="R135" s="6"/>
      <c r="S135" s="6"/>
      <c r="T135" s="6"/>
      <c r="U135" s="6"/>
      <c r="V135" s="24"/>
      <c r="W135" s="98"/>
      <c r="X135" s="39"/>
      <c r="Y135" s="104"/>
      <c r="Z135" s="104"/>
      <c r="AA135" s="104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25"/>
      <c r="AT135" s="91"/>
    </row>
    <row r="136" spans="1:46">
      <c r="A136" s="24"/>
      <c r="C136" s="6"/>
      <c r="D136" s="39"/>
      <c r="E136" s="98"/>
      <c r="F136" s="24"/>
      <c r="G136" s="24"/>
      <c r="H136" s="24"/>
      <c r="I136" s="24"/>
      <c r="J136" s="24"/>
      <c r="K136" s="6"/>
      <c r="L136" s="6"/>
      <c r="M136" s="6"/>
      <c r="N136" s="6"/>
      <c r="O136" s="6"/>
      <c r="P136" s="39"/>
      <c r="Q136" s="6"/>
      <c r="R136" s="6"/>
      <c r="S136" s="6"/>
      <c r="T136" s="6"/>
      <c r="U136" s="6"/>
      <c r="V136" s="24"/>
      <c r="W136" s="98"/>
      <c r="X136" s="39"/>
      <c r="Y136" s="104"/>
      <c r="Z136" s="104"/>
      <c r="AA136" s="104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25"/>
      <c r="AT136" s="91"/>
    </row>
    <row r="137" spans="1:46">
      <c r="A137" s="24"/>
      <c r="C137" s="6"/>
      <c r="D137" s="39"/>
      <c r="E137" s="98"/>
      <c r="F137" s="24"/>
      <c r="G137" s="24"/>
      <c r="H137" s="24"/>
      <c r="I137" s="24"/>
      <c r="J137" s="24"/>
      <c r="K137" s="6"/>
      <c r="L137" s="6"/>
      <c r="M137" s="6"/>
      <c r="N137" s="6"/>
      <c r="O137" s="6"/>
      <c r="P137" s="39"/>
      <c r="Q137" s="6"/>
      <c r="R137" s="6"/>
      <c r="S137" s="6"/>
      <c r="T137" s="6"/>
      <c r="U137" s="6"/>
      <c r="V137" s="24"/>
      <c r="W137" s="98"/>
      <c r="X137" s="39"/>
      <c r="Y137" s="104"/>
      <c r="Z137" s="104"/>
      <c r="AA137" s="104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25"/>
      <c r="AT137" s="91"/>
    </row>
    <row r="138" spans="1:46">
      <c r="A138" s="24"/>
      <c r="C138" s="6"/>
      <c r="D138" s="39"/>
      <c r="E138" s="98"/>
      <c r="F138" s="24"/>
      <c r="G138" s="24"/>
      <c r="H138" s="24"/>
      <c r="I138" s="24"/>
      <c r="J138" s="24"/>
      <c r="K138" s="6"/>
      <c r="L138" s="6"/>
      <c r="M138" s="6"/>
      <c r="N138" s="6"/>
      <c r="O138" s="6"/>
      <c r="P138" s="39"/>
      <c r="Q138" s="6"/>
      <c r="R138" s="6"/>
      <c r="S138" s="6"/>
      <c r="T138" s="6"/>
      <c r="U138" s="6"/>
      <c r="V138" s="24"/>
      <c r="W138" s="98"/>
      <c r="X138" s="39"/>
      <c r="Y138" s="104"/>
      <c r="Z138" s="104"/>
      <c r="AA138" s="104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25"/>
      <c r="AT138" s="91"/>
    </row>
    <row r="139" spans="1:46">
      <c r="A139" s="24"/>
      <c r="C139" s="6"/>
      <c r="D139" s="39"/>
      <c r="E139" s="98"/>
      <c r="F139" s="24"/>
      <c r="G139" s="24"/>
      <c r="H139" s="24"/>
      <c r="I139" s="24"/>
      <c r="J139" s="24"/>
      <c r="K139" s="6"/>
      <c r="L139" s="6"/>
      <c r="M139" s="6"/>
      <c r="N139" s="6"/>
      <c r="O139" s="6"/>
      <c r="P139" s="39"/>
      <c r="Q139" s="6"/>
      <c r="R139" s="6"/>
      <c r="S139" s="6"/>
      <c r="T139" s="6"/>
      <c r="U139" s="6"/>
      <c r="V139" s="24"/>
      <c r="W139" s="98"/>
      <c r="X139" s="39"/>
      <c r="Y139" s="104"/>
      <c r="Z139" s="104"/>
      <c r="AA139" s="104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25"/>
      <c r="AT139" s="91"/>
    </row>
    <row r="140" spans="1:46">
      <c r="A140" s="24"/>
      <c r="C140" s="6"/>
      <c r="D140" s="39"/>
      <c r="E140" s="98"/>
      <c r="F140" s="24"/>
      <c r="G140" s="24"/>
      <c r="H140" s="24"/>
      <c r="I140" s="24"/>
      <c r="J140" s="24"/>
      <c r="K140" s="6"/>
      <c r="L140" s="6"/>
      <c r="M140" s="6"/>
      <c r="N140" s="6"/>
      <c r="O140" s="6"/>
      <c r="P140" s="39"/>
      <c r="Q140" s="6"/>
      <c r="R140" s="6"/>
      <c r="S140" s="6"/>
      <c r="T140" s="6"/>
      <c r="U140" s="6"/>
      <c r="V140" s="24"/>
      <c r="W140" s="98"/>
      <c r="X140" s="39"/>
      <c r="Y140" s="104"/>
      <c r="Z140" s="104"/>
      <c r="AA140" s="104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25"/>
      <c r="AT140" s="91"/>
    </row>
    <row r="141" spans="1:46">
      <c r="A141" s="24"/>
      <c r="C141" s="6"/>
      <c r="D141" s="39"/>
      <c r="E141" s="98"/>
      <c r="F141" s="24"/>
      <c r="G141" s="24"/>
      <c r="H141" s="24"/>
      <c r="I141" s="24"/>
      <c r="J141" s="24"/>
      <c r="K141" s="6"/>
      <c r="L141" s="6"/>
      <c r="M141" s="6"/>
      <c r="N141" s="6"/>
      <c r="O141" s="6"/>
      <c r="P141" s="39"/>
      <c r="Q141" s="6"/>
      <c r="R141" s="6"/>
      <c r="S141" s="6"/>
      <c r="T141" s="6"/>
      <c r="U141" s="6"/>
      <c r="V141" s="24"/>
      <c r="W141" s="98"/>
      <c r="X141" s="39"/>
      <c r="Y141" s="104"/>
      <c r="Z141" s="104"/>
      <c r="AA141" s="104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25"/>
      <c r="AT141" s="91"/>
    </row>
    <row r="142" spans="1:46">
      <c r="A142" s="24"/>
      <c r="C142" s="6"/>
      <c r="D142" s="39"/>
      <c r="E142" s="98"/>
      <c r="F142" s="24"/>
      <c r="G142" s="24"/>
      <c r="H142" s="24"/>
      <c r="I142" s="24"/>
      <c r="J142" s="24"/>
      <c r="K142" s="6"/>
      <c r="L142" s="6"/>
      <c r="M142" s="6"/>
      <c r="N142" s="6"/>
      <c r="O142" s="6"/>
      <c r="P142" s="39"/>
      <c r="Q142" s="6"/>
      <c r="R142" s="6"/>
      <c r="S142" s="6"/>
      <c r="T142" s="6"/>
      <c r="U142" s="6"/>
      <c r="V142" s="24"/>
      <c r="W142" s="98"/>
      <c r="X142" s="39"/>
      <c r="Y142" s="104"/>
      <c r="Z142" s="104"/>
      <c r="AA142" s="104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25"/>
      <c r="AT142" s="91"/>
    </row>
    <row r="143" spans="1:46">
      <c r="A143" s="24"/>
      <c r="C143" s="6"/>
      <c r="D143" s="39"/>
      <c r="E143" s="98"/>
      <c r="F143" s="24"/>
      <c r="G143" s="24"/>
      <c r="H143" s="24"/>
      <c r="I143" s="24"/>
      <c r="J143" s="24"/>
      <c r="K143" s="6"/>
      <c r="L143" s="6"/>
      <c r="M143" s="6"/>
      <c r="N143" s="6"/>
      <c r="O143" s="6"/>
      <c r="P143" s="39"/>
      <c r="Q143" s="6"/>
      <c r="R143" s="6"/>
      <c r="S143" s="6"/>
      <c r="T143" s="6"/>
      <c r="U143" s="6"/>
      <c r="V143" s="24"/>
      <c r="W143" s="98"/>
      <c r="X143" s="39"/>
      <c r="Y143" s="104"/>
      <c r="Z143" s="104"/>
      <c r="AA143" s="104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25"/>
      <c r="AT143" s="91"/>
    </row>
    <row r="144" spans="1:46">
      <c r="A144" s="24"/>
      <c r="C144" s="6"/>
      <c r="D144" s="39"/>
      <c r="E144" s="98"/>
      <c r="F144" s="24"/>
      <c r="G144" s="24"/>
      <c r="H144" s="24"/>
      <c r="I144" s="24"/>
      <c r="J144" s="24"/>
      <c r="K144" s="6"/>
      <c r="L144" s="6"/>
      <c r="M144" s="6"/>
      <c r="N144" s="6"/>
      <c r="O144" s="6"/>
      <c r="P144" s="39"/>
      <c r="Q144" s="6"/>
      <c r="R144" s="6"/>
      <c r="S144" s="6"/>
      <c r="T144" s="6"/>
      <c r="U144" s="6"/>
      <c r="V144" s="24"/>
      <c r="W144" s="98"/>
      <c r="X144" s="39"/>
      <c r="Y144" s="104"/>
      <c r="Z144" s="104"/>
      <c r="AA144" s="104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25"/>
      <c r="AT144" s="91"/>
    </row>
    <row r="145" spans="1:46">
      <c r="A145" s="24"/>
      <c r="C145" s="6"/>
      <c r="D145" s="39"/>
      <c r="E145" s="98"/>
      <c r="F145" s="24"/>
      <c r="G145" s="24"/>
      <c r="H145" s="24"/>
      <c r="I145" s="24"/>
      <c r="J145" s="24"/>
      <c r="K145" s="6"/>
      <c r="L145" s="6"/>
      <c r="M145" s="6"/>
      <c r="N145" s="6"/>
      <c r="O145" s="6"/>
      <c r="P145" s="39"/>
      <c r="Q145" s="6"/>
      <c r="R145" s="6"/>
      <c r="S145" s="6"/>
      <c r="T145" s="6"/>
      <c r="U145" s="6"/>
      <c r="V145" s="24"/>
      <c r="W145" s="98"/>
      <c r="X145" s="39"/>
      <c r="Y145" s="104"/>
      <c r="Z145" s="104"/>
      <c r="AA145" s="104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25"/>
      <c r="AT145" s="91"/>
    </row>
    <row r="146" spans="1:46">
      <c r="A146" s="24"/>
      <c r="C146" s="6"/>
      <c r="D146" s="39"/>
      <c r="E146" s="98"/>
      <c r="F146" s="24"/>
      <c r="G146" s="24"/>
      <c r="H146" s="24"/>
      <c r="I146" s="24"/>
      <c r="J146" s="24"/>
      <c r="K146" s="6"/>
      <c r="L146" s="6"/>
      <c r="M146" s="6"/>
      <c r="N146" s="6"/>
      <c r="O146" s="6"/>
      <c r="P146" s="39"/>
      <c r="Q146" s="6"/>
      <c r="R146" s="6"/>
      <c r="S146" s="6"/>
      <c r="T146" s="6"/>
      <c r="U146" s="6"/>
      <c r="V146" s="24"/>
      <c r="W146" s="98"/>
      <c r="X146" s="39"/>
      <c r="Y146" s="104"/>
      <c r="Z146" s="104"/>
      <c r="AA146" s="104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25"/>
      <c r="AT146" s="91"/>
    </row>
    <row r="147" spans="1:46">
      <c r="A147" s="24"/>
      <c r="C147" s="6"/>
      <c r="D147" s="39"/>
      <c r="E147" s="98"/>
      <c r="F147" s="24"/>
      <c r="G147" s="24"/>
      <c r="H147" s="24"/>
      <c r="I147" s="24"/>
      <c r="J147" s="24"/>
      <c r="K147" s="6"/>
      <c r="L147" s="6"/>
      <c r="M147" s="6"/>
      <c r="N147" s="6"/>
      <c r="O147" s="6"/>
      <c r="P147" s="39"/>
      <c r="Q147" s="6"/>
      <c r="R147" s="6"/>
      <c r="S147" s="6"/>
      <c r="T147" s="6"/>
      <c r="U147" s="6"/>
      <c r="V147" s="24"/>
      <c r="W147" s="98"/>
      <c r="X147" s="39"/>
      <c r="Y147" s="104"/>
      <c r="Z147" s="104"/>
      <c r="AA147" s="104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25"/>
      <c r="AT147" s="91"/>
    </row>
    <row r="148" spans="1:46">
      <c r="A148" s="24"/>
      <c r="C148" s="6"/>
      <c r="D148" s="39"/>
      <c r="E148" s="98"/>
      <c r="F148" s="24"/>
      <c r="G148" s="24"/>
      <c r="H148" s="24"/>
      <c r="I148" s="24"/>
      <c r="J148" s="24"/>
      <c r="K148" s="6"/>
      <c r="L148" s="6"/>
      <c r="M148" s="6"/>
      <c r="N148" s="6"/>
      <c r="O148" s="6"/>
      <c r="P148" s="39"/>
      <c r="Q148" s="6"/>
      <c r="R148" s="6"/>
      <c r="S148" s="6"/>
      <c r="T148" s="6"/>
      <c r="U148" s="6"/>
      <c r="V148" s="24"/>
      <c r="W148" s="98"/>
      <c r="X148" s="39"/>
      <c r="Y148" s="104"/>
      <c r="Z148" s="104"/>
      <c r="AA148" s="104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25"/>
      <c r="AT148" s="91"/>
    </row>
    <row r="149" spans="1:46">
      <c r="A149" s="24"/>
      <c r="C149" s="6"/>
      <c r="D149" s="39"/>
      <c r="E149" s="98"/>
      <c r="F149" s="24"/>
      <c r="G149" s="24"/>
      <c r="H149" s="24"/>
      <c r="I149" s="24"/>
      <c r="J149" s="24"/>
      <c r="K149" s="6"/>
      <c r="L149" s="6"/>
      <c r="M149" s="6"/>
      <c r="N149" s="6"/>
      <c r="O149" s="6"/>
      <c r="P149" s="39"/>
      <c r="Q149" s="6"/>
      <c r="R149" s="6"/>
      <c r="S149" s="6"/>
      <c r="T149" s="6"/>
      <c r="U149" s="6"/>
      <c r="V149" s="24"/>
      <c r="W149" s="98"/>
      <c r="X149" s="39"/>
      <c r="Y149" s="104"/>
      <c r="Z149" s="104"/>
      <c r="AA149" s="104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25"/>
      <c r="AT149" s="91"/>
    </row>
    <row r="150" spans="1:46">
      <c r="A150" s="24"/>
      <c r="C150" s="6"/>
      <c r="D150" s="39"/>
      <c r="E150" s="98"/>
      <c r="F150" s="24"/>
      <c r="G150" s="24"/>
      <c r="H150" s="24"/>
      <c r="I150" s="24"/>
      <c r="J150" s="24"/>
      <c r="K150" s="6"/>
      <c r="L150" s="6"/>
      <c r="M150" s="6"/>
      <c r="N150" s="6"/>
      <c r="O150" s="6"/>
      <c r="P150" s="39"/>
      <c r="Q150" s="6"/>
      <c r="R150" s="6"/>
      <c r="S150" s="6"/>
      <c r="T150" s="6"/>
      <c r="U150" s="6"/>
      <c r="V150" s="24"/>
      <c r="W150" s="98"/>
      <c r="X150" s="39"/>
      <c r="Y150" s="104"/>
      <c r="Z150" s="104"/>
      <c r="AA150" s="104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25"/>
      <c r="AT150" s="91"/>
    </row>
    <row r="151" spans="1:46">
      <c r="A151" s="24"/>
      <c r="C151" s="6"/>
      <c r="D151" s="39"/>
      <c r="E151" s="98"/>
      <c r="F151" s="24"/>
      <c r="G151" s="24"/>
      <c r="H151" s="24"/>
      <c r="I151" s="24"/>
      <c r="J151" s="24"/>
      <c r="K151" s="6"/>
      <c r="L151" s="6"/>
      <c r="M151" s="6"/>
      <c r="N151" s="6"/>
      <c r="O151" s="6"/>
      <c r="P151" s="39"/>
      <c r="Q151" s="6"/>
      <c r="R151" s="6"/>
      <c r="S151" s="6"/>
      <c r="T151" s="6"/>
      <c r="U151" s="6"/>
      <c r="V151" s="24"/>
      <c r="W151" s="98"/>
      <c r="X151" s="39"/>
      <c r="Y151" s="104"/>
      <c r="Z151" s="104"/>
      <c r="AA151" s="104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25"/>
      <c r="AT151" s="91"/>
    </row>
    <row r="152" spans="1:46">
      <c r="A152" s="24"/>
      <c r="C152" s="6"/>
      <c r="D152" s="39"/>
      <c r="E152" s="98"/>
      <c r="F152" s="24"/>
      <c r="G152" s="24"/>
      <c r="H152" s="24"/>
      <c r="I152" s="24"/>
      <c r="J152" s="24"/>
      <c r="K152" s="6"/>
      <c r="L152" s="6"/>
      <c r="M152" s="6"/>
      <c r="N152" s="6"/>
      <c r="O152" s="6"/>
      <c r="P152" s="39"/>
      <c r="Q152" s="6"/>
      <c r="R152" s="6"/>
      <c r="S152" s="6"/>
      <c r="T152" s="6"/>
      <c r="U152" s="6"/>
      <c r="V152" s="24"/>
      <c r="W152" s="98"/>
      <c r="X152" s="39"/>
      <c r="Y152" s="104"/>
      <c r="Z152" s="104"/>
      <c r="AA152" s="104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25"/>
      <c r="AT152" s="91"/>
    </row>
    <row r="153" spans="1:46">
      <c r="A153" s="24"/>
      <c r="C153" s="6"/>
      <c r="D153" s="39"/>
      <c r="E153" s="98"/>
      <c r="F153" s="24"/>
      <c r="G153" s="24"/>
      <c r="H153" s="24"/>
      <c r="I153" s="24"/>
      <c r="J153" s="24"/>
      <c r="K153" s="6"/>
      <c r="L153" s="6"/>
      <c r="M153" s="6"/>
      <c r="N153" s="6"/>
      <c r="O153" s="6"/>
      <c r="P153" s="39"/>
      <c r="Q153" s="6"/>
      <c r="R153" s="6"/>
      <c r="S153" s="6"/>
      <c r="T153" s="6"/>
      <c r="U153" s="6"/>
      <c r="V153" s="24"/>
      <c r="W153" s="98"/>
      <c r="X153" s="39"/>
      <c r="Y153" s="104"/>
      <c r="Z153" s="104"/>
      <c r="AA153" s="104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25"/>
      <c r="AT153" s="91"/>
    </row>
    <row r="154" spans="1:46">
      <c r="A154" s="24"/>
      <c r="C154" s="6"/>
      <c r="D154" s="39"/>
      <c r="E154" s="98"/>
      <c r="F154" s="24"/>
      <c r="G154" s="24"/>
      <c r="H154" s="24"/>
      <c r="I154" s="24"/>
      <c r="J154" s="24"/>
      <c r="K154" s="6"/>
      <c r="L154" s="6"/>
      <c r="M154" s="6"/>
      <c r="N154" s="6"/>
      <c r="O154" s="6"/>
      <c r="P154" s="39"/>
      <c r="Q154" s="6"/>
      <c r="R154" s="6"/>
      <c r="S154" s="6"/>
      <c r="T154" s="6"/>
      <c r="U154" s="6"/>
      <c r="V154" s="24"/>
      <c r="W154" s="98"/>
      <c r="X154" s="39"/>
      <c r="Y154" s="104"/>
      <c r="Z154" s="104"/>
      <c r="AA154" s="104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25"/>
      <c r="AT154" s="91"/>
    </row>
    <row r="155" spans="1:46">
      <c r="A155" s="24"/>
      <c r="C155" s="6"/>
      <c r="D155" s="39"/>
      <c r="E155" s="98"/>
      <c r="F155" s="24"/>
      <c r="G155" s="24"/>
      <c r="H155" s="24"/>
      <c r="I155" s="24"/>
      <c r="J155" s="24"/>
      <c r="K155" s="6"/>
      <c r="L155" s="6"/>
      <c r="M155" s="6"/>
      <c r="N155" s="6"/>
      <c r="O155" s="6"/>
      <c r="P155" s="39"/>
      <c r="Q155" s="6"/>
      <c r="R155" s="6"/>
      <c r="S155" s="6"/>
      <c r="T155" s="6"/>
      <c r="U155" s="6"/>
      <c r="V155" s="24"/>
      <c r="W155" s="98"/>
      <c r="X155" s="39"/>
      <c r="Y155" s="104"/>
      <c r="Z155" s="104"/>
      <c r="AA155" s="104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25"/>
      <c r="AT155" s="91"/>
    </row>
    <row r="156" spans="1:46">
      <c r="A156" s="24"/>
      <c r="C156" s="6"/>
      <c r="D156" s="39"/>
      <c r="E156" s="98"/>
      <c r="F156" s="24"/>
      <c r="G156" s="24"/>
      <c r="H156" s="24"/>
      <c r="I156" s="24"/>
      <c r="J156" s="24"/>
      <c r="K156" s="6"/>
      <c r="L156" s="6"/>
      <c r="M156" s="6"/>
      <c r="N156" s="6"/>
      <c r="O156" s="6"/>
      <c r="P156" s="39"/>
      <c r="Q156" s="6"/>
      <c r="R156" s="6"/>
      <c r="S156" s="6"/>
      <c r="T156" s="6"/>
      <c r="U156" s="6"/>
      <c r="V156" s="24"/>
      <c r="W156" s="98"/>
      <c r="X156" s="39"/>
      <c r="Y156" s="104"/>
      <c r="Z156" s="104"/>
      <c r="AA156" s="104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25"/>
      <c r="AT156" s="91"/>
    </row>
    <row r="157" spans="1:46">
      <c r="A157" s="24"/>
      <c r="C157" s="6"/>
      <c r="D157" s="39"/>
      <c r="E157" s="98"/>
      <c r="F157" s="24"/>
      <c r="G157" s="24"/>
      <c r="H157" s="24"/>
      <c r="I157" s="24"/>
      <c r="J157" s="24"/>
      <c r="K157" s="6"/>
      <c r="L157" s="6"/>
      <c r="M157" s="6"/>
      <c r="N157" s="6"/>
      <c r="O157" s="6"/>
      <c r="P157" s="39"/>
      <c r="Q157" s="6"/>
      <c r="R157" s="6"/>
      <c r="S157" s="6"/>
      <c r="T157" s="6"/>
      <c r="U157" s="6"/>
      <c r="V157" s="24"/>
      <c r="W157" s="98"/>
      <c r="X157" s="39"/>
      <c r="Y157" s="104"/>
      <c r="Z157" s="104"/>
      <c r="AA157" s="104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25"/>
      <c r="AT157" s="91"/>
    </row>
    <row r="158" spans="1:46">
      <c r="A158" s="24"/>
      <c r="C158" s="6"/>
      <c r="D158" s="39"/>
      <c r="E158" s="98"/>
      <c r="F158" s="24"/>
      <c r="G158" s="24"/>
      <c r="H158" s="24"/>
      <c r="I158" s="24"/>
      <c r="J158" s="24"/>
      <c r="K158" s="6"/>
      <c r="L158" s="6"/>
      <c r="M158" s="6"/>
      <c r="N158" s="6"/>
      <c r="O158" s="6"/>
      <c r="P158" s="39"/>
      <c r="Q158" s="6"/>
      <c r="R158" s="6"/>
      <c r="S158" s="6"/>
      <c r="T158" s="6"/>
      <c r="U158" s="6"/>
      <c r="V158" s="24"/>
      <c r="W158" s="98"/>
      <c r="X158" s="39"/>
      <c r="Y158" s="104"/>
      <c r="Z158" s="104"/>
      <c r="AA158" s="104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25"/>
      <c r="AT158" s="91"/>
    </row>
    <row r="159" spans="1:46">
      <c r="A159" s="24"/>
      <c r="C159" s="6"/>
      <c r="D159" s="39"/>
      <c r="E159" s="98"/>
      <c r="F159" s="24"/>
      <c r="G159" s="24"/>
      <c r="H159" s="24"/>
      <c r="I159" s="24"/>
      <c r="J159" s="24"/>
      <c r="K159" s="6"/>
      <c r="L159" s="6"/>
      <c r="M159" s="6"/>
      <c r="N159" s="6"/>
      <c r="O159" s="6"/>
      <c r="P159" s="39"/>
      <c r="Q159" s="6"/>
      <c r="R159" s="6"/>
      <c r="S159" s="6"/>
      <c r="T159" s="6"/>
      <c r="U159" s="6"/>
      <c r="V159" s="24"/>
      <c r="W159" s="98"/>
      <c r="X159" s="39"/>
      <c r="Y159" s="104"/>
      <c r="Z159" s="104"/>
      <c r="AA159" s="104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25"/>
      <c r="AT159" s="91"/>
    </row>
    <row r="160" spans="1:46">
      <c r="A160" s="24"/>
      <c r="C160" s="6"/>
      <c r="D160" s="39"/>
      <c r="E160" s="98"/>
      <c r="F160" s="24"/>
      <c r="G160" s="24"/>
      <c r="H160" s="24"/>
      <c r="I160" s="24"/>
      <c r="J160" s="24"/>
      <c r="K160" s="6"/>
      <c r="L160" s="6"/>
      <c r="M160" s="6"/>
      <c r="N160" s="6"/>
      <c r="O160" s="6"/>
      <c r="P160" s="39"/>
      <c r="Q160" s="6"/>
      <c r="R160" s="6"/>
      <c r="S160" s="6"/>
      <c r="T160" s="6"/>
      <c r="U160" s="6"/>
      <c r="V160" s="24"/>
      <c r="W160" s="98"/>
      <c r="X160" s="39"/>
      <c r="Y160" s="104"/>
      <c r="Z160" s="104"/>
      <c r="AA160" s="104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25"/>
      <c r="AT160" s="91"/>
    </row>
    <row r="161" spans="1:46">
      <c r="A161" s="24"/>
      <c r="C161" s="6"/>
      <c r="D161" s="39"/>
      <c r="E161" s="98"/>
      <c r="F161" s="24"/>
      <c r="G161" s="24"/>
      <c r="H161" s="24"/>
      <c r="I161" s="24"/>
      <c r="J161" s="24"/>
      <c r="K161" s="6"/>
      <c r="L161" s="6"/>
      <c r="M161" s="6"/>
      <c r="N161" s="6"/>
      <c r="O161" s="6"/>
      <c r="P161" s="39"/>
      <c r="Q161" s="6"/>
      <c r="R161" s="6"/>
      <c r="S161" s="6"/>
      <c r="T161" s="6"/>
      <c r="U161" s="6"/>
      <c r="V161" s="24"/>
      <c r="W161" s="98"/>
      <c r="X161" s="39"/>
      <c r="Y161" s="104"/>
      <c r="Z161" s="104"/>
      <c r="AA161" s="104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25"/>
      <c r="AT161" s="91"/>
    </row>
    <row r="162" spans="1:46">
      <c r="A162" s="24"/>
      <c r="C162" s="6"/>
      <c r="D162" s="39"/>
      <c r="E162" s="98"/>
      <c r="F162" s="24"/>
      <c r="G162" s="24"/>
      <c r="H162" s="24"/>
      <c r="I162" s="24"/>
      <c r="J162" s="24"/>
      <c r="K162" s="6"/>
      <c r="L162" s="6"/>
      <c r="M162" s="6"/>
      <c r="N162" s="6"/>
      <c r="O162" s="6"/>
      <c r="P162" s="39"/>
      <c r="Q162" s="6"/>
      <c r="R162" s="6"/>
      <c r="S162" s="6"/>
      <c r="T162" s="6"/>
      <c r="U162" s="6"/>
      <c r="V162" s="24"/>
      <c r="W162" s="98"/>
      <c r="X162" s="39"/>
      <c r="Y162" s="104"/>
      <c r="Z162" s="104"/>
      <c r="AA162" s="104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25"/>
      <c r="AT162" s="91"/>
    </row>
    <row r="163" spans="1:46">
      <c r="A163" s="24"/>
      <c r="C163" s="6"/>
      <c r="D163" s="39"/>
      <c r="E163" s="98"/>
      <c r="F163" s="24"/>
      <c r="G163" s="24"/>
      <c r="H163" s="24"/>
      <c r="I163" s="24"/>
      <c r="J163" s="24"/>
      <c r="K163" s="6"/>
      <c r="L163" s="6"/>
      <c r="M163" s="6"/>
      <c r="N163" s="6"/>
      <c r="O163" s="6"/>
      <c r="P163" s="39"/>
      <c r="Q163" s="6"/>
      <c r="R163" s="6"/>
      <c r="S163" s="6"/>
      <c r="T163" s="6"/>
      <c r="U163" s="6"/>
      <c r="V163" s="24"/>
      <c r="W163" s="98"/>
      <c r="X163" s="39"/>
      <c r="Y163" s="104"/>
      <c r="Z163" s="104"/>
      <c r="AA163" s="104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25"/>
      <c r="AT163" s="91"/>
    </row>
    <row r="164" spans="1:46">
      <c r="A164" s="24"/>
      <c r="C164" s="6"/>
      <c r="D164" s="39"/>
      <c r="E164" s="98"/>
      <c r="F164" s="24"/>
      <c r="G164" s="24"/>
      <c r="H164" s="24"/>
      <c r="I164" s="24"/>
      <c r="J164" s="24"/>
      <c r="K164" s="6"/>
      <c r="L164" s="6"/>
      <c r="M164" s="6"/>
      <c r="N164" s="6"/>
      <c r="O164" s="6"/>
      <c r="P164" s="39"/>
      <c r="Q164" s="6"/>
      <c r="R164" s="6"/>
      <c r="S164" s="6"/>
      <c r="T164" s="6"/>
      <c r="U164" s="6"/>
      <c r="V164" s="24"/>
      <c r="W164" s="98"/>
      <c r="X164" s="39"/>
      <c r="Y164" s="104"/>
      <c r="Z164" s="104"/>
      <c r="AA164" s="104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25"/>
      <c r="AT164" s="91"/>
    </row>
    <row r="165" spans="1:46">
      <c r="A165" s="24"/>
      <c r="C165" s="6"/>
      <c r="D165" s="39"/>
      <c r="E165" s="98"/>
      <c r="F165" s="24"/>
      <c r="G165" s="24"/>
      <c r="H165" s="24"/>
      <c r="I165" s="24"/>
      <c r="J165" s="24"/>
      <c r="K165" s="6"/>
      <c r="L165" s="6"/>
      <c r="M165" s="6"/>
      <c r="N165" s="6"/>
      <c r="O165" s="6"/>
      <c r="P165" s="39"/>
      <c r="Q165" s="6"/>
      <c r="R165" s="6"/>
      <c r="S165" s="6"/>
      <c r="T165" s="6"/>
      <c r="U165" s="6"/>
      <c r="V165" s="24"/>
      <c r="W165" s="98"/>
      <c r="X165" s="39"/>
      <c r="Y165" s="104"/>
      <c r="Z165" s="104"/>
      <c r="AA165" s="104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25"/>
      <c r="AT165" s="91"/>
    </row>
    <row r="166" spans="1:46">
      <c r="A166" s="24"/>
      <c r="C166" s="6"/>
      <c r="D166" s="39"/>
      <c r="E166" s="98"/>
      <c r="F166" s="24"/>
      <c r="G166" s="24"/>
      <c r="H166" s="24"/>
      <c r="I166" s="24"/>
      <c r="J166" s="24"/>
      <c r="K166" s="6"/>
      <c r="L166" s="6"/>
      <c r="M166" s="6"/>
      <c r="N166" s="6"/>
      <c r="O166" s="6"/>
      <c r="P166" s="39"/>
      <c r="Q166" s="6"/>
      <c r="R166" s="6"/>
      <c r="S166" s="6"/>
      <c r="T166" s="6"/>
      <c r="U166" s="6"/>
      <c r="V166" s="24"/>
      <c r="W166" s="98"/>
      <c r="X166" s="39"/>
      <c r="Y166" s="104"/>
      <c r="Z166" s="104"/>
      <c r="AA166" s="104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25"/>
      <c r="AT166" s="91"/>
    </row>
    <row r="167" spans="1:46">
      <c r="A167" s="24"/>
      <c r="C167" s="6"/>
      <c r="D167" s="39"/>
      <c r="E167" s="98"/>
      <c r="F167" s="24"/>
      <c r="G167" s="24"/>
      <c r="H167" s="24"/>
      <c r="I167" s="24"/>
      <c r="J167" s="24"/>
      <c r="K167" s="6"/>
      <c r="L167" s="6"/>
      <c r="M167" s="6"/>
      <c r="N167" s="6"/>
      <c r="O167" s="6"/>
      <c r="P167" s="39"/>
      <c r="Q167" s="6"/>
      <c r="R167" s="6"/>
      <c r="S167" s="6"/>
      <c r="T167" s="6"/>
      <c r="U167" s="6"/>
      <c r="V167" s="24"/>
      <c r="W167" s="98"/>
      <c r="X167" s="39"/>
      <c r="Y167" s="104"/>
      <c r="Z167" s="104"/>
      <c r="AA167" s="104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25"/>
      <c r="AT167" s="91"/>
    </row>
    <row r="168" spans="1:46">
      <c r="A168" s="24"/>
      <c r="C168" s="6"/>
      <c r="D168" s="39"/>
      <c r="E168" s="98"/>
      <c r="F168" s="24"/>
      <c r="G168" s="24"/>
      <c r="H168" s="24"/>
      <c r="I168" s="24"/>
      <c r="J168" s="24"/>
      <c r="K168" s="6"/>
      <c r="L168" s="6"/>
      <c r="M168" s="6"/>
      <c r="N168" s="6"/>
      <c r="O168" s="6"/>
      <c r="P168" s="39"/>
      <c r="Q168" s="6"/>
      <c r="R168" s="6"/>
      <c r="S168" s="6"/>
      <c r="T168" s="6"/>
      <c r="U168" s="6"/>
      <c r="V168" s="24"/>
      <c r="W168" s="98"/>
      <c r="X168" s="39"/>
      <c r="Y168" s="104"/>
      <c r="Z168" s="104"/>
      <c r="AA168" s="104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25"/>
      <c r="AT168" s="91"/>
    </row>
    <row r="169" spans="1:46">
      <c r="A169" s="24"/>
      <c r="C169" s="6"/>
      <c r="D169" s="39"/>
      <c r="E169" s="98"/>
      <c r="F169" s="24"/>
      <c r="G169" s="24"/>
      <c r="H169" s="24"/>
      <c r="I169" s="24"/>
      <c r="J169" s="24"/>
      <c r="K169" s="6"/>
      <c r="L169" s="6"/>
      <c r="M169" s="6"/>
      <c r="N169" s="6"/>
      <c r="O169" s="6"/>
      <c r="P169" s="39"/>
      <c r="Q169" s="6"/>
      <c r="R169" s="6"/>
      <c r="S169" s="6"/>
      <c r="T169" s="6"/>
      <c r="U169" s="6"/>
      <c r="V169" s="24"/>
      <c r="W169" s="98"/>
      <c r="X169" s="39"/>
      <c r="Y169" s="104"/>
      <c r="Z169" s="104"/>
      <c r="AA169" s="104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25"/>
      <c r="AT169" s="91"/>
    </row>
    <row r="170" spans="1:46">
      <c r="A170" s="24"/>
      <c r="C170" s="6"/>
      <c r="D170" s="39"/>
      <c r="E170" s="98"/>
      <c r="F170" s="24"/>
      <c r="G170" s="24"/>
      <c r="H170" s="24"/>
      <c r="I170" s="24"/>
      <c r="J170" s="24"/>
      <c r="K170" s="6"/>
      <c r="L170" s="6"/>
      <c r="M170" s="6"/>
      <c r="N170" s="6"/>
      <c r="O170" s="6"/>
      <c r="P170" s="39"/>
      <c r="Q170" s="6"/>
      <c r="R170" s="6"/>
      <c r="S170" s="6"/>
      <c r="T170" s="6"/>
      <c r="U170" s="6"/>
      <c r="V170" s="24"/>
      <c r="W170" s="98"/>
      <c r="X170" s="39"/>
      <c r="Y170" s="104"/>
      <c r="Z170" s="104"/>
      <c r="AA170" s="104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25"/>
      <c r="AT170" s="91"/>
    </row>
    <row r="171" spans="1:46">
      <c r="A171" s="24"/>
      <c r="C171" s="6"/>
      <c r="D171" s="39"/>
      <c r="E171" s="98"/>
      <c r="F171" s="24"/>
      <c r="G171" s="24"/>
      <c r="H171" s="24"/>
      <c r="I171" s="24"/>
      <c r="J171" s="24"/>
      <c r="K171" s="6"/>
      <c r="L171" s="6"/>
      <c r="M171" s="6"/>
      <c r="N171" s="6"/>
      <c r="O171" s="6"/>
      <c r="P171" s="39"/>
      <c r="Q171" s="6"/>
      <c r="R171" s="6"/>
      <c r="S171" s="6"/>
      <c r="T171" s="6"/>
      <c r="U171" s="6"/>
      <c r="V171" s="24"/>
      <c r="W171" s="98"/>
      <c r="X171" s="39"/>
      <c r="Y171" s="104"/>
      <c r="Z171" s="104"/>
      <c r="AA171" s="104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25"/>
      <c r="AT171" s="91"/>
    </row>
    <row r="172" spans="1:46">
      <c r="A172" s="24"/>
      <c r="C172" s="6"/>
      <c r="D172" s="39"/>
      <c r="E172" s="98"/>
      <c r="F172" s="24"/>
      <c r="G172" s="24"/>
      <c r="H172" s="24"/>
      <c r="I172" s="24"/>
      <c r="J172" s="24"/>
      <c r="K172" s="6"/>
      <c r="L172" s="6"/>
      <c r="M172" s="6"/>
      <c r="N172" s="6"/>
      <c r="O172" s="6"/>
      <c r="P172" s="39"/>
      <c r="Q172" s="6"/>
      <c r="R172" s="6"/>
      <c r="S172" s="6"/>
      <c r="T172" s="6"/>
      <c r="U172" s="6"/>
      <c r="V172" s="24"/>
      <c r="W172" s="98"/>
      <c r="X172" s="39"/>
      <c r="Y172" s="104"/>
      <c r="Z172" s="104"/>
      <c r="AA172" s="104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25"/>
      <c r="AT172" s="91"/>
    </row>
    <row r="173" spans="1:46">
      <c r="A173" s="24"/>
      <c r="C173" s="6"/>
      <c r="D173" s="39"/>
      <c r="E173" s="98"/>
      <c r="F173" s="24"/>
      <c r="G173" s="24"/>
      <c r="H173" s="24"/>
      <c r="I173" s="24"/>
      <c r="J173" s="24"/>
      <c r="K173" s="6"/>
      <c r="L173" s="6"/>
      <c r="M173" s="6"/>
      <c r="N173" s="6"/>
      <c r="O173" s="6"/>
      <c r="P173" s="39"/>
      <c r="Q173" s="6"/>
      <c r="R173" s="6"/>
      <c r="S173" s="6"/>
      <c r="T173" s="6"/>
      <c r="U173" s="6"/>
      <c r="V173" s="24"/>
      <c r="W173" s="98"/>
      <c r="X173" s="39"/>
      <c r="Y173" s="104"/>
      <c r="Z173" s="104"/>
      <c r="AA173" s="104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25"/>
      <c r="AT173" s="91"/>
    </row>
    <row r="174" spans="1:46">
      <c r="A174" s="24"/>
      <c r="C174" s="6"/>
      <c r="D174" s="39"/>
      <c r="E174" s="98"/>
      <c r="F174" s="24"/>
      <c r="G174" s="24"/>
      <c r="H174" s="24"/>
      <c r="I174" s="24"/>
      <c r="J174" s="24"/>
      <c r="K174" s="6"/>
      <c r="L174" s="6"/>
      <c r="M174" s="6"/>
      <c r="N174" s="6"/>
      <c r="O174" s="6"/>
      <c r="P174" s="39"/>
      <c r="Q174" s="6"/>
      <c r="R174" s="6"/>
      <c r="S174" s="6"/>
      <c r="T174" s="6"/>
      <c r="U174" s="6"/>
      <c r="V174" s="24"/>
      <c r="W174" s="98"/>
      <c r="X174" s="39"/>
      <c r="Y174" s="104"/>
      <c r="Z174" s="104"/>
      <c r="AA174" s="104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25"/>
      <c r="AT174" s="91"/>
    </row>
    <row r="175" spans="1:46">
      <c r="A175" s="24"/>
      <c r="C175" s="6"/>
      <c r="D175" s="39"/>
      <c r="E175" s="98"/>
      <c r="F175" s="24"/>
      <c r="G175" s="24"/>
      <c r="H175" s="24"/>
      <c r="I175" s="24"/>
      <c r="J175" s="24"/>
      <c r="K175" s="6"/>
      <c r="L175" s="6"/>
      <c r="M175" s="6"/>
      <c r="N175" s="6"/>
      <c r="O175" s="6"/>
      <c r="P175" s="39"/>
      <c r="Q175" s="6"/>
      <c r="R175" s="6"/>
      <c r="S175" s="6"/>
      <c r="T175" s="6"/>
      <c r="U175" s="6"/>
      <c r="V175" s="24"/>
      <c r="W175" s="98"/>
      <c r="X175" s="39"/>
      <c r="Y175" s="104"/>
      <c r="Z175" s="104"/>
      <c r="AA175" s="104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25"/>
      <c r="AT175" s="91"/>
    </row>
    <row r="176" spans="1:46">
      <c r="A176" s="24"/>
      <c r="C176" s="6"/>
      <c r="D176" s="39"/>
      <c r="E176" s="98"/>
      <c r="F176" s="24"/>
      <c r="G176" s="24"/>
      <c r="H176" s="24"/>
      <c r="I176" s="24"/>
      <c r="J176" s="24"/>
      <c r="K176" s="6"/>
      <c r="L176" s="6"/>
      <c r="M176" s="6"/>
      <c r="N176" s="6"/>
      <c r="O176" s="6"/>
      <c r="P176" s="39"/>
      <c r="Q176" s="6"/>
      <c r="R176" s="6"/>
      <c r="S176" s="6"/>
      <c r="T176" s="6"/>
      <c r="U176" s="6"/>
      <c r="V176" s="24"/>
      <c r="W176" s="98"/>
      <c r="X176" s="39"/>
      <c r="Y176" s="104"/>
      <c r="Z176" s="104"/>
      <c r="AA176" s="104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25"/>
      <c r="AT176" s="91"/>
    </row>
    <row r="177" spans="1:46">
      <c r="A177" s="24"/>
      <c r="C177" s="6"/>
      <c r="D177" s="39"/>
      <c r="E177" s="98"/>
      <c r="F177" s="24"/>
      <c r="G177" s="24"/>
      <c r="H177" s="24"/>
      <c r="I177" s="24"/>
      <c r="J177" s="24"/>
      <c r="K177" s="6"/>
      <c r="L177" s="6"/>
      <c r="M177" s="6"/>
      <c r="N177" s="6"/>
      <c r="O177" s="6"/>
      <c r="P177" s="39"/>
      <c r="Q177" s="6"/>
      <c r="R177" s="6"/>
      <c r="S177" s="6"/>
      <c r="T177" s="6"/>
      <c r="U177" s="6"/>
      <c r="V177" s="24"/>
      <c r="W177" s="98"/>
      <c r="X177" s="39"/>
      <c r="Y177" s="104"/>
      <c r="Z177" s="104"/>
      <c r="AA177" s="104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25"/>
      <c r="AT177" s="91"/>
    </row>
    <row r="178" spans="1:46">
      <c r="A178" s="24"/>
      <c r="C178" s="6"/>
      <c r="D178" s="39"/>
      <c r="E178" s="98"/>
      <c r="F178" s="24"/>
      <c r="G178" s="24"/>
      <c r="H178" s="24"/>
      <c r="I178" s="24"/>
      <c r="J178" s="24"/>
      <c r="K178" s="6"/>
      <c r="L178" s="6"/>
      <c r="M178" s="6"/>
      <c r="N178" s="6"/>
      <c r="O178" s="6"/>
      <c r="P178" s="39"/>
      <c r="Q178" s="6"/>
      <c r="R178" s="6"/>
      <c r="S178" s="6"/>
      <c r="T178" s="6"/>
      <c r="U178" s="6"/>
      <c r="V178" s="24"/>
      <c r="W178" s="98"/>
      <c r="X178" s="39"/>
      <c r="Y178" s="104"/>
      <c r="Z178" s="104"/>
      <c r="AA178" s="104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25"/>
      <c r="AT178" s="91"/>
    </row>
    <row r="179" spans="1:46">
      <c r="A179" s="24"/>
      <c r="C179" s="6"/>
      <c r="D179" s="39"/>
      <c r="E179" s="98"/>
      <c r="F179" s="24"/>
      <c r="G179" s="24"/>
      <c r="H179" s="24"/>
      <c r="I179" s="24"/>
      <c r="J179" s="24"/>
      <c r="K179" s="6"/>
      <c r="L179" s="6"/>
      <c r="M179" s="6"/>
      <c r="N179" s="6"/>
      <c r="O179" s="6"/>
      <c r="P179" s="39"/>
      <c r="Q179" s="6"/>
      <c r="R179" s="6"/>
      <c r="S179" s="6"/>
      <c r="T179" s="6"/>
      <c r="U179" s="6"/>
      <c r="V179" s="24"/>
      <c r="W179" s="98"/>
      <c r="X179" s="39"/>
      <c r="Y179" s="104"/>
      <c r="Z179" s="104"/>
      <c r="AA179" s="104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25"/>
      <c r="AT179" s="91"/>
    </row>
    <row r="180" spans="1:46">
      <c r="A180" s="24"/>
      <c r="C180" s="6"/>
      <c r="D180" s="39"/>
      <c r="E180" s="98"/>
      <c r="F180" s="24"/>
      <c r="G180" s="24"/>
      <c r="H180" s="24"/>
      <c r="I180" s="24"/>
      <c r="J180" s="24"/>
      <c r="K180" s="6"/>
      <c r="L180" s="6"/>
      <c r="M180" s="6"/>
      <c r="N180" s="6"/>
      <c r="O180" s="6"/>
      <c r="P180" s="39"/>
      <c r="Q180" s="6"/>
      <c r="R180" s="6"/>
      <c r="S180" s="6"/>
      <c r="T180" s="6"/>
      <c r="U180" s="6"/>
      <c r="V180" s="24"/>
      <c r="W180" s="98"/>
      <c r="X180" s="39"/>
      <c r="Y180" s="104"/>
      <c r="Z180" s="104"/>
      <c r="AA180" s="104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25"/>
      <c r="AT180" s="91"/>
    </row>
    <row r="181" spans="1:46">
      <c r="A181" s="24"/>
      <c r="C181" s="6"/>
      <c r="D181" s="39"/>
      <c r="E181" s="98"/>
      <c r="F181" s="24"/>
      <c r="G181" s="24"/>
      <c r="H181" s="24"/>
      <c r="I181" s="24"/>
      <c r="J181" s="24"/>
      <c r="K181" s="6"/>
      <c r="L181" s="6"/>
      <c r="M181" s="6"/>
      <c r="N181" s="6"/>
      <c r="O181" s="6"/>
      <c r="P181" s="39"/>
      <c r="Q181" s="6"/>
      <c r="R181" s="6"/>
      <c r="S181" s="6"/>
      <c r="T181" s="6"/>
      <c r="U181" s="6"/>
      <c r="V181" s="24"/>
      <c r="W181" s="98"/>
      <c r="X181" s="39"/>
      <c r="Y181" s="104"/>
      <c r="Z181" s="104"/>
      <c r="AA181" s="104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25"/>
      <c r="AT181" s="91"/>
    </row>
    <row r="182" spans="1:46">
      <c r="A182" s="24"/>
      <c r="C182" s="6"/>
      <c r="D182" s="39"/>
      <c r="E182" s="98"/>
      <c r="F182" s="24"/>
      <c r="G182" s="24"/>
      <c r="H182" s="24"/>
      <c r="I182" s="24"/>
      <c r="J182" s="24"/>
      <c r="K182" s="6"/>
      <c r="L182" s="6"/>
      <c r="M182" s="6"/>
      <c r="N182" s="6"/>
      <c r="O182" s="6"/>
      <c r="P182" s="39"/>
      <c r="Q182" s="6"/>
      <c r="R182" s="6"/>
      <c r="S182" s="6"/>
      <c r="T182" s="6"/>
      <c r="U182" s="6"/>
      <c r="V182" s="24"/>
      <c r="W182" s="98"/>
      <c r="X182" s="39"/>
      <c r="Y182" s="104"/>
      <c r="Z182" s="104"/>
      <c r="AA182" s="104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25"/>
      <c r="AT182" s="91"/>
    </row>
    <row r="183" spans="1:46">
      <c r="A183" s="24"/>
      <c r="C183" s="6"/>
      <c r="D183" s="39"/>
      <c r="E183" s="98"/>
      <c r="F183" s="24"/>
      <c r="G183" s="24"/>
      <c r="H183" s="24"/>
      <c r="I183" s="24"/>
      <c r="J183" s="24"/>
      <c r="K183" s="6"/>
      <c r="L183" s="6"/>
      <c r="M183" s="6"/>
      <c r="N183" s="6"/>
      <c r="O183" s="6"/>
      <c r="P183" s="39"/>
      <c r="Q183" s="6"/>
      <c r="R183" s="6"/>
      <c r="S183" s="6"/>
      <c r="T183" s="6"/>
      <c r="U183" s="6"/>
      <c r="V183" s="24"/>
      <c r="W183" s="98"/>
      <c r="X183" s="39"/>
      <c r="Y183" s="104"/>
      <c r="Z183" s="104"/>
      <c r="AA183" s="104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25"/>
      <c r="AT183" s="91"/>
    </row>
    <row r="184" spans="1:46">
      <c r="A184" s="24"/>
      <c r="C184" s="6"/>
      <c r="D184" s="39"/>
      <c r="E184" s="98"/>
      <c r="F184" s="24"/>
      <c r="G184" s="24"/>
      <c r="H184" s="24"/>
      <c r="I184" s="24"/>
      <c r="J184" s="24"/>
      <c r="K184" s="6"/>
      <c r="L184" s="6"/>
      <c r="M184" s="6"/>
      <c r="N184" s="6"/>
      <c r="O184" s="6"/>
      <c r="P184" s="39"/>
      <c r="Q184" s="6"/>
      <c r="R184" s="6"/>
      <c r="S184" s="6"/>
      <c r="T184" s="6"/>
      <c r="U184" s="6"/>
      <c r="V184" s="24"/>
      <c r="W184" s="98"/>
      <c r="X184" s="39"/>
      <c r="Y184" s="104"/>
      <c r="Z184" s="104"/>
      <c r="AA184" s="104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25"/>
      <c r="AT184" s="91"/>
    </row>
    <row r="185" spans="1:46">
      <c r="A185" s="24"/>
      <c r="C185" s="6"/>
      <c r="D185" s="39"/>
      <c r="E185" s="98"/>
      <c r="F185" s="24"/>
      <c r="G185" s="24"/>
      <c r="H185" s="24"/>
      <c r="I185" s="24"/>
      <c r="J185" s="24"/>
      <c r="K185" s="6"/>
      <c r="L185" s="6"/>
      <c r="M185" s="6"/>
      <c r="N185" s="6"/>
      <c r="O185" s="6"/>
      <c r="P185" s="39"/>
      <c r="Q185" s="6"/>
      <c r="R185" s="6"/>
      <c r="S185" s="6"/>
      <c r="T185" s="6"/>
      <c r="U185" s="6"/>
      <c r="V185" s="24"/>
      <c r="W185" s="98"/>
      <c r="X185" s="39"/>
      <c r="Y185" s="104"/>
      <c r="Z185" s="104"/>
      <c r="AA185" s="104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25"/>
      <c r="AT185" s="91"/>
    </row>
    <row r="186" spans="1:46">
      <c r="A186" s="24"/>
      <c r="C186" s="6"/>
      <c r="D186" s="39"/>
      <c r="E186" s="98"/>
      <c r="F186" s="24"/>
      <c r="G186" s="24"/>
      <c r="H186" s="24"/>
      <c r="I186" s="24"/>
      <c r="J186" s="24"/>
      <c r="K186" s="6"/>
      <c r="L186" s="6"/>
      <c r="M186" s="6"/>
      <c r="N186" s="6"/>
      <c r="O186" s="6"/>
      <c r="P186" s="39"/>
      <c r="Q186" s="6"/>
      <c r="R186" s="6"/>
      <c r="S186" s="6"/>
      <c r="T186" s="6"/>
      <c r="U186" s="6"/>
      <c r="V186" s="24"/>
      <c r="W186" s="98"/>
      <c r="X186" s="39"/>
      <c r="Y186" s="104"/>
      <c r="Z186" s="104"/>
      <c r="AA186" s="104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25"/>
      <c r="AT186" s="91"/>
    </row>
    <row r="187" spans="1:46">
      <c r="A187" s="24"/>
      <c r="C187" s="6"/>
      <c r="D187" s="39"/>
      <c r="E187" s="98"/>
      <c r="F187" s="24"/>
      <c r="G187" s="24"/>
      <c r="H187" s="24"/>
      <c r="I187" s="24"/>
      <c r="J187" s="24"/>
      <c r="K187" s="6"/>
      <c r="L187" s="6"/>
      <c r="M187" s="6"/>
      <c r="N187" s="6"/>
      <c r="O187" s="6"/>
      <c r="P187" s="39"/>
      <c r="Q187" s="6"/>
      <c r="R187" s="6"/>
      <c r="S187" s="6"/>
      <c r="T187" s="6"/>
      <c r="U187" s="6"/>
      <c r="V187" s="24"/>
      <c r="W187" s="98"/>
      <c r="X187" s="39"/>
      <c r="Y187" s="104"/>
      <c r="Z187" s="104"/>
      <c r="AA187" s="104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25"/>
      <c r="AT187" s="91"/>
    </row>
    <row r="188" spans="1:46">
      <c r="A188" s="24"/>
      <c r="C188" s="6"/>
      <c r="D188" s="39"/>
      <c r="E188" s="98"/>
      <c r="F188" s="24"/>
      <c r="G188" s="24"/>
      <c r="H188" s="24"/>
      <c r="I188" s="24"/>
      <c r="J188" s="24"/>
      <c r="K188" s="6"/>
      <c r="L188" s="6"/>
      <c r="M188" s="6"/>
      <c r="N188" s="6"/>
      <c r="O188" s="6"/>
      <c r="P188" s="39"/>
      <c r="Q188" s="6"/>
      <c r="R188" s="6"/>
      <c r="S188" s="6"/>
      <c r="T188" s="6"/>
      <c r="U188" s="6"/>
      <c r="V188" s="24"/>
      <c r="W188" s="98"/>
      <c r="X188" s="39"/>
      <c r="Y188" s="104"/>
      <c r="Z188" s="104"/>
      <c r="AA188" s="104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25"/>
      <c r="AT188" s="91"/>
    </row>
    <row r="189" spans="1:46">
      <c r="A189" s="24"/>
      <c r="C189" s="6"/>
      <c r="D189" s="39"/>
      <c r="E189" s="98"/>
      <c r="F189" s="24"/>
      <c r="G189" s="24"/>
      <c r="H189" s="24"/>
      <c r="I189" s="24"/>
      <c r="J189" s="24"/>
      <c r="K189" s="6"/>
      <c r="L189" s="6"/>
      <c r="M189" s="6"/>
      <c r="N189" s="6"/>
      <c r="O189" s="6"/>
      <c r="P189" s="39"/>
      <c r="Q189" s="6"/>
      <c r="R189" s="6"/>
      <c r="S189" s="6"/>
      <c r="T189" s="6"/>
      <c r="U189" s="6"/>
      <c r="V189" s="24"/>
      <c r="W189" s="98"/>
      <c r="X189" s="39"/>
      <c r="Y189" s="104"/>
      <c r="Z189" s="104"/>
      <c r="AA189" s="104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25"/>
      <c r="AT189" s="91"/>
    </row>
    <row r="190" spans="1:46">
      <c r="A190" s="24"/>
      <c r="C190" s="6"/>
      <c r="D190" s="39"/>
      <c r="E190" s="98"/>
      <c r="F190" s="24"/>
      <c r="G190" s="24"/>
      <c r="H190" s="24"/>
      <c r="I190" s="24"/>
      <c r="J190" s="24"/>
      <c r="K190" s="6"/>
      <c r="L190" s="6"/>
      <c r="M190" s="6"/>
      <c r="N190" s="6"/>
      <c r="O190" s="6"/>
      <c r="P190" s="39"/>
      <c r="Q190" s="6"/>
      <c r="R190" s="6"/>
      <c r="S190" s="6"/>
      <c r="T190" s="6"/>
      <c r="U190" s="6"/>
      <c r="V190" s="24"/>
      <c r="W190" s="98"/>
      <c r="X190" s="39"/>
      <c r="Y190" s="104"/>
      <c r="Z190" s="104"/>
      <c r="AA190" s="104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25"/>
      <c r="AT190" s="91"/>
    </row>
    <row r="191" spans="1:46">
      <c r="A191" s="24"/>
      <c r="C191" s="6"/>
      <c r="D191" s="39"/>
      <c r="E191" s="98"/>
      <c r="F191" s="24"/>
      <c r="G191" s="24"/>
      <c r="H191" s="24"/>
      <c r="I191" s="24"/>
      <c r="J191" s="24"/>
      <c r="K191" s="6"/>
      <c r="L191" s="6"/>
      <c r="M191" s="6"/>
      <c r="N191" s="6"/>
      <c r="O191" s="6"/>
      <c r="P191" s="39"/>
      <c r="Q191" s="6"/>
      <c r="R191" s="6"/>
      <c r="S191" s="6"/>
      <c r="T191" s="6"/>
      <c r="U191" s="6"/>
      <c r="V191" s="24"/>
      <c r="W191" s="98"/>
      <c r="X191" s="39"/>
      <c r="Y191" s="104"/>
      <c r="Z191" s="104"/>
      <c r="AA191" s="104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25"/>
      <c r="AT191" s="91"/>
    </row>
    <row r="192" spans="1:46">
      <c r="A192" s="24"/>
      <c r="C192" s="6"/>
      <c r="D192" s="39"/>
      <c r="E192" s="98"/>
      <c r="F192" s="24"/>
      <c r="G192" s="24"/>
      <c r="H192" s="24"/>
      <c r="I192" s="24"/>
      <c r="J192" s="24"/>
      <c r="K192" s="6"/>
      <c r="L192" s="6"/>
      <c r="M192" s="6"/>
      <c r="N192" s="6"/>
      <c r="O192" s="6"/>
      <c r="P192" s="39"/>
      <c r="Q192" s="6"/>
      <c r="R192" s="6"/>
      <c r="S192" s="6"/>
      <c r="T192" s="6"/>
      <c r="U192" s="6"/>
      <c r="V192" s="24"/>
      <c r="W192" s="98"/>
      <c r="X192" s="39"/>
      <c r="Y192" s="104"/>
      <c r="Z192" s="104"/>
      <c r="AA192" s="104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25"/>
      <c r="AT192" s="91"/>
    </row>
    <row r="193" spans="1:46">
      <c r="A193" s="24"/>
      <c r="C193" s="6"/>
      <c r="D193" s="39"/>
      <c r="E193" s="98"/>
      <c r="F193" s="24"/>
      <c r="G193" s="24"/>
      <c r="H193" s="24"/>
      <c r="I193" s="24"/>
      <c r="J193" s="24"/>
      <c r="K193" s="6"/>
      <c r="L193" s="6"/>
      <c r="M193" s="6"/>
      <c r="N193" s="6"/>
      <c r="O193" s="6"/>
      <c r="P193" s="39"/>
      <c r="Q193" s="6"/>
      <c r="R193" s="6"/>
      <c r="S193" s="6"/>
      <c r="T193" s="6"/>
      <c r="U193" s="6"/>
      <c r="V193" s="24"/>
      <c r="W193" s="98"/>
      <c r="X193" s="39"/>
      <c r="Y193" s="104"/>
      <c r="Z193" s="104"/>
      <c r="AA193" s="104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25"/>
      <c r="AT193" s="91"/>
    </row>
    <row r="194" spans="1:46">
      <c r="A194" s="24"/>
      <c r="C194" s="6"/>
      <c r="D194" s="39"/>
      <c r="E194" s="98"/>
      <c r="F194" s="24"/>
      <c r="G194" s="24"/>
      <c r="H194" s="24"/>
      <c r="I194" s="24"/>
      <c r="J194" s="24"/>
      <c r="K194" s="6"/>
      <c r="L194" s="6"/>
      <c r="M194" s="6"/>
      <c r="N194" s="6"/>
      <c r="O194" s="6"/>
      <c r="P194" s="39"/>
      <c r="Q194" s="6"/>
      <c r="R194" s="6"/>
      <c r="S194" s="6"/>
      <c r="T194" s="6"/>
      <c r="U194" s="6"/>
      <c r="V194" s="24"/>
      <c r="W194" s="98"/>
      <c r="X194" s="39"/>
      <c r="Y194" s="104"/>
      <c r="Z194" s="104"/>
      <c r="AA194" s="104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25"/>
      <c r="AT194" s="91"/>
    </row>
    <row r="195" spans="1:46">
      <c r="A195" s="24"/>
      <c r="C195" s="6"/>
      <c r="D195" s="39"/>
      <c r="E195" s="98"/>
      <c r="F195" s="24"/>
      <c r="G195" s="24"/>
      <c r="H195" s="24"/>
      <c r="I195" s="24"/>
      <c r="J195" s="24"/>
      <c r="K195" s="6"/>
      <c r="L195" s="6"/>
      <c r="M195" s="6"/>
      <c r="N195" s="6"/>
      <c r="O195" s="6"/>
      <c r="P195" s="39"/>
      <c r="Q195" s="6"/>
      <c r="R195" s="6"/>
      <c r="S195" s="6"/>
      <c r="T195" s="6"/>
      <c r="U195" s="6"/>
      <c r="V195" s="24"/>
      <c r="W195" s="98"/>
      <c r="X195" s="39"/>
      <c r="Y195" s="104"/>
      <c r="Z195" s="104"/>
      <c r="AA195" s="104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25"/>
      <c r="AT195" s="91"/>
    </row>
    <row r="196" spans="1:46">
      <c r="A196" s="24"/>
      <c r="C196" s="6"/>
      <c r="D196" s="39"/>
      <c r="E196" s="98"/>
      <c r="F196" s="24"/>
      <c r="G196" s="24"/>
      <c r="H196" s="24"/>
      <c r="I196" s="24"/>
      <c r="J196" s="24"/>
      <c r="K196" s="6"/>
      <c r="L196" s="6"/>
      <c r="M196" s="6"/>
      <c r="N196" s="6"/>
      <c r="O196" s="6"/>
      <c r="P196" s="39"/>
      <c r="Q196" s="6"/>
      <c r="R196" s="6"/>
      <c r="S196" s="6"/>
      <c r="T196" s="6"/>
      <c r="U196" s="6"/>
      <c r="V196" s="24"/>
      <c r="W196" s="98"/>
      <c r="X196" s="39"/>
      <c r="Y196" s="104"/>
      <c r="Z196" s="104"/>
      <c r="AA196" s="104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25"/>
      <c r="AT196" s="91"/>
    </row>
    <row r="197" spans="1:46">
      <c r="A197" s="24"/>
      <c r="C197" s="6"/>
      <c r="D197" s="39"/>
      <c r="E197" s="98"/>
      <c r="F197" s="24"/>
      <c r="G197" s="24"/>
      <c r="H197" s="24"/>
      <c r="I197" s="24"/>
      <c r="J197" s="24"/>
      <c r="K197" s="6"/>
      <c r="L197" s="6"/>
      <c r="M197" s="6"/>
      <c r="N197" s="6"/>
      <c r="O197" s="6"/>
      <c r="P197" s="39"/>
      <c r="Q197" s="6"/>
      <c r="R197" s="6"/>
      <c r="S197" s="6"/>
      <c r="T197" s="6"/>
      <c r="U197" s="6"/>
      <c r="V197" s="24"/>
      <c r="W197" s="98"/>
      <c r="X197" s="39"/>
      <c r="Y197" s="104"/>
      <c r="Z197" s="104"/>
      <c r="AA197" s="104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25"/>
      <c r="AT197" s="91"/>
    </row>
    <row r="198" spans="1:46">
      <c r="A198" s="24"/>
      <c r="C198" s="6"/>
      <c r="D198" s="39"/>
      <c r="E198" s="98"/>
      <c r="F198" s="24"/>
      <c r="G198" s="24"/>
      <c r="H198" s="24"/>
      <c r="I198" s="24"/>
      <c r="J198" s="24"/>
      <c r="K198" s="6"/>
      <c r="L198" s="6"/>
      <c r="M198" s="6"/>
      <c r="N198" s="6"/>
      <c r="O198" s="6"/>
      <c r="P198" s="39"/>
      <c r="Q198" s="6"/>
      <c r="R198" s="6"/>
      <c r="S198" s="6"/>
      <c r="T198" s="6"/>
      <c r="U198" s="6"/>
      <c r="V198" s="24"/>
      <c r="W198" s="98"/>
      <c r="X198" s="39"/>
      <c r="Y198" s="104"/>
      <c r="Z198" s="104"/>
      <c r="AA198" s="104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25"/>
      <c r="AT198" s="91"/>
    </row>
    <row r="199" spans="1:46">
      <c r="A199" s="24"/>
      <c r="C199" s="6"/>
      <c r="D199" s="39"/>
      <c r="E199" s="98"/>
      <c r="F199" s="24"/>
      <c r="G199" s="24"/>
      <c r="H199" s="24"/>
      <c r="I199" s="24"/>
      <c r="J199" s="24"/>
      <c r="K199" s="6"/>
      <c r="L199" s="6"/>
      <c r="M199" s="6"/>
      <c r="N199" s="6"/>
      <c r="O199" s="6"/>
      <c r="P199" s="39"/>
      <c r="Q199" s="6"/>
      <c r="R199" s="6"/>
      <c r="S199" s="6"/>
      <c r="T199" s="6"/>
      <c r="U199" s="6"/>
      <c r="V199" s="24"/>
      <c r="W199" s="98"/>
      <c r="X199" s="39"/>
      <c r="Y199" s="104"/>
      <c r="Z199" s="104"/>
      <c r="AA199" s="104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25"/>
      <c r="AT199" s="91"/>
    </row>
    <row r="200" spans="1:46">
      <c r="A200" s="24"/>
      <c r="C200" s="6"/>
      <c r="D200" s="39"/>
      <c r="E200" s="98"/>
      <c r="F200" s="24"/>
      <c r="G200" s="24"/>
      <c r="H200" s="24"/>
      <c r="I200" s="24"/>
      <c r="J200" s="24"/>
      <c r="K200" s="6"/>
      <c r="L200" s="6"/>
      <c r="M200" s="6"/>
      <c r="N200" s="6"/>
      <c r="O200" s="6"/>
      <c r="P200" s="39"/>
      <c r="Q200" s="6"/>
      <c r="R200" s="6"/>
      <c r="S200" s="6"/>
      <c r="T200" s="6"/>
      <c r="U200" s="6"/>
      <c r="V200" s="24"/>
      <c r="W200" s="98"/>
      <c r="X200" s="39"/>
      <c r="Y200" s="104"/>
      <c r="Z200" s="104"/>
      <c r="AA200" s="104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25"/>
      <c r="AT200" s="91"/>
    </row>
    <row r="201" spans="1:46">
      <c r="A201" s="24"/>
      <c r="C201" s="6"/>
      <c r="D201" s="39"/>
      <c r="E201" s="98"/>
      <c r="F201" s="24"/>
      <c r="G201" s="24"/>
      <c r="H201" s="24"/>
      <c r="I201" s="24"/>
      <c r="J201" s="24"/>
      <c r="K201" s="6"/>
      <c r="L201" s="6"/>
      <c r="M201" s="6"/>
      <c r="N201" s="6"/>
      <c r="O201" s="6"/>
      <c r="P201" s="39"/>
      <c r="Q201" s="6"/>
      <c r="R201" s="6"/>
      <c r="S201" s="6"/>
      <c r="T201" s="6"/>
      <c r="U201" s="6"/>
      <c r="V201" s="24"/>
      <c r="W201" s="98"/>
      <c r="X201" s="39"/>
      <c r="Y201" s="104"/>
      <c r="Z201" s="104"/>
      <c r="AA201" s="104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25"/>
      <c r="AT201" s="91"/>
    </row>
    <row r="202" spans="1:46">
      <c r="A202" s="24"/>
      <c r="C202" s="6"/>
      <c r="D202" s="39"/>
      <c r="E202" s="98"/>
      <c r="F202" s="24"/>
      <c r="G202" s="24"/>
      <c r="H202" s="24"/>
      <c r="I202" s="24"/>
      <c r="J202" s="24"/>
      <c r="K202" s="6"/>
      <c r="L202" s="6"/>
      <c r="M202" s="6"/>
      <c r="N202" s="6"/>
      <c r="O202" s="6"/>
      <c r="P202" s="39"/>
      <c r="Q202" s="6"/>
      <c r="R202" s="6"/>
      <c r="S202" s="6"/>
      <c r="T202" s="6"/>
      <c r="U202" s="6"/>
      <c r="V202" s="24"/>
      <c r="W202" s="98"/>
      <c r="X202" s="39"/>
      <c r="Y202" s="104"/>
      <c r="Z202" s="104"/>
      <c r="AA202" s="104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25"/>
      <c r="AT202" s="91"/>
    </row>
    <row r="203" spans="1:46">
      <c r="A203" s="24"/>
      <c r="C203" s="6"/>
      <c r="D203" s="39"/>
      <c r="E203" s="98"/>
      <c r="F203" s="24"/>
      <c r="G203" s="24"/>
      <c r="H203" s="24"/>
      <c r="I203" s="24"/>
      <c r="J203" s="24"/>
      <c r="K203" s="6"/>
      <c r="L203" s="6"/>
      <c r="M203" s="6"/>
      <c r="N203" s="6"/>
      <c r="O203" s="6"/>
      <c r="P203" s="39"/>
      <c r="Q203" s="6"/>
      <c r="R203" s="6"/>
      <c r="S203" s="6"/>
      <c r="T203" s="6"/>
      <c r="U203" s="6"/>
      <c r="V203" s="24"/>
      <c r="W203" s="98"/>
      <c r="X203" s="39"/>
      <c r="Y203" s="104"/>
      <c r="Z203" s="104"/>
      <c r="AA203" s="104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25"/>
      <c r="AT203" s="91"/>
    </row>
    <row r="204" spans="1:46">
      <c r="A204" s="24"/>
      <c r="C204" s="6"/>
      <c r="D204" s="39"/>
      <c r="E204" s="98"/>
      <c r="F204" s="24"/>
      <c r="G204" s="24"/>
      <c r="H204" s="24"/>
      <c r="I204" s="24"/>
      <c r="J204" s="24"/>
      <c r="K204" s="6"/>
      <c r="L204" s="6"/>
      <c r="M204" s="6"/>
      <c r="N204" s="6"/>
      <c r="O204" s="6"/>
      <c r="P204" s="39"/>
      <c r="Q204" s="6"/>
      <c r="R204" s="6"/>
      <c r="S204" s="6"/>
      <c r="T204" s="6"/>
      <c r="U204" s="6"/>
      <c r="V204" s="24"/>
      <c r="W204" s="98"/>
      <c r="X204" s="39"/>
      <c r="Y204" s="104"/>
      <c r="Z204" s="104"/>
      <c r="AA204" s="104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25"/>
      <c r="AT204" s="91"/>
    </row>
    <row r="205" spans="1:46">
      <c r="A205" s="24"/>
      <c r="C205" s="6"/>
      <c r="D205" s="39"/>
      <c r="E205" s="98"/>
      <c r="F205" s="24"/>
      <c r="G205" s="24"/>
      <c r="H205" s="24"/>
      <c r="I205" s="24"/>
      <c r="J205" s="24"/>
      <c r="K205" s="6"/>
      <c r="L205" s="6"/>
      <c r="M205" s="6"/>
      <c r="N205" s="6"/>
      <c r="O205" s="6"/>
      <c r="P205" s="39"/>
      <c r="Q205" s="6"/>
      <c r="R205" s="6"/>
      <c r="S205" s="6"/>
      <c r="T205" s="6"/>
      <c r="U205" s="6"/>
      <c r="V205" s="24"/>
      <c r="W205" s="98"/>
      <c r="X205" s="39"/>
      <c r="Y205" s="104"/>
      <c r="Z205" s="104"/>
      <c r="AA205" s="104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25"/>
      <c r="AT205" s="91"/>
    </row>
    <row r="206" spans="1:46">
      <c r="A206" s="24"/>
      <c r="C206" s="6"/>
      <c r="D206" s="39"/>
      <c r="E206" s="98"/>
      <c r="F206" s="24"/>
      <c r="G206" s="24"/>
      <c r="H206" s="24"/>
      <c r="I206" s="24"/>
      <c r="J206" s="24"/>
      <c r="K206" s="6"/>
      <c r="L206" s="6"/>
      <c r="M206" s="6"/>
      <c r="N206" s="6"/>
      <c r="O206" s="6"/>
      <c r="P206" s="39"/>
      <c r="Q206" s="6"/>
      <c r="R206" s="6"/>
      <c r="S206" s="6"/>
      <c r="T206" s="6"/>
      <c r="U206" s="6"/>
      <c r="V206" s="24"/>
      <c r="W206" s="98"/>
      <c r="X206" s="39"/>
      <c r="Y206" s="104"/>
      <c r="Z206" s="104"/>
      <c r="AA206" s="104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25"/>
      <c r="AT206" s="91"/>
    </row>
    <row r="207" spans="1:46">
      <c r="A207" s="24"/>
      <c r="C207" s="6"/>
      <c r="D207" s="39"/>
      <c r="E207" s="98"/>
      <c r="F207" s="24"/>
      <c r="G207" s="24"/>
      <c r="H207" s="24"/>
      <c r="I207" s="24"/>
      <c r="J207" s="24"/>
      <c r="K207" s="6"/>
      <c r="L207" s="6"/>
      <c r="M207" s="6"/>
      <c r="N207" s="6"/>
      <c r="O207" s="6"/>
      <c r="P207" s="39"/>
      <c r="Q207" s="6"/>
      <c r="R207" s="6"/>
      <c r="S207" s="6"/>
      <c r="T207" s="6"/>
      <c r="U207" s="6"/>
      <c r="V207" s="24"/>
      <c r="W207" s="98"/>
      <c r="X207" s="39"/>
      <c r="Y207" s="104"/>
      <c r="Z207" s="104"/>
      <c r="AA207" s="104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25"/>
      <c r="AT207" s="91"/>
    </row>
    <row r="208" spans="1:46">
      <c r="A208" s="24"/>
      <c r="C208" s="6"/>
      <c r="D208" s="39"/>
      <c r="E208" s="98"/>
      <c r="F208" s="24"/>
      <c r="G208" s="24"/>
      <c r="H208" s="24"/>
      <c r="I208" s="24"/>
      <c r="J208" s="24"/>
      <c r="K208" s="6"/>
      <c r="L208" s="6"/>
      <c r="M208" s="6"/>
      <c r="N208" s="6"/>
      <c r="O208" s="6"/>
      <c r="P208" s="39"/>
      <c r="Q208" s="6"/>
      <c r="R208" s="6"/>
      <c r="S208" s="6"/>
      <c r="T208" s="6"/>
      <c r="U208" s="6"/>
      <c r="V208" s="24"/>
      <c r="W208" s="98"/>
      <c r="X208" s="39"/>
      <c r="Y208" s="104"/>
      <c r="Z208" s="104"/>
      <c r="AA208" s="104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25"/>
      <c r="AT208" s="91"/>
    </row>
    <row r="209" spans="1:46">
      <c r="A209" s="24"/>
      <c r="C209" s="6"/>
      <c r="D209" s="39"/>
      <c r="E209" s="98"/>
      <c r="F209" s="24"/>
      <c r="G209" s="24"/>
      <c r="H209" s="24"/>
      <c r="I209" s="24"/>
      <c r="J209" s="24"/>
      <c r="K209" s="6"/>
      <c r="L209" s="6"/>
      <c r="M209" s="6"/>
      <c r="N209" s="6"/>
      <c r="O209" s="6"/>
      <c r="P209" s="39"/>
      <c r="Q209" s="6"/>
      <c r="R209" s="6"/>
      <c r="S209" s="6"/>
      <c r="T209" s="6"/>
      <c r="U209" s="6"/>
      <c r="V209" s="24"/>
      <c r="W209" s="98"/>
      <c r="X209" s="39"/>
      <c r="Y209" s="104"/>
      <c r="Z209" s="104"/>
      <c r="AA209" s="104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25"/>
      <c r="AT209" s="91"/>
    </row>
    <row r="210" spans="1:46">
      <c r="A210" s="24"/>
      <c r="C210" s="6"/>
      <c r="D210" s="39"/>
      <c r="E210" s="98"/>
      <c r="F210" s="24"/>
      <c r="G210" s="24"/>
      <c r="H210" s="24"/>
      <c r="I210" s="24"/>
      <c r="J210" s="24"/>
      <c r="K210" s="6"/>
      <c r="L210" s="6"/>
      <c r="M210" s="6"/>
      <c r="N210" s="6"/>
      <c r="O210" s="6"/>
      <c r="P210" s="39"/>
      <c r="Q210" s="6"/>
      <c r="R210" s="6"/>
      <c r="S210" s="6"/>
      <c r="T210" s="6"/>
      <c r="U210" s="6"/>
      <c r="V210" s="24"/>
      <c r="W210" s="98"/>
      <c r="X210" s="39"/>
      <c r="Y210" s="104"/>
      <c r="Z210" s="104"/>
      <c r="AA210" s="104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25"/>
      <c r="AT210" s="91"/>
    </row>
    <row r="211" spans="1:46">
      <c r="A211" s="24"/>
      <c r="C211" s="6"/>
      <c r="D211" s="39"/>
      <c r="E211" s="98"/>
      <c r="F211" s="24"/>
      <c r="G211" s="24"/>
      <c r="H211" s="24"/>
      <c r="I211" s="24"/>
      <c r="J211" s="24"/>
      <c r="K211" s="6"/>
      <c r="L211" s="6"/>
      <c r="M211" s="6"/>
      <c r="N211" s="6"/>
      <c r="O211" s="6"/>
      <c r="P211" s="39"/>
      <c r="Q211" s="6"/>
      <c r="R211" s="6"/>
      <c r="S211" s="6"/>
      <c r="T211" s="6"/>
      <c r="U211" s="6"/>
      <c r="V211" s="24"/>
      <c r="W211" s="98"/>
      <c r="X211" s="39"/>
      <c r="Y211" s="104"/>
      <c r="Z211" s="104"/>
      <c r="AA211" s="104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25"/>
      <c r="AT211" s="91"/>
    </row>
    <row r="212" spans="1:46">
      <c r="A212" s="24"/>
      <c r="C212" s="6"/>
      <c r="D212" s="39"/>
      <c r="E212" s="98"/>
      <c r="F212" s="24"/>
      <c r="G212" s="24"/>
      <c r="H212" s="24"/>
      <c r="I212" s="24"/>
      <c r="J212" s="24"/>
      <c r="K212" s="6"/>
      <c r="L212" s="6"/>
      <c r="M212" s="6"/>
      <c r="N212" s="6"/>
      <c r="O212" s="6"/>
      <c r="P212" s="39"/>
      <c r="Q212" s="6"/>
      <c r="R212" s="6"/>
      <c r="S212" s="6"/>
      <c r="T212" s="6"/>
      <c r="U212" s="6"/>
      <c r="V212" s="24"/>
      <c r="W212" s="98"/>
      <c r="X212" s="39"/>
      <c r="Y212" s="104"/>
      <c r="Z212" s="104"/>
      <c r="AA212" s="104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25"/>
      <c r="AT212" s="91"/>
    </row>
    <row r="213" spans="1:46">
      <c r="A213" s="24"/>
      <c r="C213" s="6"/>
      <c r="D213" s="39"/>
      <c r="E213" s="98"/>
      <c r="F213" s="24"/>
      <c r="G213" s="24"/>
      <c r="H213" s="24"/>
      <c r="I213" s="24"/>
      <c r="J213" s="24"/>
      <c r="K213" s="6"/>
      <c r="L213" s="6"/>
      <c r="M213" s="6"/>
      <c r="N213" s="6"/>
      <c r="O213" s="6"/>
      <c r="P213" s="39"/>
      <c r="Q213" s="6"/>
      <c r="R213" s="6"/>
      <c r="S213" s="6"/>
      <c r="T213" s="6"/>
      <c r="U213" s="6"/>
      <c r="V213" s="24"/>
      <c r="W213" s="98"/>
      <c r="X213" s="39"/>
      <c r="Y213" s="104"/>
      <c r="Z213" s="104"/>
      <c r="AA213" s="104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25"/>
      <c r="AT213" s="91"/>
    </row>
    <row r="214" spans="1:46">
      <c r="A214" s="24"/>
      <c r="C214" s="6"/>
      <c r="D214" s="39"/>
      <c r="E214" s="98"/>
      <c r="F214" s="24"/>
      <c r="G214" s="24"/>
      <c r="H214" s="24"/>
      <c r="I214" s="24"/>
      <c r="J214" s="24"/>
      <c r="K214" s="6"/>
      <c r="L214" s="6"/>
      <c r="M214" s="6"/>
      <c r="N214" s="6"/>
      <c r="O214" s="6"/>
      <c r="P214" s="39"/>
      <c r="Q214" s="6"/>
      <c r="R214" s="6"/>
      <c r="S214" s="6"/>
      <c r="T214" s="6"/>
      <c r="U214" s="6"/>
      <c r="V214" s="24"/>
      <c r="W214" s="98"/>
      <c r="X214" s="39"/>
      <c r="Y214" s="104"/>
      <c r="Z214" s="104"/>
      <c r="AA214" s="104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25"/>
      <c r="AT214" s="91"/>
    </row>
    <row r="215" spans="1:46">
      <c r="A215" s="24"/>
      <c r="C215" s="6"/>
      <c r="D215" s="39"/>
      <c r="E215" s="98"/>
      <c r="F215" s="24"/>
      <c r="G215" s="24"/>
      <c r="H215" s="24"/>
      <c r="I215" s="24"/>
      <c r="J215" s="24"/>
      <c r="K215" s="6"/>
      <c r="L215" s="6"/>
      <c r="M215" s="6"/>
      <c r="N215" s="6"/>
      <c r="O215" s="6"/>
      <c r="P215" s="39"/>
      <c r="Q215" s="6"/>
      <c r="R215" s="6"/>
      <c r="S215" s="6"/>
      <c r="T215" s="6"/>
      <c r="U215" s="6"/>
      <c r="V215" s="24"/>
      <c r="W215" s="98"/>
      <c r="X215" s="39"/>
      <c r="Y215" s="104"/>
      <c r="Z215" s="104"/>
      <c r="AA215" s="104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25"/>
      <c r="AT215" s="91"/>
    </row>
    <row r="216" spans="1:46">
      <c r="A216" s="24"/>
      <c r="C216" s="6"/>
      <c r="D216" s="39"/>
      <c r="E216" s="98"/>
      <c r="F216" s="24"/>
      <c r="G216" s="24"/>
      <c r="H216" s="24"/>
      <c r="I216" s="24"/>
      <c r="J216" s="24"/>
      <c r="K216" s="6"/>
      <c r="L216" s="6"/>
      <c r="M216" s="6"/>
      <c r="N216" s="6"/>
      <c r="O216" s="6"/>
      <c r="P216" s="39"/>
      <c r="Q216" s="6"/>
      <c r="R216" s="6"/>
      <c r="S216" s="6"/>
      <c r="T216" s="6"/>
      <c r="U216" s="6"/>
      <c r="V216" s="24"/>
      <c r="W216" s="98"/>
      <c r="X216" s="39"/>
      <c r="Y216" s="104"/>
      <c r="Z216" s="104"/>
      <c r="AA216" s="104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25"/>
      <c r="AT216" s="91"/>
    </row>
    <row r="217" spans="1:46">
      <c r="A217" s="24"/>
      <c r="C217" s="6"/>
      <c r="D217" s="39"/>
      <c r="E217" s="98"/>
      <c r="F217" s="24"/>
      <c r="G217" s="24"/>
      <c r="H217" s="24"/>
      <c r="I217" s="24"/>
      <c r="J217" s="24"/>
      <c r="K217" s="6"/>
      <c r="L217" s="6"/>
      <c r="M217" s="6"/>
      <c r="N217" s="6"/>
      <c r="O217" s="6"/>
      <c r="P217" s="39"/>
      <c r="Q217" s="6"/>
      <c r="R217" s="6"/>
      <c r="S217" s="6"/>
      <c r="T217" s="6"/>
      <c r="U217" s="6"/>
      <c r="V217" s="24"/>
      <c r="W217" s="98"/>
      <c r="X217" s="39"/>
      <c r="Y217" s="104"/>
      <c r="Z217" s="104"/>
      <c r="AA217" s="104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25"/>
      <c r="AT217" s="91"/>
    </row>
    <row r="218" spans="1:46">
      <c r="A218" s="24"/>
      <c r="C218" s="6"/>
      <c r="D218" s="39"/>
      <c r="E218" s="98"/>
      <c r="F218" s="24"/>
      <c r="G218" s="24"/>
      <c r="H218" s="24"/>
      <c r="I218" s="24"/>
      <c r="J218" s="24"/>
      <c r="K218" s="6"/>
      <c r="L218" s="6"/>
      <c r="M218" s="6"/>
      <c r="N218" s="6"/>
      <c r="O218" s="6"/>
      <c r="P218" s="39"/>
      <c r="Q218" s="6"/>
      <c r="R218" s="6"/>
      <c r="S218" s="6"/>
      <c r="T218" s="6"/>
      <c r="U218" s="6"/>
      <c r="V218" s="24"/>
      <c r="W218" s="98"/>
      <c r="X218" s="39"/>
      <c r="Y218" s="104"/>
      <c r="Z218" s="104"/>
      <c r="AA218" s="104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25"/>
      <c r="AT218" s="91"/>
    </row>
    <row r="219" spans="1:46">
      <c r="A219" s="24"/>
      <c r="C219" s="6"/>
      <c r="D219" s="39"/>
      <c r="E219" s="98"/>
      <c r="F219" s="24"/>
      <c r="G219" s="24"/>
      <c r="H219" s="24"/>
      <c r="I219" s="24"/>
      <c r="J219" s="24"/>
      <c r="K219" s="6"/>
      <c r="L219" s="6"/>
      <c r="M219" s="6"/>
      <c r="N219" s="6"/>
      <c r="O219" s="6"/>
      <c r="P219" s="39"/>
      <c r="Q219" s="6"/>
      <c r="R219" s="6"/>
      <c r="S219" s="6"/>
      <c r="T219" s="6"/>
      <c r="U219" s="6"/>
      <c r="V219" s="24"/>
      <c r="W219" s="98"/>
      <c r="X219" s="39"/>
      <c r="Y219" s="104"/>
      <c r="Z219" s="104"/>
      <c r="AA219" s="104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25"/>
      <c r="AT219" s="91"/>
    </row>
    <row r="220" spans="1:46">
      <c r="A220" s="24"/>
      <c r="C220" s="6"/>
      <c r="D220" s="39"/>
      <c r="E220" s="98"/>
      <c r="F220" s="24"/>
      <c r="G220" s="24"/>
      <c r="H220" s="24"/>
      <c r="I220" s="24"/>
      <c r="J220" s="24"/>
      <c r="K220" s="6"/>
      <c r="L220" s="6"/>
      <c r="M220" s="6"/>
      <c r="N220" s="6"/>
      <c r="O220" s="6"/>
      <c r="P220" s="39"/>
      <c r="Q220" s="6"/>
      <c r="R220" s="6"/>
      <c r="S220" s="6"/>
      <c r="T220" s="6"/>
      <c r="U220" s="6"/>
      <c r="V220" s="24"/>
      <c r="W220" s="98"/>
      <c r="X220" s="39"/>
      <c r="Y220" s="104"/>
      <c r="Z220" s="104"/>
      <c r="AA220" s="104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25"/>
      <c r="AT220" s="91"/>
    </row>
    <row r="221" spans="1:46">
      <c r="A221" s="24"/>
      <c r="C221" s="6"/>
      <c r="D221" s="39"/>
      <c r="E221" s="98"/>
      <c r="F221" s="24"/>
      <c r="G221" s="24"/>
      <c r="H221" s="24"/>
      <c r="I221" s="24"/>
      <c r="J221" s="24"/>
      <c r="K221" s="6"/>
      <c r="L221" s="6"/>
      <c r="M221" s="6"/>
      <c r="N221" s="6"/>
      <c r="O221" s="6"/>
      <c r="P221" s="39"/>
      <c r="Q221" s="6"/>
      <c r="R221" s="6"/>
      <c r="S221" s="6"/>
      <c r="T221" s="6"/>
      <c r="U221" s="6"/>
      <c r="V221" s="24"/>
      <c r="W221" s="98"/>
      <c r="X221" s="39"/>
      <c r="Y221" s="104"/>
      <c r="Z221" s="104"/>
      <c r="AA221" s="104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25"/>
      <c r="AT221" s="91"/>
    </row>
    <row r="222" spans="1:46">
      <c r="A222" s="24"/>
      <c r="C222" s="6"/>
      <c r="D222" s="39"/>
      <c r="E222" s="98"/>
      <c r="F222" s="24"/>
      <c r="G222" s="24"/>
      <c r="H222" s="24"/>
      <c r="I222" s="24"/>
      <c r="J222" s="24"/>
      <c r="K222" s="6"/>
      <c r="L222" s="6"/>
      <c r="M222" s="6"/>
      <c r="N222" s="6"/>
      <c r="O222" s="6"/>
      <c r="P222" s="39"/>
      <c r="Q222" s="6"/>
      <c r="R222" s="6"/>
      <c r="S222" s="6"/>
      <c r="T222" s="6"/>
      <c r="U222" s="6"/>
      <c r="V222" s="24"/>
      <c r="W222" s="98"/>
      <c r="X222" s="39"/>
      <c r="Y222" s="104"/>
      <c r="Z222" s="104"/>
      <c r="AA222" s="104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25"/>
      <c r="AT222" s="91"/>
    </row>
    <row r="223" spans="1:46">
      <c r="A223" s="24"/>
      <c r="C223" s="6"/>
      <c r="D223" s="39"/>
      <c r="E223" s="98"/>
      <c r="F223" s="24"/>
      <c r="G223" s="24"/>
      <c r="H223" s="24"/>
      <c r="I223" s="24"/>
      <c r="J223" s="24"/>
      <c r="K223" s="6"/>
      <c r="L223" s="6"/>
      <c r="M223" s="6"/>
      <c r="N223" s="6"/>
      <c r="O223" s="6"/>
      <c r="P223" s="39"/>
      <c r="Q223" s="6"/>
      <c r="R223" s="6"/>
      <c r="S223" s="6"/>
      <c r="T223" s="6"/>
      <c r="U223" s="6"/>
      <c r="V223" s="24"/>
      <c r="W223" s="98"/>
      <c r="X223" s="39"/>
      <c r="Y223" s="104"/>
      <c r="Z223" s="104"/>
      <c r="AA223" s="104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25"/>
      <c r="AT223" s="91"/>
    </row>
    <row r="224" spans="1:46">
      <c r="AF224" s="6"/>
    </row>
    <row r="225" spans="32:32">
      <c r="AF225" s="6"/>
    </row>
    <row r="226" spans="32:32">
      <c r="AF226" s="6"/>
    </row>
    <row r="227" spans="32:32">
      <c r="AF227" s="6"/>
    </row>
    <row r="228" spans="32:32">
      <c r="AF228" s="6"/>
    </row>
    <row r="229" spans="32:32">
      <c r="AF229" s="6"/>
    </row>
    <row r="230" spans="32:32">
      <c r="AF230" s="6"/>
    </row>
    <row r="231" spans="32:32">
      <c r="AF231" s="6"/>
    </row>
    <row r="232" spans="32:32">
      <c r="AF232" s="6"/>
    </row>
    <row r="233" spans="32:32">
      <c r="AF233" s="6"/>
    </row>
    <row r="234" spans="32:32">
      <c r="AF234" s="6"/>
    </row>
    <row r="235" spans="32:32">
      <c r="AF235" s="6"/>
    </row>
    <row r="236" spans="32:32">
      <c r="AF236" s="6"/>
    </row>
    <row r="237" spans="32:32">
      <c r="AF237" s="6"/>
    </row>
    <row r="238" spans="32:32">
      <c r="AF238" s="6"/>
    </row>
    <row r="239" spans="32:32">
      <c r="AF239" s="6"/>
    </row>
    <row r="240" spans="32:32">
      <c r="AF240" s="6"/>
    </row>
    <row r="241" spans="32:32">
      <c r="AF241" s="6"/>
    </row>
    <row r="242" spans="32:32">
      <c r="AF242" s="6"/>
    </row>
    <row r="243" spans="32:32">
      <c r="AF243" s="6"/>
    </row>
    <row r="244" spans="32:32">
      <c r="AF244" s="6"/>
    </row>
    <row r="245" spans="32:32">
      <c r="AF245" s="6"/>
    </row>
    <row r="246" spans="32:32">
      <c r="AF246" s="6"/>
    </row>
    <row r="247" spans="32:32">
      <c r="AF247" s="6"/>
    </row>
    <row r="248" spans="32:32">
      <c r="AF248" s="6"/>
    </row>
    <row r="249" spans="32:32">
      <c r="AF249" s="6"/>
    </row>
    <row r="250" spans="32:32">
      <c r="AF250" s="6"/>
    </row>
    <row r="251" spans="32:32">
      <c r="AF251" s="6"/>
    </row>
    <row r="252" spans="32:32">
      <c r="AF252" s="6"/>
    </row>
  </sheetData>
  <mergeCells count="1">
    <mergeCell ref="V1:AF1"/>
  </mergeCells>
  <dataValidations count="2">
    <dataValidation type="list" allowBlank="1" showInputMessage="1" showErrorMessage="1" sqref="G3" xr:uid="{486423A9-1AC6-4476-A2DE-E3AC77F12BAE}">
      <formula1>CARGA</formula1>
    </dataValidation>
    <dataValidation type="list" allowBlank="1" showInputMessage="1" showErrorMessage="1" sqref="K3" xr:uid="{1AF1FF26-AA2A-4C61-988F-C50D1D0B1007}">
      <formula1>INSTRUCCIONES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D562F-75A3-4DD2-98A7-F75E7527B8F4}">
          <x14:formula1>
            <xm:f>Hoja2!$A$2:$A$4</xm:f>
          </x14:formula1>
          <xm:sqref>A3</xm:sqref>
        </x14:dataValidation>
        <x14:dataValidation type="list" allowBlank="1" showInputMessage="1" showErrorMessage="1" xr:uid="{283AB9AC-864C-47AB-904D-EA6436712B98}">
          <x14:formula1>
            <xm:f>Hoja2!$F$2:$F$4</xm:f>
          </x14:formula1>
          <xm:sqref>F3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3E6228-D059-4D4A-9844-9FB7E4EC7682}"/>
</file>

<file path=customXml/itemProps2.xml><?xml version="1.0" encoding="utf-8"?>
<ds:datastoreItem xmlns:ds="http://schemas.openxmlformats.org/officeDocument/2006/customXml" ds:itemID="{9733FB95-B7F1-4430-9D8C-98621A69FCF7}"/>
</file>

<file path=customXml/itemProps3.xml><?xml version="1.0" encoding="utf-8"?>
<ds:datastoreItem xmlns:ds="http://schemas.openxmlformats.org/officeDocument/2006/customXml" ds:itemID="{695864D4-4D75-4318-98FB-08B4DB48C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/>
  <cp:revision/>
  <dcterms:created xsi:type="dcterms:W3CDTF">2026-03-04T12:39:48Z</dcterms:created>
  <dcterms:modified xsi:type="dcterms:W3CDTF">2026-03-08T19:24:09Z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