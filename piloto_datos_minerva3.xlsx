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genciadeaduanapirazzoli-my.sharepoint.com/personal/pablo_pirazzoli_cl/Documents/AA_PIRAZZOLI/Proyectos/PROVISORIO_MINERVA/"/>
    </mc:Choice>
  </mc:AlternateContent>
  <xr:revisionPtr revIDLastSave="0" documentId="8_{C6307DFA-69EF-47E4-8981-661B33559B2C}" xr6:coauthVersionLast="47" xr6:coauthVersionMax="47" xr10:uidLastSave="{00000000-0000-0000-0000-000000000000}"/>
  <bookViews>
    <workbookView xWindow="-110" yWindow="-110" windowWidth="19420" windowHeight="11500" xr2:uid="{7618C72B-C967-4346-827E-EFA46EAC6289}"/>
  </bookViews>
  <sheets>
    <sheet name="IMPO TERR" sheetId="1" r:id="rId1"/>
    <sheet name="IMPO MAR" sheetId="5" r:id="rId2"/>
    <sheet name="IMPO AEREA" sheetId="6" r:id="rId3"/>
    <sheet name="CERTIFICACIONES" sheetId="7" r:id="rId4"/>
    <sheet name="Matriz datos" sheetId="2" r:id="rId5"/>
  </sheets>
  <definedNames>
    <definedName name="_xlnm._FilterDatabase" localSheetId="1" hidden="1">'IMPO MAR'!$B$1:$AP$143</definedName>
    <definedName name="_xlnm._FilterDatabase" localSheetId="3" hidden="1">CERTIFICACIONES!$A$1:$I$1</definedName>
    <definedName name="_xlnm._FilterDatabase" localSheetId="0" hidden="1">'IMPO TERR'!$A$1:$AH$1</definedName>
    <definedName name="CARGA">'Matriz datos'!$B$2:$B$9</definedName>
    <definedName name="cliente">'Matriz datos'!$J$2:$J$11</definedName>
    <definedName name="INSTRUCCIONES">'Matriz datos'!$G$2:$G$3</definedName>
    <definedName name="TIPO_CARGA">'Matriz datos'!$C$2:$C$4</definedName>
    <definedName name="TIPO_OPERACION">'Matriz datos'!$D$2:$D$4</definedName>
    <definedName name="TIPO_TRAMITE">'Matriz datos'!$E$2:$E$4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29" i="1" l="1"/>
  <c r="U130" i="1"/>
  <c r="U131" i="1"/>
  <c r="U132" i="1"/>
  <c r="U133" i="1"/>
  <c r="U134" i="1"/>
  <c r="U135" i="1"/>
  <c r="U136" i="1"/>
  <c r="U137" i="1"/>
  <c r="U52" i="1"/>
  <c r="U126" i="1"/>
  <c r="U127" i="1"/>
  <c r="U128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89" i="1"/>
  <c r="U90" i="1"/>
  <c r="U91" i="1"/>
  <c r="U92" i="1"/>
  <c r="U93" i="1"/>
  <c r="U94" i="1"/>
  <c r="U95" i="1"/>
  <c r="U96" i="1"/>
  <c r="U97" i="1"/>
  <c r="U98" i="1"/>
  <c r="U99" i="1"/>
  <c r="U100" i="1"/>
  <c r="U86" i="1"/>
  <c r="U87" i="1"/>
  <c r="U88" i="1"/>
  <c r="U84" i="1"/>
  <c r="U85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4" i="1"/>
  <c r="U55" i="1"/>
  <c r="U56" i="1"/>
  <c r="U57" i="1"/>
  <c r="U58" i="1"/>
  <c r="U59" i="1"/>
  <c r="U60" i="1"/>
  <c r="U61" i="1"/>
  <c r="U62" i="1"/>
  <c r="U64" i="1"/>
  <c r="U65" i="1"/>
  <c r="U66" i="1"/>
  <c r="U68" i="1"/>
  <c r="U69" i="1"/>
  <c r="U70" i="1"/>
  <c r="U71" i="1"/>
  <c r="U72" i="1"/>
  <c r="U73" i="1"/>
  <c r="U74" i="1"/>
  <c r="U75" i="1"/>
  <c r="U77" i="1"/>
  <c r="U78" i="1"/>
  <c r="U79" i="1"/>
  <c r="U80" i="1"/>
  <c r="U81" i="1"/>
  <c r="U82" i="1"/>
  <c r="U83" i="1"/>
  <c r="U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Pablo Pirazzoli</author>
    <author>Melanie Morales</author>
  </authors>
  <commentList>
    <comment ref="F1" authorId="0" shapeId="0" xr:uid="{4486442B-EA0D-43B2-B302-9853CBB26A8F}">
      <text>
        <r>
          <rPr>
            <sz val="11"/>
            <color theme="1"/>
            <rFont val="Calibri"/>
            <family val="2"/>
            <scheme val="minor"/>
          </rPr>
          <t xml:space="preserve">Pablo Pirazzoli:
OK / CON OBSERVACIONES
</t>
        </r>
      </text>
    </comment>
    <comment ref="AC1" authorId="1" shapeId="0" xr:uid="{A75F987F-16DB-4305-B3F5-81AC82E0098F}">
      <text>
        <r>
          <rPr>
            <sz val="11"/>
            <color theme="1"/>
            <rFont val="Calibri"/>
            <family val="2"/>
            <scheme val="minor"/>
          </rPr>
          <t xml:space="preserve">Melanie Morales:
Fecha de papeleta entrega </t>
        </r>
      </text>
    </comment>
    <comment ref="AD1" authorId="1" shapeId="0" xr:uid="{E01D56ED-45BA-42BF-A424-662D755042AE}">
      <text>
        <r>
          <rPr>
            <sz val="11"/>
            <color theme="1"/>
            <rFont val="Calibri"/>
            <family val="2"/>
            <scheme val="minor"/>
          </rPr>
          <t xml:space="preserve">Melanie Morales:
Salida de ptla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Melanie Morales</author>
    <author>Pablo Pirazzoli</author>
  </authors>
  <commentList>
    <comment ref="AJ1" authorId="0" shapeId="0" xr:uid="{2CE31E20-46EF-4AD6-81AF-39E1AEEAE1E9}">
      <text>
        <r>
          <rPr>
            <sz val="11"/>
            <color theme="1"/>
            <rFont val="Calibri"/>
            <family val="2"/>
            <scheme val="minor"/>
          </rPr>
          <t xml:space="preserve">Melanie Morales:
Fecha de papeleta entrega </t>
        </r>
      </text>
    </comment>
    <comment ref="AK1" authorId="0" shapeId="0" xr:uid="{9D34628D-D13B-4A42-849D-58F20A33CB50}">
      <text>
        <r>
          <rPr>
            <sz val="11"/>
            <color theme="1"/>
            <rFont val="Calibri"/>
            <family val="2"/>
            <scheme val="minor"/>
          </rPr>
          <t xml:space="preserve">Melanie Morales:
Salida de ptla </t>
        </r>
      </text>
    </comment>
    <comment ref="AM1" authorId="1" shapeId="0" xr:uid="{32B45A47-FB1B-4949-93AB-3585AC4ABE5C}">
      <text>
        <r>
          <rPr>
            <sz val="11"/>
            <color theme="1"/>
            <rFont val="Calibri"/>
            <family val="2"/>
            <scheme val="minor"/>
          </rPr>
          <t xml:space="preserve">Pablo Pirazzoli:
estado finalizado. datos fijos fila. CIERRE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Melanie Morales</author>
    <author>Pablo Pirazzoli</author>
  </authors>
  <commentList>
    <comment ref="AE1" authorId="0" shapeId="0" xr:uid="{4FBF4001-5C9F-455D-B954-E75FEF8D31C1}">
      <text>
        <r>
          <rPr>
            <sz val="11"/>
            <color theme="1"/>
            <rFont val="Calibri"/>
            <family val="2"/>
            <scheme val="minor"/>
          </rPr>
          <t xml:space="preserve">Melanie Morales:
Fecha de papeleta entrega </t>
        </r>
      </text>
    </comment>
    <comment ref="AF1" authorId="0" shapeId="0" xr:uid="{162EDA1F-493D-42F9-BC8E-88466A5DF0C0}">
      <text>
        <r>
          <rPr>
            <sz val="11"/>
            <color theme="1"/>
            <rFont val="Calibri"/>
            <family val="2"/>
            <scheme val="minor"/>
          </rPr>
          <t xml:space="preserve">Melanie Morales:
Salida de ptla </t>
        </r>
      </text>
    </comment>
    <comment ref="AH1" authorId="1" shapeId="0" xr:uid="{B909D461-21AF-4140-B36A-51ADA9C0C4CC}">
      <text>
        <r>
          <rPr>
            <sz val="11"/>
            <color theme="1"/>
            <rFont val="Calibri"/>
            <family val="2"/>
            <scheme val="minor"/>
          </rPr>
          <t xml:space="preserve">Pablo Pirazzoli:
estado finalizado. datos fijos fila. CIERRE
</t>
        </r>
      </text>
    </comment>
  </commentList>
</comments>
</file>

<file path=xl/sharedStrings.xml><?xml version="1.0" encoding="utf-8"?>
<sst xmlns="http://schemas.openxmlformats.org/spreadsheetml/2006/main" count="4224" uniqueCount="1124">
  <si>
    <t>Referencia cliente.</t>
  </si>
  <si>
    <t>Número de despacho.</t>
  </si>
  <si>
    <t>ESTADO DE LA CARGA</t>
  </si>
  <si>
    <t>INSTRUCCIÓN de DESCARGA</t>
  </si>
  <si>
    <t>Recepción de documentación (FECHA)</t>
  </si>
  <si>
    <t xml:space="preserve">CONDICION DOCUMENTAL </t>
  </si>
  <si>
    <t>Observaciones</t>
  </si>
  <si>
    <t>Fecha: MODIFICACION SOLICITADA</t>
  </si>
  <si>
    <t>CORRECCIONES RECEPCIONADAS</t>
  </si>
  <si>
    <t>FACTURA COMERCIAL</t>
  </si>
  <si>
    <t>TIPO CARGA</t>
  </si>
  <si>
    <t>Origen de la carga.</t>
  </si>
  <si>
    <t>Tipo operacion</t>
  </si>
  <si>
    <t>Paso aduanero (cuando corresponda).</t>
  </si>
  <si>
    <t>CONOCIMIENTO EMBARQUE / CRT</t>
  </si>
  <si>
    <t>MIC</t>
  </si>
  <si>
    <t>EMPRESA DE TRANSPORTE</t>
  </si>
  <si>
    <t>Patente del camión (TRACTO)</t>
  </si>
  <si>
    <t>Patente del camión (REMOLQUE)</t>
  </si>
  <si>
    <t>CLIENTE FINAL</t>
  </si>
  <si>
    <t>Dirección de descarga. DESTINO GD</t>
  </si>
  <si>
    <t>Nombre chofer</t>
  </si>
  <si>
    <t>N° IDENTIFICACION</t>
  </si>
  <si>
    <t>Fecha de ingreso ALMACENISTA</t>
  </si>
  <si>
    <t>FECHA PAPELETA INGRESO</t>
  </si>
  <si>
    <t>Fecha de aceptacion DIN</t>
  </si>
  <si>
    <t>DIN</t>
  </si>
  <si>
    <t xml:space="preserve">COMPROBANTE PAGO TGR </t>
  </si>
  <si>
    <t>Fecha de presentación de documentos.( DESPACHO)</t>
  </si>
  <si>
    <t>Fecha de liberación.( SALIDA DE ALMACEN)</t>
  </si>
  <si>
    <t>SELLO AGA</t>
  </si>
  <si>
    <t>REMESA</t>
  </si>
  <si>
    <t>T/C DOLAR legalizacion</t>
  </si>
  <si>
    <t>T/C liberacion carga</t>
  </si>
  <si>
    <t xml:space="preserve">O/87250-6 </t>
  </si>
  <si>
    <t>LIBERADO</t>
  </si>
  <si>
    <t>EMITIDA</t>
  </si>
  <si>
    <t xml:space="preserve">ok </t>
  </si>
  <si>
    <t>Solo envio de doctos draft</t>
  </si>
  <si>
    <t>05/03/2026 09:35 hrs</t>
  </si>
  <si>
    <t>ENFRIADA</t>
  </si>
  <si>
    <t>Brasil</t>
  </si>
  <si>
    <t>TERRESTRE</t>
  </si>
  <si>
    <t xml:space="preserve">Los Andes </t>
  </si>
  <si>
    <t>BR547044923</t>
  </si>
  <si>
    <t>MARVEL</t>
  </si>
  <si>
    <t>SWY2C62</t>
  </si>
  <si>
    <t>RYP8I48</t>
  </si>
  <si>
    <t xml:space="preserve">ALMAFRIGO </t>
  </si>
  <si>
    <t xml:space="preserve"> FABRICIO ESTEVAO DA CRUZ</t>
  </si>
  <si>
    <t xml:space="preserve">  CPF: 445.947.978-81</t>
  </si>
  <si>
    <t xml:space="preserve">CN 6526-1 </t>
  </si>
  <si>
    <t>PENDIENTE</t>
  </si>
  <si>
    <t>En espera de resolucion de bodega (minerva)</t>
  </si>
  <si>
    <t>CONGELADA</t>
  </si>
  <si>
    <t>Paraguay</t>
  </si>
  <si>
    <t>PY23TMA1134</t>
  </si>
  <si>
    <t>TRANSMA</t>
  </si>
  <si>
    <t>AALJ416</t>
  </si>
  <si>
    <t>AALJ421</t>
  </si>
  <si>
    <t>CIAL</t>
  </si>
  <si>
    <t>JUAN PABLO MORINIGO</t>
  </si>
  <si>
    <t>CI: 3564133</t>
  </si>
  <si>
    <t>SO/6370-22</t>
  </si>
  <si>
    <t>DOCS ORIGINALES PENDIENTES</t>
  </si>
  <si>
    <t>BR547044933</t>
  </si>
  <si>
    <t>RXM4D24</t>
  </si>
  <si>
    <t>RLL3F14</t>
  </si>
  <si>
    <t>WALMART</t>
  </si>
  <si>
    <t>MARCOS ANTONIO DO CARMO</t>
  </si>
  <si>
    <t>CPF: 068.976.759-54</t>
  </si>
  <si>
    <t xml:space="preserve">SO/6370-23 </t>
  </si>
  <si>
    <t>BR547044931</t>
  </si>
  <si>
    <t>RXY9C34</t>
  </si>
  <si>
    <t>RXW9H24</t>
  </si>
  <si>
    <t xml:space="preserve"> IVAN DOS SANTOS</t>
  </si>
  <si>
    <t>CPF: 096.316.418-05</t>
  </si>
  <si>
    <t>SO/6370-26</t>
  </si>
  <si>
    <t>BR547044941</t>
  </si>
  <si>
    <t>QJG8563</t>
  </si>
  <si>
    <t>SXW7I81</t>
  </si>
  <si>
    <t xml:space="preserve">WESLEM DO NASCIMENTO </t>
  </si>
  <si>
    <t>CPF: 042.438.270-95</t>
  </si>
  <si>
    <t>CN 25221</t>
  </si>
  <si>
    <t>2026PYSANJOSE044</t>
  </si>
  <si>
    <t>SAN JOSE</t>
  </si>
  <si>
    <t>TISJ001</t>
  </si>
  <si>
    <t>TISJ004</t>
  </si>
  <si>
    <t>ICESTAR</t>
  </si>
  <si>
    <t>HUGO ARIEL MORINIGO</t>
  </si>
  <si>
    <t>CI: 5.497.180</t>
  </si>
  <si>
    <t>SO/6360-28</t>
  </si>
  <si>
    <t>BR547044939</t>
  </si>
  <si>
    <t>RXQ0G36</t>
  </si>
  <si>
    <t>RYK0I89</t>
  </si>
  <si>
    <t>EEDISON JORGE NUNES</t>
  </si>
  <si>
    <t>SO/6360-25</t>
  </si>
  <si>
    <t xml:space="preserve">C.O. ERROR </t>
  </si>
  <si>
    <t>BR547044872</t>
  </si>
  <si>
    <t>TDX0H19</t>
  </si>
  <si>
    <t>SXM2B63</t>
  </si>
  <si>
    <t>ANDRE LUIZ DE AQUINO SOARES</t>
  </si>
  <si>
    <t>CPF: 932.708.872-72</t>
  </si>
  <si>
    <t xml:space="preserve">SO/6356-4 </t>
  </si>
  <si>
    <t>BR453909363</t>
  </si>
  <si>
    <t>BRILHANTE</t>
  </si>
  <si>
    <t>RHG9B61</t>
  </si>
  <si>
    <t>RLA8I71</t>
  </si>
  <si>
    <t xml:space="preserve">O/87304-3 </t>
  </si>
  <si>
    <t>BR261615121</t>
  </si>
  <si>
    <t>BELMAT</t>
  </si>
  <si>
    <t>GHG7D55</t>
  </si>
  <si>
    <t>RLB4D02</t>
  </si>
  <si>
    <t>MARCELO DINIZ</t>
  </si>
  <si>
    <t xml:space="preserve"> SO/6356-5 </t>
  </si>
  <si>
    <t xml:space="preserve">EMITIDA </t>
  </si>
  <si>
    <t>BR168811718</t>
  </si>
  <si>
    <t>RLB6G92</t>
  </si>
  <si>
    <t>MFV6036</t>
  </si>
  <si>
    <t xml:space="preserve"> HENRIQUE CORREIA</t>
  </si>
  <si>
    <t>09-03-2026 </t>
  </si>
  <si>
    <t>CN 6357-10</t>
  </si>
  <si>
    <t>2026PYSANJOSE049</t>
  </si>
  <si>
    <t>LJWL11</t>
  </si>
  <si>
    <t>KDHS40</t>
  </si>
  <si>
    <t>CN 6358-10</t>
  </si>
  <si>
    <t>26PYFOODS314</t>
  </si>
  <si>
    <t>FRIGOMERC</t>
  </si>
  <si>
    <t>AAAE804</t>
  </si>
  <si>
    <t>AAAE476</t>
  </si>
  <si>
    <t>CN 6359-8</t>
  </si>
  <si>
    <t>PYLG066/2026</t>
  </si>
  <si>
    <t>LUCERY</t>
  </si>
  <si>
    <t>AAGN977</t>
  </si>
  <si>
    <t>AAAE634</t>
  </si>
  <si>
    <t xml:space="preserve">SO/6354-43 </t>
  </si>
  <si>
    <t>C.O. VALIDAR</t>
  </si>
  <si>
    <t>BR547044989</t>
  </si>
  <si>
    <t>JBG8A84</t>
  </si>
  <si>
    <t>RYM5E22</t>
  </si>
  <si>
    <t xml:space="preserve">SO/6354-37 </t>
  </si>
  <si>
    <t>BR547044911</t>
  </si>
  <si>
    <t>RYB8I87</t>
  </si>
  <si>
    <t xml:space="preserve"> ALESSANDRO VIEIRA</t>
  </si>
  <si>
    <t>CN 25320-6</t>
  </si>
  <si>
    <t>PYLG070/2026</t>
  </si>
  <si>
    <t>AAHI130</t>
  </si>
  <si>
    <t>AAKB750</t>
  </si>
  <si>
    <t>RAMIREZ</t>
  </si>
  <si>
    <t xml:space="preserve">SO/6354-41 </t>
  </si>
  <si>
    <t>BR547044956</t>
  </si>
  <si>
    <t>RYX9E71</t>
  </si>
  <si>
    <t>RYP2J71</t>
  </si>
  <si>
    <t>O/87315-2</t>
  </si>
  <si>
    <t>BR547044967</t>
  </si>
  <si>
    <t>RXT9I23</t>
  </si>
  <si>
    <t>RXO5E92</t>
  </si>
  <si>
    <t xml:space="preserve">O/87568 </t>
  </si>
  <si>
    <t>BR698100492</t>
  </si>
  <si>
    <t>VIZZOTTO</t>
  </si>
  <si>
    <t>RYC0I37</t>
  </si>
  <si>
    <t>RLI0I42</t>
  </si>
  <si>
    <t xml:space="preserve">CN 6360-30 </t>
  </si>
  <si>
    <t>PYLG072/2026</t>
  </si>
  <si>
    <t>AAIE199</t>
  </si>
  <si>
    <t>AAMA137</t>
  </si>
  <si>
    <t>FERNANDO ACOSTA AGUILAR</t>
  </si>
  <si>
    <t>08-03-2026 </t>
  </si>
  <si>
    <t>SO/6397-2P</t>
  </si>
  <si>
    <t>GUIA MOD.DESTINO (RUTA 5 SUR N 2786 KM252-PLANTA 3, TALCA)</t>
  </si>
  <si>
    <t>BR707400447</t>
  </si>
  <si>
    <t>MF</t>
  </si>
  <si>
    <t>SQA4B99</t>
  </si>
  <si>
    <t>SPZ5D39</t>
  </si>
  <si>
    <t>Ruta 5 Sur N 2786 KM 252-Planta 3, Talca</t>
  </si>
  <si>
    <t xml:space="preserve"> JACSON DOUGLAS LOCH</t>
  </si>
  <si>
    <t xml:space="preserve"> SO/6456-3 </t>
  </si>
  <si>
    <t>BR512203456</t>
  </si>
  <si>
    <t>VENEZA</t>
  </si>
  <si>
    <t>RGM7C35</t>
  </si>
  <si>
    <t>QJB2B11</t>
  </si>
  <si>
    <t>SO/6354-39</t>
  </si>
  <si>
    <t>BR547044938</t>
  </si>
  <si>
    <t>SXA9J22</t>
  </si>
  <si>
    <t>SXA1F12</t>
  </si>
  <si>
    <t>02-03-2026 </t>
  </si>
  <si>
    <t xml:space="preserve">SO/6370-27 </t>
  </si>
  <si>
    <t>BR547044995</t>
  </si>
  <si>
    <t>RLI5A86</t>
  </si>
  <si>
    <t>RYF1C29</t>
  </si>
  <si>
    <t xml:space="preserve"> STEVAO GARCIA</t>
  </si>
  <si>
    <t>SO/6354-42</t>
  </si>
  <si>
    <t>BR547044969</t>
  </si>
  <si>
    <t>QTL0655</t>
  </si>
  <si>
    <t>RYL9J02</t>
  </si>
  <si>
    <t>SO/6331-15</t>
  </si>
  <si>
    <t>Argentina</t>
  </si>
  <si>
    <t>052024TC2026</t>
  </si>
  <si>
    <t>TRES CRUCES</t>
  </si>
  <si>
    <t>AG826IT</t>
  </si>
  <si>
    <t>AG337WM</t>
  </si>
  <si>
    <t>SO/6330-11</t>
  </si>
  <si>
    <t>052AR219400890</t>
  </si>
  <si>
    <t>RIO COLORADO</t>
  </si>
  <si>
    <t>RBTW67</t>
  </si>
  <si>
    <t>JB6491</t>
  </si>
  <si>
    <t xml:space="preserve"> SO/6354-38 </t>
  </si>
  <si>
    <t>BR547044953</t>
  </si>
  <si>
    <t>RDS0192</t>
  </si>
  <si>
    <t>TPY4177</t>
  </si>
  <si>
    <t xml:space="preserve">JOAO CARLOS ALVES </t>
  </si>
  <si>
    <t>CPF: 714.674.756-53</t>
  </si>
  <si>
    <t xml:space="preserve">O/87772-1 </t>
  </si>
  <si>
    <t>BR547044927</t>
  </si>
  <si>
    <t>RLM6H97</t>
  </si>
  <si>
    <t>QIT8604</t>
  </si>
  <si>
    <t xml:space="preserve">O/87772-2 </t>
  </si>
  <si>
    <t>BR547045030</t>
  </si>
  <si>
    <t>TDQ9I41</t>
  </si>
  <si>
    <t>SXV1F31</t>
  </si>
  <si>
    <t xml:space="preserve"> JOSE PAGOTTI</t>
  </si>
  <si>
    <t xml:space="preserve">SO/6360-31 </t>
  </si>
  <si>
    <t>BR547045033</t>
  </si>
  <si>
    <t>RXZ4F56</t>
  </si>
  <si>
    <t>RYC8F45</t>
  </si>
  <si>
    <t>ALEX SANDRO GARCEZ AMARO</t>
  </si>
  <si>
    <t>CPF: 012.846.590-54</t>
  </si>
  <si>
    <t>SO/6354-45</t>
  </si>
  <si>
    <t>BR547045016</t>
  </si>
  <si>
    <t>RXY9E54</t>
  </si>
  <si>
    <t>RXK1C65</t>
  </si>
  <si>
    <t xml:space="preserve"> MARCIO DA SILVA</t>
  </si>
  <si>
    <t>SO/6370-29</t>
  </si>
  <si>
    <t>BR547045026</t>
  </si>
  <si>
    <t>SXI7A02</t>
  </si>
  <si>
    <t>RYW5J12</t>
  </si>
  <si>
    <t xml:space="preserve"> ELIO PEREIRA DE OLIVEIRA</t>
  </si>
  <si>
    <t xml:space="preserve">SO/6354-46 </t>
  </si>
  <si>
    <t>BR547045038</t>
  </si>
  <si>
    <t>RXW2G34</t>
  </si>
  <si>
    <t>SXA7D71</t>
  </si>
  <si>
    <t>GABRIEL CAMARGO FORTES</t>
  </si>
  <si>
    <t>CPF:446.710.208-66</t>
  </si>
  <si>
    <t xml:space="preserve">CN 6360-29 </t>
  </si>
  <si>
    <t>PY23TMA1138</t>
  </si>
  <si>
    <t>ADRI003</t>
  </si>
  <si>
    <t>ADRI002</t>
  </si>
  <si>
    <t xml:space="preserve"> ALCIDES AVALOS</t>
  </si>
  <si>
    <t xml:space="preserve">AR/18899-1 </t>
  </si>
  <si>
    <t>052AR219400891</t>
  </si>
  <si>
    <t>HDLX77</t>
  </si>
  <si>
    <t>HGKX36</t>
  </si>
  <si>
    <t>TOTTUS</t>
  </si>
  <si>
    <t xml:space="preserve">SO/6362-3 </t>
  </si>
  <si>
    <t>BR453909370</t>
  </si>
  <si>
    <t>RHR6J21</t>
  </si>
  <si>
    <t>RLG5E30</t>
  </si>
  <si>
    <t xml:space="preserve"> ADRIANO DE SOUZA</t>
  </si>
  <si>
    <t xml:space="preserve">SO/6354-44 </t>
  </si>
  <si>
    <t>BR547045035</t>
  </si>
  <si>
    <t>SYU4C97</t>
  </si>
  <si>
    <t>RYT3J70</t>
  </si>
  <si>
    <t xml:space="preserve"> AMILTON SOARES SILVA</t>
  </si>
  <si>
    <t>CPF: 075.503.384-18</t>
  </si>
  <si>
    <t>SO/6362-1</t>
  </si>
  <si>
    <t>BR633202432</t>
  </si>
  <si>
    <t>MIRO</t>
  </si>
  <si>
    <t>SVR4A13</t>
  </si>
  <si>
    <t>SXJ3J97</t>
  </si>
  <si>
    <t xml:space="preserve"> JONATHAN EDUARTS</t>
  </si>
  <si>
    <t>CN 6357-8</t>
  </si>
  <si>
    <t>26PYFOODS316</t>
  </si>
  <si>
    <t>PYFOOD</t>
  </si>
  <si>
    <t>AARP790</t>
  </si>
  <si>
    <t>AAAE475</t>
  </si>
  <si>
    <t>06-03-2026 </t>
  </si>
  <si>
    <t xml:space="preserve">SO/6456-4 </t>
  </si>
  <si>
    <t>BR453909378</t>
  </si>
  <si>
    <t>SEK6H34</t>
  </si>
  <si>
    <t>SXX0174</t>
  </si>
  <si>
    <t xml:space="preserve"> LUCAS DE OLIVEIRA SOUZA</t>
  </si>
  <si>
    <t xml:space="preserve">SO/6356-6 </t>
  </si>
  <si>
    <t>BR453909383</t>
  </si>
  <si>
    <t>SDZ5E28</t>
  </si>
  <si>
    <t>REA1E31</t>
  </si>
  <si>
    <t>JOSENILDO FREIRE DA SILVA</t>
  </si>
  <si>
    <t>SO/6330-13</t>
  </si>
  <si>
    <t>052AR219400892</t>
  </si>
  <si>
    <t>HFST22</t>
  </si>
  <si>
    <t>JL7542</t>
  </si>
  <si>
    <t>CN 25314-3</t>
  </si>
  <si>
    <t>2026PYSANJOSE053</t>
  </si>
  <si>
    <t>AAHX504</t>
  </si>
  <si>
    <t>BETO050</t>
  </si>
  <si>
    <t xml:space="preserve"> JORGE GEDEON</t>
  </si>
  <si>
    <t xml:space="preserve">AR/18699-5 </t>
  </si>
  <si>
    <t>083029TC2026</t>
  </si>
  <si>
    <t>AF325OC</t>
  </si>
  <si>
    <t>AF363HN</t>
  </si>
  <si>
    <t>RENDIC</t>
  </si>
  <si>
    <t>MAYORGA MIGUEL</t>
  </si>
  <si>
    <t>DNI 25375378</t>
  </si>
  <si>
    <t>CN 25235-2</t>
  </si>
  <si>
    <t>PYLG073/2026</t>
  </si>
  <si>
    <t>AAJK151</t>
  </si>
  <si>
    <t>AAIL683</t>
  </si>
  <si>
    <t>KARMAC</t>
  </si>
  <si>
    <t xml:space="preserve"> DAVID GALEANO</t>
  </si>
  <si>
    <t>SO/6330-12</t>
  </si>
  <si>
    <t>05217470TKBA26</t>
  </si>
  <si>
    <t>TURKEN</t>
  </si>
  <si>
    <t>PDKT55</t>
  </si>
  <si>
    <t>KYPP95</t>
  </si>
  <si>
    <t>CORNEJO DAVID ORLANDO</t>
  </si>
  <si>
    <t>CI: 27.724.218-4</t>
  </si>
  <si>
    <t>SO/6370-30</t>
  </si>
  <si>
    <t>BR547045046</t>
  </si>
  <si>
    <t>RYZ5B71</t>
  </si>
  <si>
    <t>TPU5H98</t>
  </si>
  <si>
    <t xml:space="preserve"> LUCIANO DE CAMPOS</t>
  </si>
  <si>
    <t>CPF: 179.279.918-90</t>
  </si>
  <si>
    <t>SO/6362-4</t>
  </si>
  <si>
    <t>BR512203463</t>
  </si>
  <si>
    <t>SXB9E75</t>
  </si>
  <si>
    <t>SXA8C05</t>
  </si>
  <si>
    <t>IVONEI FRANCHINI</t>
  </si>
  <si>
    <t>CPF: 028.716.939-19</t>
  </si>
  <si>
    <t xml:space="preserve">O/87315-3 </t>
  </si>
  <si>
    <t>BR261615139</t>
  </si>
  <si>
    <t>CORDENOSI</t>
  </si>
  <si>
    <t>RYB9H52</t>
  </si>
  <si>
    <t>RLH1B24</t>
  </si>
  <si>
    <t>FABIO DA SILVA ABREU CARDOSO</t>
  </si>
  <si>
    <t>CPF: 139.977.107-83</t>
  </si>
  <si>
    <t xml:space="preserve">SO/6397-10 </t>
  </si>
  <si>
    <t>GUIA MOD.DESTINO (CAMINO STA.MARTA N2101, MAIPU)</t>
  </si>
  <si>
    <t>BR707400448</t>
  </si>
  <si>
    <t>RRX1H82</t>
  </si>
  <si>
    <t>RRT5B32</t>
  </si>
  <si>
    <t>CAMINO SANTA MARTA N2101, MAIPU</t>
  </si>
  <si>
    <t>LUIZ CARLOS RODRIGUES</t>
  </si>
  <si>
    <t>CPF: 920.555.591-68</t>
  </si>
  <si>
    <t>SO/6369-10</t>
  </si>
  <si>
    <t>BR547044982</t>
  </si>
  <si>
    <t>RYH3D89</t>
  </si>
  <si>
    <t>RXK9A35</t>
  </si>
  <si>
    <t xml:space="preserve"> LUIZ ANTONIO DA SILVA</t>
  </si>
  <si>
    <t>CPF: 495.240.971-68</t>
  </si>
  <si>
    <t>SO/6575-1</t>
  </si>
  <si>
    <t xml:space="preserve">Camion no fue inspeccionado ya que estaba bloqueado </t>
  </si>
  <si>
    <t>0520052026CH</t>
  </si>
  <si>
    <t>BERTA GARCIA</t>
  </si>
  <si>
    <t>HLZW91</t>
  </si>
  <si>
    <t>PWST38</t>
  </si>
  <si>
    <t xml:space="preserve"> HUGO DURE OJEDA </t>
  </si>
  <si>
    <t>CI 1.884.261</t>
  </si>
  <si>
    <t>CN 25320-5</t>
  </si>
  <si>
    <t>PYLG074/2026</t>
  </si>
  <si>
    <t>AAIE005</t>
  </si>
  <si>
    <t>AAIE004</t>
  </si>
  <si>
    <t>ANTONIO RIOS</t>
  </si>
  <si>
    <t>CN 25412-1</t>
  </si>
  <si>
    <t>PY23TMA1140</t>
  </si>
  <si>
    <t>AASC567</t>
  </si>
  <si>
    <t>AARP529</t>
  </si>
  <si>
    <t xml:space="preserve"> NELSON GONZALEZ</t>
  </si>
  <si>
    <t>CI: 4.926.875</t>
  </si>
  <si>
    <t>CN 25368-2</t>
  </si>
  <si>
    <t>PYLG075/2026</t>
  </si>
  <si>
    <t>AAGN704</t>
  </si>
  <si>
    <t>AAIN016</t>
  </si>
  <si>
    <t>FRIGOZETA</t>
  </si>
  <si>
    <t>DIEGO SAMUDIO BARRIOS</t>
  </si>
  <si>
    <t>CN 6358-13</t>
  </si>
  <si>
    <t>PYLG076/2026</t>
  </si>
  <si>
    <t>AAHI478</t>
  </si>
  <si>
    <t>AAMS803</t>
  </si>
  <si>
    <t>SERGIO RAMON OVELAR</t>
  </si>
  <si>
    <t>SO/6397-7</t>
  </si>
  <si>
    <t>BR547045048</t>
  </si>
  <si>
    <t>RYH3B97</t>
  </si>
  <si>
    <t>RXO5F99</t>
  </si>
  <si>
    <t xml:space="preserve">SIDNEI DOS SANTOS MASCENA </t>
  </si>
  <si>
    <t>CPF: 003.174.795-71</t>
  </si>
  <si>
    <t>SO/6354-48</t>
  </si>
  <si>
    <t>EN TRANSITO</t>
  </si>
  <si>
    <t>BR547046096</t>
  </si>
  <si>
    <t>RLH5195</t>
  </si>
  <si>
    <t>RAD1204</t>
  </si>
  <si>
    <t>AGLAYR VAGNER DA SILVA BENICIO</t>
  </si>
  <si>
    <t>CPF: 094.932.184-22</t>
  </si>
  <si>
    <t>SO/6362-5</t>
  </si>
  <si>
    <t>EN ALMACEN</t>
  </si>
  <si>
    <t xml:space="preserve"> CAJA CON PROBLE DE ETIQUETADO  A LA ESPERA DE DESTRUCCION </t>
  </si>
  <si>
    <t>BR512203471</t>
  </si>
  <si>
    <t>RLN3177</t>
  </si>
  <si>
    <t>QIE4446</t>
  </si>
  <si>
    <t>EDUARDO FELIPE DE BRITTO</t>
  </si>
  <si>
    <t>CPF: 103.468.359-41</t>
  </si>
  <si>
    <t xml:space="preserve">PENDIENTE </t>
  </si>
  <si>
    <t>O/88092</t>
  </si>
  <si>
    <t xml:space="preserve">BR453909390 </t>
  </si>
  <si>
    <t>RHU1F29</t>
  </si>
  <si>
    <t>TBG6J04</t>
  </si>
  <si>
    <t>MERCADO FRANKLIN 888, SANTIAGO</t>
  </si>
  <si>
    <t>LEANDRO LOPES DE LIMA PEREIRA</t>
  </si>
  <si>
    <t>CPF: 088.840.269-46</t>
  </si>
  <si>
    <t>SO/6362-2</t>
  </si>
  <si>
    <t>BR547045042</t>
  </si>
  <si>
    <t>RLJ2171</t>
  </si>
  <si>
    <t>RYF0E17</t>
  </si>
  <si>
    <t>ROBSON ROSA DO NASCIMENTO</t>
  </si>
  <si>
    <t>CPF: 194.816.998-38</t>
  </si>
  <si>
    <t>SO/6370-32</t>
  </si>
  <si>
    <t>BR547046082</t>
  </si>
  <si>
    <t>RLK5H25</t>
  </si>
  <si>
    <t>SILVANA ADRIA</t>
  </si>
  <si>
    <t>CPF:059.254.209-26</t>
  </si>
  <si>
    <t>SO/6350-9</t>
  </si>
  <si>
    <t>BR547046105</t>
  </si>
  <si>
    <t>RXZ3H19</t>
  </si>
  <si>
    <t>RXV7B59</t>
  </si>
  <si>
    <t xml:space="preserve">EZEQUIEL DOS SANTOS </t>
  </si>
  <si>
    <t>CPF: 004.007.569-94</t>
  </si>
  <si>
    <t>SO/6497-1</t>
  </si>
  <si>
    <t>BR512203472</t>
  </si>
  <si>
    <t>RXY6J89</t>
  </si>
  <si>
    <t>RLH9C86</t>
  </si>
  <si>
    <t>LETICIA DE CARVALHO</t>
  </si>
  <si>
    <t>SO/6350-5</t>
  </si>
  <si>
    <t>BR547046119</t>
  </si>
  <si>
    <t>RLN9J25</t>
  </si>
  <si>
    <t>RLM7H95</t>
  </si>
  <si>
    <t>NATANAEL DOS SANTOS FERTONANE</t>
  </si>
  <si>
    <t>CPF:038.213.502-45</t>
  </si>
  <si>
    <t>SO/6397-8</t>
  </si>
  <si>
    <t>BR512203469</t>
  </si>
  <si>
    <t>SXK6J99</t>
  </si>
  <si>
    <t>RYN2C80</t>
  </si>
  <si>
    <t xml:space="preserve">CLAUDIO LARA DE JESUS </t>
  </si>
  <si>
    <t>CPF: 049.285.829-26</t>
  </si>
  <si>
    <t>SO/6370-28</t>
  </si>
  <si>
    <t>CDA SALUD DEVUELTO POR FIRMADOR</t>
  </si>
  <si>
    <t>BR547045034</t>
  </si>
  <si>
    <t>RYH3E69</t>
  </si>
  <si>
    <t>SXG8173</t>
  </si>
  <si>
    <t>ROBISON JUNIOR FALCAO</t>
  </si>
  <si>
    <t>CPF: 070.468.649-00</t>
  </si>
  <si>
    <t>CN 6357-13</t>
  </si>
  <si>
    <t>PY23TMA1141</t>
  </si>
  <si>
    <t>BRNA075</t>
  </si>
  <si>
    <t>TINI074</t>
  </si>
  <si>
    <t>LUIS BENITZ</t>
  </si>
  <si>
    <t>CI: 3.508.310</t>
  </si>
  <si>
    <t>SO/6354-47</t>
  </si>
  <si>
    <t>BR547046065</t>
  </si>
  <si>
    <t>RXV7D73</t>
  </si>
  <si>
    <t>OJL0526</t>
  </si>
  <si>
    <t>FERNANDO SCHMITT</t>
  </si>
  <si>
    <t>CPF: 022.714.529-10</t>
  </si>
  <si>
    <t>CN 25412-2</t>
  </si>
  <si>
    <t>PY23TMA1142</t>
  </si>
  <si>
    <t>AAVP142</t>
  </si>
  <si>
    <t>AAFR256</t>
  </si>
  <si>
    <t>JUAN CARLOS GONZALES</t>
  </si>
  <si>
    <t>CI: 4.550.729</t>
  </si>
  <si>
    <t>SO/6397-9</t>
  </si>
  <si>
    <t xml:space="preserve"> Pendiente Factura </t>
  </si>
  <si>
    <t>BR707400452</t>
  </si>
  <si>
    <t>SPX6D65</t>
  </si>
  <si>
    <t>SPU3D81</t>
  </si>
  <si>
    <t>RENILDO DE SOUZA</t>
  </si>
  <si>
    <t>16.740.00</t>
  </si>
  <si>
    <t>AR/18699-6</t>
  </si>
  <si>
    <t>083031TC2026</t>
  </si>
  <si>
    <t>AE443QW</t>
  </si>
  <si>
    <t>AE573JA</t>
  </si>
  <si>
    <t>CRISTIAN MARIO CALCATERRA</t>
  </si>
  <si>
    <t>DNI 24344790</t>
  </si>
  <si>
    <t>AR/18891-1</t>
  </si>
  <si>
    <t xml:space="preserve">En espera de cert. embarque ( correcto ) </t>
  </si>
  <si>
    <t>05217474TKBA26</t>
  </si>
  <si>
    <t>26AR094328N</t>
  </si>
  <si>
    <t>LZRH39</t>
  </si>
  <si>
    <t>KYPP93</t>
  </si>
  <si>
    <t xml:space="preserve">ICESTAR (TOTTUS) </t>
  </si>
  <si>
    <t xml:space="preserve"> AV. AMERICO VESPUCIO 0350, QUILICURA</t>
  </si>
  <si>
    <t>CLAUDIO DANIEL AVILA</t>
  </si>
  <si>
    <t>CI: 28.928.820-1</t>
  </si>
  <si>
    <t>CN 6358-12</t>
  </si>
  <si>
    <t>2026PYSANJOSE056B</t>
  </si>
  <si>
    <t>CFGY84</t>
  </si>
  <si>
    <t>GRJZ25</t>
  </si>
  <si>
    <t xml:space="preserve"> JUAN LEDEZMA</t>
  </si>
  <si>
    <t>CN 6358-12A</t>
  </si>
  <si>
    <t>2026PYSANJOSE056A</t>
  </si>
  <si>
    <t>SO/6370-25</t>
  </si>
  <si>
    <t>BR547044942</t>
  </si>
  <si>
    <t>RXW2D34</t>
  </si>
  <si>
    <t>SXJ2B28</t>
  </si>
  <si>
    <t>MARCOS ANTONIO DA  SILVA</t>
  </si>
  <si>
    <t>CPF: 173.180.858-98</t>
  </si>
  <si>
    <t>SO/6331-16</t>
  </si>
  <si>
    <t>052030TC2026</t>
  </si>
  <si>
    <t>AE484FV</t>
  </si>
  <si>
    <t>AE515QK</t>
  </si>
  <si>
    <t>ARIEL MUÑOZ</t>
  </si>
  <si>
    <t>DNI: 26.395.174</t>
  </si>
  <si>
    <t>CN 6355-2P</t>
  </si>
  <si>
    <t>PY23TMA1143</t>
  </si>
  <si>
    <t>CRIS006</t>
  </si>
  <si>
    <t>CRIS008</t>
  </si>
  <si>
    <t>IVAN CESPEDES</t>
  </si>
  <si>
    <t>CI: 4.487.343</t>
  </si>
  <si>
    <t>CN 6359-10</t>
  </si>
  <si>
    <t>26PYFOODS319</t>
  </si>
  <si>
    <t>AARP789</t>
  </si>
  <si>
    <t>AAAE809</t>
  </si>
  <si>
    <t>JOSE OMAR BAREIRO ECHAGUE</t>
  </si>
  <si>
    <t xml:space="preserve"> CI: 3.393.495</t>
  </si>
  <si>
    <t>CN 6359-10A</t>
  </si>
  <si>
    <t>10/0372026</t>
  </si>
  <si>
    <t>26PYFOODS320</t>
  </si>
  <si>
    <t>SO/6331-17</t>
  </si>
  <si>
    <t>052033TC2026</t>
  </si>
  <si>
    <t>EXPOVERDE</t>
  </si>
  <si>
    <t>AH510WF</t>
  </si>
  <si>
    <t>AH482OL</t>
  </si>
  <si>
    <t xml:space="preserve">CESAR AUGUSTO SORIA </t>
  </si>
  <si>
    <t>DNI: 29.701.819</t>
  </si>
  <si>
    <t>SO/6330-14</t>
  </si>
  <si>
    <t>052032TC2026</t>
  </si>
  <si>
    <t>AE443QX</t>
  </si>
  <si>
    <t>AG364RE</t>
  </si>
  <si>
    <t xml:space="preserve">HUGO GASTON CORTES </t>
  </si>
  <si>
    <t>DNI 27.390.951</t>
  </si>
  <si>
    <t>SO/6558-1</t>
  </si>
  <si>
    <t>BR707400454</t>
  </si>
  <si>
    <t>RRP4E97</t>
  </si>
  <si>
    <t>RRL1G49</t>
  </si>
  <si>
    <t xml:space="preserve">IVAN TIAGO MOREIRA SANTOS </t>
  </si>
  <si>
    <t>CPF: 024.612.645-03</t>
  </si>
  <si>
    <t>SO/6370-33</t>
  </si>
  <si>
    <t>BR547046106</t>
  </si>
  <si>
    <t>RLD7F60</t>
  </si>
  <si>
    <t>RXV8D99</t>
  </si>
  <si>
    <t xml:space="preserve">JORGINALDO DE CARVALHO SANTOS </t>
  </si>
  <si>
    <t>CPF: 050.265.945-90</t>
  </si>
  <si>
    <t>CN 25235-1</t>
  </si>
  <si>
    <t>PY23TMA1144</t>
  </si>
  <si>
    <t>AAAU361</t>
  </si>
  <si>
    <t>AARP524</t>
  </si>
  <si>
    <t>ANTONIO RECALDE</t>
  </si>
  <si>
    <t>CI: 4.996.980</t>
  </si>
  <si>
    <t>CN 25320-7</t>
  </si>
  <si>
    <t>26PYFOODS321</t>
  </si>
  <si>
    <t>PY FOODS</t>
  </si>
  <si>
    <t>AAAE437</t>
  </si>
  <si>
    <t>AAAE603</t>
  </si>
  <si>
    <t>DERLIS PARANDERI</t>
  </si>
  <si>
    <t>SO/6350-6</t>
  </si>
  <si>
    <t>BR547046115</t>
  </si>
  <si>
    <t>RYE9F99</t>
  </si>
  <si>
    <t>RYF1B69</t>
  </si>
  <si>
    <t xml:space="preserve">GISLAINE APARECIDA HACK </t>
  </si>
  <si>
    <t>CPF: 050.979.269-35</t>
  </si>
  <si>
    <t>CN 25412-3</t>
  </si>
  <si>
    <t>26PYFOODS322</t>
  </si>
  <si>
    <t>AAAE436</t>
  </si>
  <si>
    <t>AAAE477</t>
  </si>
  <si>
    <t xml:space="preserve">CRISTIAN RAUL GARCIA </t>
  </si>
  <si>
    <t>CI: 5.785.378</t>
  </si>
  <si>
    <t>SO/6558-2</t>
  </si>
  <si>
    <t>RRT1E57</t>
  </si>
  <si>
    <t>RRU8J60</t>
  </si>
  <si>
    <t>CLEITON DE OLIVEIRA MARCONES</t>
  </si>
  <si>
    <t xml:space="preserve"> CPF: 094.988.706-40</t>
  </si>
  <si>
    <t>SO/6354-50</t>
  </si>
  <si>
    <t>BR547046137</t>
  </si>
  <si>
    <t>RVD3G89</t>
  </si>
  <si>
    <t>RYVOF08</t>
  </si>
  <si>
    <t xml:space="preserve">VALTEIR HIPOLITO DA SILVA </t>
  </si>
  <si>
    <t>CPF: 102.840.658-46</t>
  </si>
  <si>
    <t>SO/6354-51</t>
  </si>
  <si>
    <t>BR547046126</t>
  </si>
  <si>
    <t>QJC7985</t>
  </si>
  <si>
    <t>RYEOD53</t>
  </si>
  <si>
    <t xml:space="preserve">LUCIANO DE JESUS DIAS </t>
  </si>
  <si>
    <t>CPF: 248.364.078-85</t>
  </si>
  <si>
    <t>SO/6362-7</t>
  </si>
  <si>
    <t>BR547046103</t>
  </si>
  <si>
    <t>QTK6657</t>
  </si>
  <si>
    <t>QJX4177</t>
  </si>
  <si>
    <t>ROGER SANDRO DE SANTANA</t>
  </si>
  <si>
    <t>SO/6362-9</t>
  </si>
  <si>
    <t>ARRIBADA EN PUERTO</t>
  </si>
  <si>
    <t>BR512203481</t>
  </si>
  <si>
    <t>RGM7C44</t>
  </si>
  <si>
    <t>RXM9F24</t>
  </si>
  <si>
    <t xml:space="preserve">FRENANDO MARTINS DA SALIVA </t>
  </si>
  <si>
    <t>CPF: 061.008.759-26</t>
  </si>
  <si>
    <t>SO/6360-34</t>
  </si>
  <si>
    <t>BR547046132</t>
  </si>
  <si>
    <t>RYG9G47</t>
  </si>
  <si>
    <t>TPO4B59</t>
  </si>
  <si>
    <t xml:space="preserve">HELVECIO CARLOS DE OLIVEIRA JUNIOR </t>
  </si>
  <si>
    <t>CPF: 118.763.976-16</t>
  </si>
  <si>
    <t>AR/18899-2</t>
  </si>
  <si>
    <t xml:space="preserve">SAG OBJETADO (CVI Y CERT. DE EMBARQUE NO CORRESPONDE) </t>
  </si>
  <si>
    <t>05217480TKBA26</t>
  </si>
  <si>
    <t>26AR100249D</t>
  </si>
  <si>
    <t>PDKT58</t>
  </si>
  <si>
    <t>KYPP94</t>
  </si>
  <si>
    <t xml:space="preserve"> RUIZ MARCELO NESTOR RAMON</t>
  </si>
  <si>
    <t>CI: 24.863.267-4</t>
  </si>
  <si>
    <t>SO/6357-14</t>
  </si>
  <si>
    <t>BR547046134</t>
  </si>
  <si>
    <t>RYBOC99</t>
  </si>
  <si>
    <t>RYS2F72</t>
  </si>
  <si>
    <t xml:space="preserve">DARLOU FERNANDES BATISTA </t>
  </si>
  <si>
    <t>CPF: 0209.783.370-79</t>
  </si>
  <si>
    <t>SO/6397-11</t>
  </si>
  <si>
    <t>BR560601898</t>
  </si>
  <si>
    <t>KAIPPER CONT</t>
  </si>
  <si>
    <t>SXS9E90</t>
  </si>
  <si>
    <t>TPY9C58</t>
  </si>
  <si>
    <t xml:space="preserve">SILVONEI DOS SANTOS GONCALVES </t>
  </si>
  <si>
    <t>CPF: 420.952.120-53</t>
  </si>
  <si>
    <t>CN 25320-8</t>
  </si>
  <si>
    <t>2026PYSANJOSE057</t>
  </si>
  <si>
    <t>TISJ007</t>
  </si>
  <si>
    <t>TISJ009</t>
  </si>
  <si>
    <t>FAVIO ESPINOZA</t>
  </si>
  <si>
    <t>CI: 2.348.296</t>
  </si>
  <si>
    <t>CN 25403-1</t>
  </si>
  <si>
    <t>26PYFOODS323</t>
  </si>
  <si>
    <t>AAAE496</t>
  </si>
  <si>
    <t>AAAE511</t>
  </si>
  <si>
    <t>MIGUEL DAVID VARELA FERNANDEZ</t>
  </si>
  <si>
    <t>CI: 2.141.136</t>
  </si>
  <si>
    <t>SO/6370-34</t>
  </si>
  <si>
    <t>BR547046135</t>
  </si>
  <si>
    <t>SYU4D00</t>
  </si>
  <si>
    <t>RYV2F90</t>
  </si>
  <si>
    <t>ANDERSON ANTONIO DA SILVA</t>
  </si>
  <si>
    <t>CPF: 068.583.204-07</t>
  </si>
  <si>
    <t>SO/6370-31</t>
  </si>
  <si>
    <t>BR261615152</t>
  </si>
  <si>
    <t>RXW7G05</t>
  </si>
  <si>
    <t>RDZ3D73</t>
  </si>
  <si>
    <t>MARCO AURELIO BEZERRA DE OLIVEIRA</t>
  </si>
  <si>
    <t>CPF: 080.746.487-29</t>
  </si>
  <si>
    <t>CN 6359-11</t>
  </si>
  <si>
    <t>PYLG0812026</t>
  </si>
  <si>
    <t>AAIL505</t>
  </si>
  <si>
    <t>MIVA102</t>
  </si>
  <si>
    <t>CN 6359-11A</t>
  </si>
  <si>
    <t>PYLG0822026</t>
  </si>
  <si>
    <t>SO/6354-52</t>
  </si>
  <si>
    <t>BR547046136</t>
  </si>
  <si>
    <t>QTK6177</t>
  </si>
  <si>
    <t>TPO5H06</t>
  </si>
  <si>
    <t xml:space="preserve">MARCOS CEZAR ROFRIGUES DE LIMA </t>
  </si>
  <si>
    <t>CPF: 082.195.548-94</t>
  </si>
  <si>
    <t>O/87304-4</t>
  </si>
  <si>
    <t>BR547046185</t>
  </si>
  <si>
    <t>FYO6H53</t>
  </si>
  <si>
    <t>RXX9D74</t>
  </si>
  <si>
    <t>NEUDI CAETANO GRICULO</t>
  </si>
  <si>
    <t>CPF:385.704.409-87</t>
  </si>
  <si>
    <t>O/87243-1</t>
  </si>
  <si>
    <t xml:space="preserve">CERTIFICADO DE ORIGEN NO SE PUDO VALIDAR </t>
  </si>
  <si>
    <t>BR698100497</t>
  </si>
  <si>
    <t>MKJ5565</t>
  </si>
  <si>
    <t>MKT8236</t>
  </si>
  <si>
    <t>SILVINO CABRAL</t>
  </si>
  <si>
    <t>CPF: 388.375.529-04</t>
  </si>
  <si>
    <t>PEND</t>
  </si>
  <si>
    <t>O/87243-1A</t>
  </si>
  <si>
    <t>CERTIFICADO DE ORIGEN YA CORREGIDO</t>
  </si>
  <si>
    <t>BR698100496</t>
  </si>
  <si>
    <t>SO/6359-12</t>
  </si>
  <si>
    <t>CDA SAG OBJETADO (CERTIFICADO DE EMBARQUE)</t>
  </si>
  <si>
    <t>BR547046133</t>
  </si>
  <si>
    <t>JBG8A65</t>
  </si>
  <si>
    <t>RYM5D42</t>
  </si>
  <si>
    <t>RAIMUNDO NONATO FERREIRA HERCULANO</t>
  </si>
  <si>
    <t>CPF: 166.040.508-40</t>
  </si>
  <si>
    <t>SO/6354-49</t>
  </si>
  <si>
    <t>BR547046120</t>
  </si>
  <si>
    <t>RDS0G72</t>
  </si>
  <si>
    <t>RLN1C89</t>
  </si>
  <si>
    <t xml:space="preserve">JORGE LUIZ DE LIMA BARROS </t>
  </si>
  <si>
    <t>CPF: 493.381.374-49</t>
  </si>
  <si>
    <t>O/87631-10</t>
  </si>
  <si>
    <t>BR547046101</t>
  </si>
  <si>
    <t>TDO8H21</t>
  </si>
  <si>
    <t>RYZ8170</t>
  </si>
  <si>
    <t>INTERANDINA</t>
  </si>
  <si>
    <t xml:space="preserve"> PARCELA 141B, FUNDO HIJUELA LARGA, PAINE</t>
  </si>
  <si>
    <t>JOEL CARDOSO</t>
  </si>
  <si>
    <t>SO/6362-6</t>
  </si>
  <si>
    <t>BR512203480</t>
  </si>
  <si>
    <t>SXT6E17</t>
  </si>
  <si>
    <t>SXH3167</t>
  </si>
  <si>
    <t>ANDERSON LUIZ ALVES DOS SANTOS</t>
  </si>
  <si>
    <t>CPF: 029.383.289-74</t>
  </si>
  <si>
    <t>CN 6358-11</t>
  </si>
  <si>
    <t>2026PYSANJOSE059</t>
  </si>
  <si>
    <t>JHFW70</t>
  </si>
  <si>
    <t>GRCV65</t>
  </si>
  <si>
    <t>GABRIEL ISLA</t>
  </si>
  <si>
    <t>CI: 12686397-7</t>
  </si>
  <si>
    <t>SO/6350-8</t>
  </si>
  <si>
    <t>BR547046203</t>
  </si>
  <si>
    <t>CN 25314-4</t>
  </si>
  <si>
    <t>PYLG0832026</t>
  </si>
  <si>
    <t>GERT002</t>
  </si>
  <si>
    <t>VIGI002</t>
  </si>
  <si>
    <t>SO/6604-1</t>
  </si>
  <si>
    <t>0520062026CH</t>
  </si>
  <si>
    <t>26AR103606D</t>
  </si>
  <si>
    <t>JFTH78</t>
  </si>
  <si>
    <t>KDJX80</t>
  </si>
  <si>
    <t>NESTOR SAMUEL DENGEAN MARTINEZ</t>
  </si>
  <si>
    <t xml:space="preserve"> CI 5926181  </t>
  </si>
  <si>
    <t>SO/6330-15</t>
  </si>
  <si>
    <t>052AR219400893</t>
  </si>
  <si>
    <t>26AR103608F</t>
  </si>
  <si>
    <t>LYBH20</t>
  </si>
  <si>
    <t xml:space="preserve"> BRAYAN DUBOY </t>
  </si>
  <si>
    <t>CI: 28.780.146-7</t>
  </si>
  <si>
    <t>CN 25289-1</t>
  </si>
  <si>
    <t>2026PYSANJOSE061</t>
  </si>
  <si>
    <t>AANU301</t>
  </si>
  <si>
    <t>AANU328</t>
  </si>
  <si>
    <t>ARAMARK</t>
  </si>
  <si>
    <t>MILCIADES FRUTOS</t>
  </si>
  <si>
    <t>CI: 811.074</t>
  </si>
  <si>
    <t>CN 25346</t>
  </si>
  <si>
    <t>PY23TMA1146</t>
  </si>
  <si>
    <t>MMSS401</t>
  </si>
  <si>
    <t>AAPP529</t>
  </si>
  <si>
    <t xml:space="preserve">JESUS MANUEL AGUILERA </t>
  </si>
  <si>
    <t>CI: 3.501.447</t>
  </si>
  <si>
    <t>14/03/202</t>
  </si>
  <si>
    <t xml:space="preserve"> CN 6360-32</t>
  </si>
  <si>
    <t>2026PYSANJOSE060</t>
  </si>
  <si>
    <t>HSTR29</t>
  </si>
  <si>
    <t>JL1320</t>
  </si>
  <si>
    <t>JUAN QUIÑONEZ</t>
  </si>
  <si>
    <t>CI: 2.144.096</t>
  </si>
  <si>
    <t xml:space="preserve">          O/87773-1</t>
  </si>
  <si>
    <t>BR547046180</t>
  </si>
  <si>
    <t>JBG8A85</t>
  </si>
  <si>
    <t>RXO6B26</t>
  </si>
  <si>
    <t xml:space="preserve">RAFAEL DE SOUSA SANTOS </t>
  </si>
  <si>
    <t>CPF: 009.773.233-82</t>
  </si>
  <si>
    <t>O/88198-1</t>
  </si>
  <si>
    <t>BR547046205</t>
  </si>
  <si>
    <t>TDQ9J78</t>
  </si>
  <si>
    <t>SXO0G12</t>
  </si>
  <si>
    <t xml:space="preserve">RONIELE JOSE DA SILVA </t>
  </si>
  <si>
    <t>CPF: 993.664.365-87</t>
  </si>
  <si>
    <t>SO/6356-7</t>
  </si>
  <si>
    <t>BR512203488</t>
  </si>
  <si>
    <t>SXK2E84</t>
  </si>
  <si>
    <t>SXS7A53</t>
  </si>
  <si>
    <t xml:space="preserve">ATENIR JOSE CONTEZINI JUNIOR </t>
  </si>
  <si>
    <t>CPF: 096.813.369-09</t>
  </si>
  <si>
    <t>CN 25374</t>
  </si>
  <si>
    <t>PYLG0852026</t>
  </si>
  <si>
    <t>CN 6568-1</t>
  </si>
  <si>
    <t>PY23TMA1147</t>
  </si>
  <si>
    <t>AASC568</t>
  </si>
  <si>
    <t>AALI647</t>
  </si>
  <si>
    <t>OSMAR FRNANDEZ</t>
  </si>
  <si>
    <t>CI: 1.878.782</t>
  </si>
  <si>
    <t>CN 6360-33</t>
  </si>
  <si>
    <t>2026PYSANJOSE062</t>
  </si>
  <si>
    <t>RLLT46</t>
  </si>
  <si>
    <t>PWSF70</t>
  </si>
  <si>
    <t>JULIO COLMAN GALEANO</t>
  </si>
  <si>
    <t>CI: 5.073.059</t>
  </si>
  <si>
    <t>CN 6357-11</t>
  </si>
  <si>
    <t>2026PYSANJOSE063</t>
  </si>
  <si>
    <t>RHFL26</t>
  </si>
  <si>
    <t>PWSC29</t>
  </si>
  <si>
    <t>CLETO ANDRES AYALA</t>
  </si>
  <si>
    <t>CI: 3.587.082</t>
  </si>
  <si>
    <t>CN 6358-16</t>
  </si>
  <si>
    <t>2026PYSANJOSE064</t>
  </si>
  <si>
    <t>TPPV22</t>
  </si>
  <si>
    <t>PXFH53</t>
  </si>
  <si>
    <t>CN 6360-36</t>
  </si>
  <si>
    <t>26PYFOODS327</t>
  </si>
  <si>
    <t>SO/6575-2</t>
  </si>
  <si>
    <t>052AR219400894</t>
  </si>
  <si>
    <t>26AR106089L</t>
  </si>
  <si>
    <t>DANIEL PEREZ</t>
  </si>
  <si>
    <t>DNI 41.031.050</t>
  </si>
  <si>
    <t>O/88096</t>
  </si>
  <si>
    <t>BR453909412</t>
  </si>
  <si>
    <t>ACU1J62</t>
  </si>
  <si>
    <t>RLB9D72</t>
  </si>
  <si>
    <t>EDUARDO ZILCH MARAFIGO</t>
  </si>
  <si>
    <t>CPF:115.405.239-77</t>
  </si>
  <si>
    <t>SO/6350-7</t>
  </si>
  <si>
    <t>BR261615175</t>
  </si>
  <si>
    <t>SXS2H34</t>
  </si>
  <si>
    <t>SXP8F54</t>
  </si>
  <si>
    <t xml:space="preserve">ALTENIR BATISTA DA SILVA </t>
  </si>
  <si>
    <t>CPF: 036.553.169-33</t>
  </si>
  <si>
    <t>SO/6370-36</t>
  </si>
  <si>
    <t>BR547046130</t>
  </si>
  <si>
    <t>RYG9G57</t>
  </si>
  <si>
    <t>RYG2186</t>
  </si>
  <si>
    <t>ALEXANDRE MAURICIO DOS SANTOS</t>
  </si>
  <si>
    <t>CPF:259.913.778-04</t>
  </si>
  <si>
    <t>SO/6362-8</t>
  </si>
  <si>
    <t>CERTIFICADO DE ORIGEN  PRESENTA  PROBLEMAS DE VALIDACIÓN</t>
  </si>
  <si>
    <t>BR547046184</t>
  </si>
  <si>
    <t>RXO7A66</t>
  </si>
  <si>
    <t>TPO5116</t>
  </si>
  <si>
    <t>LUCIANO GUARIPUNA DE OLIVEIRA</t>
  </si>
  <si>
    <t>CPF:029.142.951-38</t>
  </si>
  <si>
    <t>SO/6360-37</t>
  </si>
  <si>
    <t>BR547046260</t>
  </si>
  <si>
    <t>RYU6H51</t>
  </si>
  <si>
    <t>RYY6J50</t>
  </si>
  <si>
    <t>JULINHO KRAUS,</t>
  </si>
  <si>
    <t xml:space="preserve"> CPF: 051.754.259-51</t>
  </si>
  <si>
    <t>SO/6604-2</t>
  </si>
  <si>
    <t>0520072026CH</t>
  </si>
  <si>
    <t>26AR108146H</t>
  </si>
  <si>
    <t>HLZW34</t>
  </si>
  <si>
    <t>JN1270</t>
  </si>
  <si>
    <t>HERMAN JACQUET</t>
  </si>
  <si>
    <t>CI 1.278.703</t>
  </si>
  <si>
    <t>CN 25320-10</t>
  </si>
  <si>
    <t>PYLG0892026</t>
  </si>
  <si>
    <t>CN 25412-4</t>
  </si>
  <si>
    <t>2026PYSANJOSE065</t>
  </si>
  <si>
    <t>CN 6359-13</t>
  </si>
  <si>
    <t>26PYFOODS328</t>
  </si>
  <si>
    <t>CN 25320-9</t>
  </si>
  <si>
    <t>PYLG0872026</t>
  </si>
  <si>
    <t>CN 25412-5</t>
  </si>
  <si>
    <t>2026PYSANJOSE066</t>
  </si>
  <si>
    <t>CN 25401-1</t>
  </si>
  <si>
    <t>PYLG0882026</t>
  </si>
  <si>
    <t>SO/6397-13</t>
  </si>
  <si>
    <t>BR707400460</t>
  </si>
  <si>
    <t>CN 6357-12</t>
  </si>
  <si>
    <t xml:space="preserve">FALTA CRT </t>
  </si>
  <si>
    <t>O/87671-2</t>
  </si>
  <si>
    <t>BR261615170</t>
  </si>
  <si>
    <t>SO/6370-40</t>
  </si>
  <si>
    <t>SO/6362-10</t>
  </si>
  <si>
    <t>Referencia de cliente.</t>
  </si>
  <si>
    <t>ETA</t>
  </si>
  <si>
    <t>Confirmación de recepción de documentación (fecha correo)</t>
  </si>
  <si>
    <t>Indicación de si los documentos se encuentran OK o con observaciones.</t>
  </si>
  <si>
    <t>Fecha en que se solicitó modificación.</t>
  </si>
  <si>
    <t>Fecha en que se notificó.</t>
  </si>
  <si>
    <t>Fecha en que se recibieron correcciones.</t>
  </si>
  <si>
    <t>Fecha de nueva presentación, si corresponde.</t>
  </si>
  <si>
    <t>PASO ADUANERO</t>
  </si>
  <si>
    <t>factura comercial</t>
  </si>
  <si>
    <t>NAVE</t>
  </si>
  <si>
    <t>BL</t>
  </si>
  <si>
    <t>ALMACEN</t>
  </si>
  <si>
    <t xml:space="preserve">N° CONTENEDOR </t>
  </si>
  <si>
    <t>EMPRESA TRANSPORTE NACIONAL (BODEGA)</t>
  </si>
  <si>
    <t>PRONTO DESPACHO (FECHA SOLICITADO)</t>
  </si>
  <si>
    <t xml:space="preserve">Nombre chofer </t>
  </si>
  <si>
    <t>N° IDENTIFICACION CHOFER</t>
  </si>
  <si>
    <t>CDA SEREMI</t>
  </si>
  <si>
    <t>Resolucion Sanitaria UYD</t>
  </si>
  <si>
    <t>SAG</t>
  </si>
  <si>
    <t>IIPA</t>
  </si>
  <si>
    <t>Fecha de presentación de documentos.(VISACIÓN)</t>
  </si>
  <si>
    <t xml:space="preserve">Fecha de liberación - DESPACHADO </t>
  </si>
  <si>
    <t xml:space="preserve">FACTURA AGENCIA </t>
  </si>
  <si>
    <t>VALOR REMESA</t>
  </si>
  <si>
    <t>B/79127-2</t>
  </si>
  <si>
    <t>ok</t>
  </si>
  <si>
    <t>-</t>
  </si>
  <si>
    <t>DRY</t>
  </si>
  <si>
    <t>MARITIMA</t>
  </si>
  <si>
    <t>San Antonio</t>
  </si>
  <si>
    <t>DUSSELDORF EXPRESS</t>
  </si>
  <si>
    <t>CONTOPSA</t>
  </si>
  <si>
    <t>MRSU6552560</t>
  </si>
  <si>
    <t>TAVI</t>
  </si>
  <si>
    <t>NO APLICA</t>
  </si>
  <si>
    <t>San Francisco del Mostazal 12.3</t>
  </si>
  <si>
    <t>Cristian Alcaino</t>
  </si>
  <si>
    <r>
      <t> </t>
    </r>
    <r>
      <rPr>
        <sz val="11"/>
        <color theme="1"/>
        <rFont val="Calibri"/>
        <family val="2"/>
        <charset val="1"/>
      </rPr>
      <t>13340077-K</t>
    </r>
  </si>
  <si>
    <t>0520260011511CDA</t>
  </si>
  <si>
    <t>COL/7556-2</t>
  </si>
  <si>
    <t>Colombia</t>
  </si>
  <si>
    <t>Valparaiso</t>
  </si>
  <si>
    <t>ME-10756</t>
  </si>
  <si>
    <t>MATTHEW SCHULTE</t>
  </si>
  <si>
    <t>BGA0513090</t>
  </si>
  <si>
    <t>ZEAL</t>
  </si>
  <si>
    <t>SZLU5103010</t>
  </si>
  <si>
    <t>VALPOTRANS</t>
  </si>
  <si>
    <t>CENCOSUD</t>
  </si>
  <si>
    <t>SAN PABLO 11011, Pudahuel (cliente cencosud)</t>
  </si>
  <si>
    <t>0520260013509CDA</t>
  </si>
  <si>
    <t>B/79127-3</t>
  </si>
  <si>
    <t>BSIU8108703</t>
  </si>
  <si>
    <t>San Francisco de Mostazal 19.3</t>
  </si>
  <si>
    <r>
      <t>Héctor Vilchez</t>
    </r>
    <r>
      <rPr>
        <sz val="11"/>
        <color theme="1"/>
        <rFont val="Calibri"/>
        <family val="2"/>
        <scheme val="minor"/>
      </rPr>
      <t> </t>
    </r>
  </si>
  <si>
    <t>19069744-4</t>
  </si>
  <si>
    <t>0520260012370CDA</t>
  </si>
  <si>
    <t>B/79127-4</t>
  </si>
  <si>
    <t>lista de empaque</t>
  </si>
  <si>
    <t>MAERSK ACADIA</t>
  </si>
  <si>
    <t>MRKU5133782</t>
  </si>
  <si>
    <t>B/79127-5</t>
  </si>
  <si>
    <t>CAAU9115910</t>
  </si>
  <si>
    <t>B/79127-6</t>
  </si>
  <si>
    <t>MRKU5345333</t>
  </si>
  <si>
    <t>B/79127-7</t>
  </si>
  <si>
    <t>SUDU8788114</t>
  </si>
  <si>
    <t>179630 (MARITIMA)</t>
  </si>
  <si>
    <t>180128 (MARITIMA)</t>
  </si>
  <si>
    <t>180082 (MARITIMA)</t>
  </si>
  <si>
    <t>180352 (MARITIMA)</t>
  </si>
  <si>
    <t xml:space="preserve">Paso aduanero </t>
  </si>
  <si>
    <t>AWL / GUIA AEREA</t>
  </si>
  <si>
    <t>EMISOR GUIA AEREA</t>
  </si>
  <si>
    <t>S-79335</t>
  </si>
  <si>
    <t>AEREO</t>
  </si>
  <si>
    <t xml:space="preserve">METROPOLITANA </t>
  </si>
  <si>
    <t>ABSA AEROLINHAS BRASILEIRAS</t>
  </si>
  <si>
    <t xml:space="preserve"> </t>
  </si>
  <si>
    <t>1320260001388CDA</t>
  </si>
  <si>
    <t>S-79335A</t>
  </si>
  <si>
    <t>REF. CLIENTE</t>
  </si>
  <si>
    <t>DESPACHO</t>
  </si>
  <si>
    <t>FECHA PRESENTACION</t>
  </si>
  <si>
    <t>TIPO TRAMITE</t>
  </si>
  <si>
    <t>ENTIDAD</t>
  </si>
  <si>
    <t xml:space="preserve">DOCUMENTO </t>
  </si>
  <si>
    <t>ADUANA</t>
  </si>
  <si>
    <t>ESTADO</t>
  </si>
  <si>
    <t>OBSERVACIONES</t>
  </si>
  <si>
    <t>CDA</t>
  </si>
  <si>
    <t>SEREMI</t>
  </si>
  <si>
    <t>LOS ANDES</t>
  </si>
  <si>
    <t>UYD</t>
  </si>
  <si>
    <t>0520260012446CDA</t>
  </si>
  <si>
    <t>0520260018764IIPA</t>
  </si>
  <si>
    <t>0520260011071CDA</t>
  </si>
  <si>
    <t>0520260011763CDA</t>
  </si>
  <si>
    <t>0520260010619CDA</t>
  </si>
  <si>
    <t>0520260010919CDA</t>
  </si>
  <si>
    <t>0520260011333CDA</t>
  </si>
  <si>
    <t>0520260011336CDA</t>
  </si>
  <si>
    <t>0520260011220CDA</t>
  </si>
  <si>
    <t>0520260011285CDA</t>
  </si>
  <si>
    <t>0520260011841CDA</t>
  </si>
  <si>
    <t xml:space="preserve">SO/6356-5 </t>
  </si>
  <si>
    <t>0520260011208CDA</t>
  </si>
  <si>
    <t>0520260011782CDA</t>
  </si>
  <si>
    <t>0520260011535CDA</t>
  </si>
  <si>
    <t>0520260011407CDA</t>
  </si>
  <si>
    <t>0520260011476CDA</t>
  </si>
  <si>
    <t>0520260011359CDA</t>
  </si>
  <si>
    <t>0520260011416CDA</t>
  </si>
  <si>
    <t>0520260011864CDA</t>
  </si>
  <si>
    <t>0520260011897CDA</t>
  </si>
  <si>
    <t>0520260011917CDA</t>
  </si>
  <si>
    <t>0520260011516CDA</t>
  </si>
  <si>
    <t>0520260011946CDA</t>
  </si>
  <si>
    <t xml:space="preserve">SO/6456-3 </t>
  </si>
  <si>
    <t>0520260012067CDA</t>
  </si>
  <si>
    <t>0520260011881CDA</t>
  </si>
  <si>
    <t>0520260012044CDA</t>
  </si>
  <si>
    <t>0520260012066CDA</t>
  </si>
  <si>
    <t xml:space="preserve">0520260012059CDA </t>
  </si>
  <si>
    <t>0520260011708CDA</t>
  </si>
  <si>
    <t xml:space="preserve">SO/6354-38 </t>
  </si>
  <si>
    <t>0520260012068CDA</t>
  </si>
  <si>
    <t>0520260011858CDA</t>
  </si>
  <si>
    <t>0520260012143CDA</t>
  </si>
  <si>
    <t>0520260012308CDA</t>
  </si>
  <si>
    <t>0520260011913CDA</t>
  </si>
  <si>
    <t>0520260012190CDA</t>
  </si>
  <si>
    <t>0520260012109CDA</t>
  </si>
  <si>
    <t>0520260012345CDA</t>
  </si>
  <si>
    <t>0520260012228CDA</t>
  </si>
  <si>
    <t>0520260011922CDA</t>
  </si>
  <si>
    <t>0520260012239CDA</t>
  </si>
  <si>
    <t>0520260011936CDA</t>
  </si>
  <si>
    <t>0520260011443SCD</t>
  </si>
  <si>
    <t xml:space="preserve">LOS ANDES </t>
  </si>
  <si>
    <t>0520260012113CDA</t>
  </si>
  <si>
    <t>0520260012536CDA</t>
  </si>
  <si>
    <t>0520260012538CDA</t>
  </si>
  <si>
    <t>0520260011930CDA</t>
  </si>
  <si>
    <t>0520260012240CDA</t>
  </si>
  <si>
    <t>0520260011949CDA</t>
  </si>
  <si>
    <t>0520260012542CDA</t>
  </si>
  <si>
    <t>0520260012282CDA</t>
  </si>
  <si>
    <t>0520260012566CDA</t>
  </si>
  <si>
    <t>0520260012574CDA</t>
  </si>
  <si>
    <t>0520260012603CDA</t>
  </si>
  <si>
    <t>0520260012454CDA</t>
  </si>
  <si>
    <t>0520260012350CDA</t>
  </si>
  <si>
    <t>0520260012510CDA</t>
  </si>
  <si>
    <t>0520260012580CDA</t>
  </si>
  <si>
    <t>0520260012505CDA</t>
  </si>
  <si>
    <t>0520260012739CDA</t>
  </si>
  <si>
    <t>0520260012865CDA</t>
  </si>
  <si>
    <t>0520260012663CDA</t>
  </si>
  <si>
    <t>0520260012881CDA</t>
  </si>
  <si>
    <t>0520260012979CDA</t>
  </si>
  <si>
    <t>0520260012720CDA</t>
  </si>
  <si>
    <t>0520260012894CDA</t>
  </si>
  <si>
    <t>0520260012751CDA</t>
  </si>
  <si>
    <t>0520260012889CDA</t>
  </si>
  <si>
    <t>0520260013160CDA</t>
  </si>
  <si>
    <t>0520260013030CDA</t>
  </si>
  <si>
    <t>0520260012912CDA</t>
  </si>
  <si>
    <t>0520260012789CDA</t>
  </si>
  <si>
    <t>0520260012903CDA</t>
  </si>
  <si>
    <t>0520260013175CDA</t>
  </si>
  <si>
    <t>0520260013042CDA</t>
  </si>
  <si>
    <t>0520260013327CDA</t>
  </si>
  <si>
    <t>0520260012980CDA</t>
  </si>
  <si>
    <t>0520260013114CDA</t>
  </si>
  <si>
    <t>0520260013190CDA</t>
  </si>
  <si>
    <t xml:space="preserve">CDA </t>
  </si>
  <si>
    <t>0520260013059CDA</t>
  </si>
  <si>
    <t>0520260012984CDA</t>
  </si>
  <si>
    <t>0520260013234CDA</t>
  </si>
  <si>
    <t>0520260013230CDA</t>
  </si>
  <si>
    <t>0520260013238CDA</t>
  </si>
  <si>
    <t>0520260013300CDA</t>
  </si>
  <si>
    <t>0520260013605CDA</t>
  </si>
  <si>
    <t>0520260013402CDA</t>
  </si>
  <si>
    <t>0520260013424CDA</t>
  </si>
  <si>
    <t>0520260013610CDA</t>
  </si>
  <si>
    <t>0520260013477CDA</t>
  </si>
  <si>
    <t>0520260013309CDA</t>
  </si>
  <si>
    <t>0520260013435CDA</t>
  </si>
  <si>
    <t>0520260013737CDA</t>
  </si>
  <si>
    <t>0520260013473CDA</t>
  </si>
  <si>
    <t>0520260013572CDA</t>
  </si>
  <si>
    <t>0520260013653CDA</t>
  </si>
  <si>
    <t>0520260013830CDA</t>
  </si>
  <si>
    <t>0520260014178CDA</t>
  </si>
  <si>
    <t>0520260013591CDA</t>
  </si>
  <si>
    <t>0520260013521CDA</t>
  </si>
  <si>
    <t>0520260013863CDA</t>
  </si>
  <si>
    <t>0520260013582CDA</t>
  </si>
  <si>
    <t>0520260013604CDA</t>
  </si>
  <si>
    <t>0520260013864CDA</t>
  </si>
  <si>
    <t>2605127576 </t>
  </si>
  <si>
    <t>0520260013740CDA</t>
  </si>
  <si>
    <t>0520260013597CDA</t>
  </si>
  <si>
    <t>0520260013701CDA</t>
  </si>
  <si>
    <t>0520260013994CDA</t>
  </si>
  <si>
    <t>0520260013787CDA</t>
  </si>
  <si>
    <t>0520260013868CDA</t>
  </si>
  <si>
    <t>0520260013878CDA</t>
  </si>
  <si>
    <t>0520260013772CDA</t>
  </si>
  <si>
    <t>0520260014263CDA</t>
  </si>
  <si>
    <t>0520260013869CDA</t>
  </si>
  <si>
    <t>0520260013916CDA</t>
  </si>
  <si>
    <t>0520260013809CDA</t>
  </si>
  <si>
    <t>0520260013875CDA</t>
  </si>
  <si>
    <t>CN 6360-32</t>
  </si>
  <si>
    <t>0520260014244CDA</t>
  </si>
  <si>
    <t>O/87773-1</t>
  </si>
  <si>
    <t>0520260013851CDA</t>
  </si>
  <si>
    <t>0520260013876CDA</t>
  </si>
  <si>
    <t>0520260014112CDA</t>
  </si>
  <si>
    <t>0520260014326CDA</t>
  </si>
  <si>
    <t>0520260014117CDA</t>
  </si>
  <si>
    <t>0520260013883CDA</t>
  </si>
  <si>
    <t>O/88097</t>
  </si>
  <si>
    <t>O/88098</t>
  </si>
  <si>
    <t>0520260014430CDA</t>
  </si>
  <si>
    <t>0520260014437CDA</t>
  </si>
  <si>
    <t>0520260014477CDA</t>
  </si>
  <si>
    <t>0520260014485CDA</t>
  </si>
  <si>
    <t>ESTADO DE OPERACION</t>
  </si>
  <si>
    <t>CARGA</t>
  </si>
  <si>
    <t>TIPO OPERACION</t>
  </si>
  <si>
    <t>INSRUCCION DESCARGA</t>
  </si>
  <si>
    <t>OBSERVACION DOCUMENTAL</t>
  </si>
  <si>
    <t>cliente</t>
  </si>
  <si>
    <t>direccion</t>
  </si>
  <si>
    <t>EN CURSO</t>
  </si>
  <si>
    <t>AEREA</t>
  </si>
  <si>
    <t>carga en viaje a puerto</t>
  </si>
  <si>
    <t>PRESENTACIÓN SAG OBJETADA</t>
  </si>
  <si>
    <t>CORREGIR documentos</t>
  </si>
  <si>
    <t>AV. GALVARINO 8601 BGA. 11, QUILICURA</t>
  </si>
  <si>
    <t>FINALIZADA</t>
  </si>
  <si>
    <t>carga ingresa a puerto</t>
  </si>
  <si>
    <t>GUIA DESPACHO EMITIDA</t>
  </si>
  <si>
    <t>PRESENTACIÓN SEREMI OBJETADA</t>
  </si>
  <si>
    <t>Documentos pendientes</t>
  </si>
  <si>
    <t>CAMINO SANTA MARTA 2101, MAIPU</t>
  </si>
  <si>
    <t>URGENTE</t>
  </si>
  <si>
    <t>SECA - DRY</t>
  </si>
  <si>
    <t>boleta emitida/ carga ingresa a Ext Contopsa</t>
  </si>
  <si>
    <t>PRESENTACION SAG - SEREMI OBJETADA</t>
  </si>
  <si>
    <t>Documentos OK</t>
  </si>
  <si>
    <t>AV. PDTE. EDUARDO FREI 8301, QUILICURA</t>
  </si>
  <si>
    <t>DESPACHADO</t>
  </si>
  <si>
    <t>espera instrucciones descarga</t>
  </si>
  <si>
    <t>AV. AMERICO VESPUCIO 0350, QUILICURA</t>
  </si>
  <si>
    <t>AV. EL PARRON 345, LA CISTERNA</t>
  </si>
  <si>
    <t>CAMINO LO AGUIRRE SUR 537, PUDAHUEL </t>
  </si>
  <si>
    <t>CORDILLERA 451, QUILICURA</t>
  </si>
  <si>
    <t>6 ORIENTE 152-D CALETERA ORIENTE ALTURA KM 39, PAINE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</si>
</sst>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1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242424"/>
      <name val="Aptos Narrow"/>
      <charset val="1"/>
    </font>
    <font>
      <u/>
      <sz val="11"/>
      <color rgb="FF0563C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</font>
    <font>
      <sz val="11"/>
      <color rgb="FF000000"/>
      <name val="Calibri"/>
      <charset val="1"/>
    </font>
    <font>
      <sz val="11"/>
      <color rgb="FF000000"/>
      <name val="Calibri"/>
      <scheme val="minor"/>
    </font>
    <font>
      <sz val="9"/>
      <color theme="1"/>
      <name val="Arial"/>
      <charset val="1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scheme val="minor"/>
    </font>
    <font>
      <b/>
      <sz val="11"/>
      <color theme="0"/>
      <name val="Calibri"/>
      <family val="2"/>
      <scheme val="minor"/>
    </font>
    <font>
      <sz val="11"/>
      <color rgb="FFC29204"/>
      <name val="Calibri"/>
      <family val="2"/>
      <scheme val="minor"/>
    </font>
    <font>
      <b/>
      <sz val="12"/>
      <color theme="1"/>
      <name val="Calibri"/>
    </font>
    <font>
      <sz val="12"/>
      <color theme="1"/>
      <name val="Calibri"/>
    </font>
    <font>
      <sz val="12"/>
      <color theme="1"/>
      <name val="Calibri"/>
      <scheme val="minor"/>
    </font>
    <font>
      <b/>
      <sz val="12"/>
      <color rgb="FF000000"/>
      <name val="Calibri"/>
      <scheme val="minor"/>
    </font>
    <font>
      <sz val="12"/>
      <color rgb="FF000000"/>
      <name val="Calibri"/>
      <scheme val="minor"/>
    </font>
    <font>
      <sz val="12"/>
      <color theme="1"/>
      <name val="Calibri"/>
      <family val="2"/>
      <scheme val="minor"/>
    </font>
    <font>
      <sz val="11"/>
      <color rgb="FF242424"/>
      <name val="Calibri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theme="1"/>
      <name val="Arial"/>
      <charset val="1"/>
    </font>
    <font>
      <sz val="11"/>
      <color theme="1"/>
      <name val="Calibri"/>
      <charset val="1"/>
    </font>
    <font>
      <sz val="11"/>
      <color theme="1"/>
      <name val="Calibri"/>
      <family val="2"/>
      <charset val="1"/>
    </font>
    <font>
      <sz val="10"/>
      <color theme="1"/>
      <name val="Calibri"/>
      <family val="2"/>
      <scheme val="minor"/>
    </font>
    <font>
      <b/>
      <sz val="11"/>
      <color rgb="FF242424"/>
      <name val="Aptos Narrow"/>
      <charset val="1"/>
    </font>
    <font>
      <sz val="11"/>
      <color rgb="FF000000"/>
      <name val="Calibri"/>
    </font>
    <font>
      <sz val="12"/>
      <color rgb="FF000000"/>
      <name val="Calibri"/>
      <family val="2"/>
      <scheme val="minor"/>
    </font>
    <font>
      <sz val="9"/>
      <color rgb="FF000000"/>
      <name val="System-Ui"/>
      <charset val="1"/>
    </font>
    <font>
      <b/>
      <sz val="11"/>
      <color rgb="FF000000"/>
      <name val="Calibri"/>
    </font>
    <font>
      <sz val="11"/>
      <color rgb="FF333333"/>
      <name val="Calibri"/>
    </font>
    <font>
      <sz val="11"/>
      <color rgb="FF333333"/>
      <name val="Arial"/>
      <charset val="1"/>
    </font>
    <font>
      <sz val="10"/>
      <color theme="1"/>
      <name val="Courier New"/>
      <charset val="1"/>
    </font>
    <font>
      <u/>
      <sz val="11"/>
      <color rgb="FF00000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2F2F2"/>
        <bgColor rgb="FF00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CE4D6"/>
        <bgColor rgb="FF000000"/>
      </patternFill>
    </fill>
  </fills>
  <borders count="2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486">
    <xf numFmtId="0" fontId="0" fillId="0" borderId="0" xfId="0"/>
    <xf numFmtId="0" fontId="7" fillId="2" borderId="3" xfId="0" applyFont="1" applyFill="1" applyBorder="1" applyAlignment="1">
      <alignment horizontal="center" vertical="center" wrapText="1"/>
    </xf>
    <xf numFmtId="0" fontId="0" fillId="0" borderId="2" xfId="0" applyBorder="1"/>
    <xf numFmtId="0" fontId="11" fillId="0" borderId="2" xfId="0" applyFont="1" applyBorder="1"/>
    <xf numFmtId="0" fontId="6" fillId="0" borderId="2" xfId="0" applyFont="1" applyBorder="1"/>
    <xf numFmtId="0" fontId="10" fillId="0" borderId="2" xfId="1" applyBorder="1"/>
    <xf numFmtId="43" fontId="0" fillId="0" borderId="0" xfId="0" applyNumberFormat="1"/>
    <xf numFmtId="14" fontId="6" fillId="0" borderId="2" xfId="0" applyNumberFormat="1" applyFont="1" applyBorder="1"/>
    <xf numFmtId="0" fontId="6" fillId="0" borderId="2" xfId="0" applyFont="1" applyBorder="1" applyAlignment="1">
      <alignment wrapText="1"/>
    </xf>
    <xf numFmtId="43" fontId="7" fillId="2" borderId="8" xfId="0" applyNumberFormat="1" applyFont="1" applyFill="1" applyBorder="1" applyAlignment="1">
      <alignment horizontal="center" vertical="center" wrapText="1"/>
    </xf>
    <xf numFmtId="0" fontId="0" fillId="0" borderId="4" xfId="0" applyBorder="1"/>
    <xf numFmtId="43" fontId="0" fillId="0" borderId="10" xfId="0" applyNumberFormat="1" applyBorder="1"/>
    <xf numFmtId="0" fontId="0" fillId="0" borderId="11" xfId="0" applyBorder="1"/>
    <xf numFmtId="0" fontId="6" fillId="0" borderId="4" xfId="0" applyFont="1" applyBorder="1" applyAlignment="1">
      <alignment wrapText="1"/>
    </xf>
    <xf numFmtId="43" fontId="6" fillId="0" borderId="10" xfId="0" applyNumberFormat="1" applyFont="1" applyBorder="1"/>
    <xf numFmtId="0" fontId="0" fillId="0" borderId="10" xfId="0" applyBorder="1"/>
    <xf numFmtId="0" fontId="6" fillId="0" borderId="10" xfId="0" applyFont="1" applyBorder="1"/>
    <xf numFmtId="0" fontId="0" fillId="0" borderId="14" xfId="0" applyBorder="1"/>
    <xf numFmtId="0" fontId="0" fillId="0" borderId="2" xfId="0" applyBorder="1" applyAlignment="1">
      <alignment horizontal="center"/>
    </xf>
    <xf numFmtId="0" fontId="0" fillId="0" borderId="15" xfId="0" applyBorder="1"/>
    <xf numFmtId="0" fontId="0" fillId="0" borderId="11" xfId="0" applyBorder="1" applyAlignment="1">
      <alignment horizontal="center"/>
    </xf>
    <xf numFmtId="43" fontId="7" fillId="2" borderId="17" xfId="0" applyNumberFormat="1" applyFont="1" applyFill="1" applyBorder="1" applyAlignment="1">
      <alignment horizontal="center" vertical="center" wrapText="1"/>
    </xf>
    <xf numFmtId="0" fontId="13" fillId="0" borderId="2" xfId="0" applyFont="1" applyBorder="1"/>
    <xf numFmtId="0" fontId="13" fillId="0" borderId="2" xfId="0" applyFont="1" applyBorder="1" applyAlignment="1">
      <alignment horizontal="center"/>
    </xf>
    <xf numFmtId="22" fontId="13" fillId="0" borderId="2" xfId="0" applyNumberFormat="1" applyFont="1" applyBorder="1" applyAlignment="1">
      <alignment horizontal="center"/>
    </xf>
    <xf numFmtId="0" fontId="13" fillId="0" borderId="2" xfId="0" applyFont="1" applyBorder="1" applyAlignment="1">
      <alignment wrapText="1"/>
    </xf>
    <xf numFmtId="0" fontId="0" fillId="0" borderId="18" xfId="0" applyBorder="1"/>
    <xf numFmtId="0" fontId="0" fillId="0" borderId="0" xfId="0" applyAlignment="1">
      <alignment horizontal="center"/>
    </xf>
    <xf numFmtId="14" fontId="0" fillId="0" borderId="2" xfId="0" applyNumberFormat="1" applyBorder="1"/>
    <xf numFmtId="14" fontId="10" fillId="0" borderId="2" xfId="1" applyNumberFormat="1" applyBorder="1"/>
    <xf numFmtId="14" fontId="10" fillId="0" borderId="2" xfId="1" applyNumberFormat="1" applyBorder="1" applyAlignment="1">
      <alignment readingOrder="1"/>
    </xf>
    <xf numFmtId="0" fontId="15" fillId="0" borderId="0" xfId="0" applyFont="1"/>
    <xf numFmtId="0" fontId="7" fillId="2" borderId="17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wrapText="1"/>
    </xf>
    <xf numFmtId="14" fontId="8" fillId="0" borderId="2" xfId="0" applyNumberFormat="1" applyFont="1" applyBorder="1"/>
    <xf numFmtId="0" fontId="6" fillId="0" borderId="2" xfId="0" applyFont="1" applyBorder="1" applyAlignment="1">
      <alignment readingOrder="1"/>
    </xf>
    <xf numFmtId="43" fontId="6" fillId="0" borderId="4" xfId="0" applyNumberFormat="1" applyFont="1" applyBorder="1"/>
    <xf numFmtId="43" fontId="0" fillId="0" borderId="4" xfId="0" applyNumberFormat="1" applyBorder="1"/>
    <xf numFmtId="43" fontId="0" fillId="0" borderId="13" xfId="0" applyNumberFormat="1" applyBorder="1"/>
    <xf numFmtId="0" fontId="6" fillId="0" borderId="2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7" fillId="2" borderId="8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/>
    </xf>
    <xf numFmtId="0" fontId="10" fillId="0" borderId="0" xfId="1"/>
    <xf numFmtId="22" fontId="6" fillId="0" borderId="2" xfId="0" applyNumberFormat="1" applyFont="1" applyBorder="1" applyAlignment="1">
      <alignment horizontal="center"/>
    </xf>
    <xf numFmtId="22" fontId="0" fillId="0" borderId="2" xfId="0" applyNumberFormat="1" applyBorder="1" applyAlignment="1">
      <alignment horizontal="center"/>
    </xf>
    <xf numFmtId="22" fontId="6" fillId="0" borderId="10" xfId="0" applyNumberFormat="1" applyFont="1" applyBorder="1" applyAlignment="1">
      <alignment horizontal="center"/>
    </xf>
    <xf numFmtId="0" fontId="0" fillId="0" borderId="9" xfId="0" applyBorder="1"/>
    <xf numFmtId="0" fontId="0" fillId="0" borderId="0" xfId="0" applyAlignment="1">
      <alignment wrapText="1"/>
    </xf>
    <xf numFmtId="0" fontId="13" fillId="0" borderId="2" xfId="0" applyFont="1" applyBorder="1" applyAlignment="1">
      <alignment horizontal="left"/>
    </xf>
    <xf numFmtId="14" fontId="6" fillId="0" borderId="2" xfId="1" applyNumberFormat="1" applyFont="1" applyFill="1" applyBorder="1" applyAlignment="1">
      <alignment wrapText="1"/>
    </xf>
    <xf numFmtId="14" fontId="6" fillId="0" borderId="2" xfId="0" applyNumberFormat="1" applyFont="1" applyBorder="1" applyAlignment="1">
      <alignment readingOrder="1"/>
    </xf>
    <xf numFmtId="0" fontId="10" fillId="0" borderId="2" xfId="1" applyNumberFormat="1" applyFill="1" applyBorder="1" applyAlignment="1">
      <alignment wrapText="1"/>
    </xf>
    <xf numFmtId="0" fontId="0" fillId="0" borderId="15" xfId="0" applyBorder="1" applyAlignment="1">
      <alignment horizontal="center"/>
    </xf>
    <xf numFmtId="14" fontId="6" fillId="0" borderId="2" xfId="0" applyNumberFormat="1" applyFont="1" applyBorder="1" applyAlignment="1">
      <alignment horizontal="center"/>
    </xf>
    <xf numFmtId="0" fontId="11" fillId="0" borderId="4" xfId="0" applyFont="1" applyBorder="1"/>
    <xf numFmtId="0" fontId="10" fillId="0" borderId="2" xfId="1" applyFill="1" applyBorder="1"/>
    <xf numFmtId="0" fontId="6" fillId="6" borderId="2" xfId="0" applyFont="1" applyFill="1" applyBorder="1" applyAlignment="1">
      <alignment horizontal="center" vertical="center" wrapText="1"/>
    </xf>
    <xf numFmtId="14" fontId="13" fillId="0" borderId="0" xfId="0" applyNumberFormat="1" applyFont="1" applyAlignment="1">
      <alignment horizontal="center"/>
    </xf>
    <xf numFmtId="14" fontId="13" fillId="0" borderId="2" xfId="0" applyNumberFormat="1" applyFont="1" applyBorder="1" applyAlignment="1">
      <alignment horizontal="center"/>
    </xf>
    <xf numFmtId="22" fontId="13" fillId="0" borderId="4" xfId="0" applyNumberFormat="1" applyFont="1" applyBorder="1" applyAlignment="1">
      <alignment horizontal="center"/>
    </xf>
    <xf numFmtId="14" fontId="13" fillId="0" borderId="12" xfId="0" applyNumberFormat="1" applyFont="1" applyBorder="1" applyAlignment="1">
      <alignment horizontal="center"/>
    </xf>
    <xf numFmtId="14" fontId="4" fillId="0" borderId="0" xfId="0" applyNumberFormat="1" applyFont="1" applyAlignment="1">
      <alignment horizontal="center"/>
    </xf>
    <xf numFmtId="22" fontId="13" fillId="0" borderId="10" xfId="0" applyNumberFormat="1" applyFont="1" applyBorder="1" applyAlignment="1">
      <alignment horizontal="center"/>
    </xf>
    <xf numFmtId="14" fontId="13" fillId="0" borderId="11" xfId="0" applyNumberFormat="1" applyFont="1" applyBorder="1" applyAlignment="1">
      <alignment horizontal="center"/>
    </xf>
    <xf numFmtId="22" fontId="0" fillId="0" borderId="10" xfId="0" applyNumberFormat="1" applyBorder="1" applyAlignment="1">
      <alignment horizontal="center"/>
    </xf>
    <xf numFmtId="0" fontId="3" fillId="0" borderId="0" xfId="0" applyFont="1" applyAlignment="1">
      <alignment horizontal="center"/>
    </xf>
    <xf numFmtId="0" fontId="10" fillId="0" borderId="2" xfId="1" applyFill="1" applyBorder="1" applyAlignment="1">
      <alignment horizontal="center"/>
    </xf>
    <xf numFmtId="3" fontId="11" fillId="0" borderId="2" xfId="0" applyNumberFormat="1" applyFont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17" fillId="7" borderId="6" xfId="0" applyFont="1" applyFill="1" applyBorder="1" applyAlignment="1">
      <alignment horizontal="center" vertical="center" wrapText="1"/>
    </xf>
    <xf numFmtId="0" fontId="17" fillId="7" borderId="5" xfId="0" applyFont="1" applyFill="1" applyBorder="1" applyAlignment="1">
      <alignment horizontal="center" vertical="center" wrapText="1"/>
    </xf>
    <xf numFmtId="0" fontId="17" fillId="7" borderId="3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14" fontId="17" fillId="7" borderId="7" xfId="0" applyNumberFormat="1" applyFont="1" applyFill="1" applyBorder="1" applyAlignment="1">
      <alignment horizontal="center" vertical="center" wrapText="1"/>
    </xf>
    <xf numFmtId="14" fontId="6" fillId="0" borderId="2" xfId="0" applyNumberFormat="1" applyFont="1" applyBorder="1" applyAlignment="1">
      <alignment wrapText="1"/>
    </xf>
    <xf numFmtId="14" fontId="0" fillId="0" borderId="11" xfId="0" applyNumberFormat="1" applyBorder="1"/>
    <xf numFmtId="14" fontId="0" fillId="0" borderId="2" xfId="0" applyNumberFormat="1" applyBorder="1" applyAlignment="1">
      <alignment horizontal="right"/>
    </xf>
    <xf numFmtId="14" fontId="0" fillId="0" borderId="0" xfId="0" applyNumberFormat="1"/>
    <xf numFmtId="0" fontId="20" fillId="0" borderId="23" xfId="0" applyFont="1" applyBorder="1" applyAlignment="1">
      <alignment horizontal="center"/>
    </xf>
    <xf numFmtId="0" fontId="20" fillId="0" borderId="24" xfId="0" applyFont="1" applyBorder="1" applyAlignment="1">
      <alignment horizontal="center"/>
    </xf>
    <xf numFmtId="14" fontId="0" fillId="0" borderId="0" xfId="0" applyNumberFormat="1" applyAlignment="1">
      <alignment horizontal="center"/>
    </xf>
    <xf numFmtId="22" fontId="13" fillId="0" borderId="9" xfId="0" applyNumberFormat="1" applyFont="1" applyBorder="1" applyAlignment="1">
      <alignment horizontal="center"/>
    </xf>
    <xf numFmtId="22" fontId="13" fillId="0" borderId="13" xfId="0" applyNumberFormat="1" applyFont="1" applyBorder="1" applyAlignment="1">
      <alignment horizontal="center"/>
    </xf>
    <xf numFmtId="0" fontId="0" fillId="3" borderId="2" xfId="0" applyFill="1" applyBorder="1" applyAlignment="1">
      <alignment horizontal="center"/>
    </xf>
    <xf numFmtId="14" fontId="13" fillId="0" borderId="4" xfId="0" applyNumberFormat="1" applyFont="1" applyBorder="1" applyAlignment="1">
      <alignment horizontal="center"/>
    </xf>
    <xf numFmtId="14" fontId="13" fillId="0" borderId="9" xfId="0" applyNumberFormat="1" applyFont="1" applyBorder="1" applyAlignment="1">
      <alignment horizontal="center"/>
    </xf>
    <xf numFmtId="14" fontId="6" fillId="0" borderId="11" xfId="0" applyNumberFormat="1" applyFont="1" applyBorder="1"/>
    <xf numFmtId="0" fontId="7" fillId="2" borderId="2" xfId="0" applyFont="1" applyFill="1" applyBorder="1" applyAlignment="1">
      <alignment horizontal="center" vertical="center" wrapText="1"/>
    </xf>
    <xf numFmtId="0" fontId="12" fillId="0" borderId="10" xfId="0" applyFont="1" applyBorder="1"/>
    <xf numFmtId="0" fontId="19" fillId="0" borderId="26" xfId="0" applyFont="1" applyBorder="1" applyAlignment="1">
      <alignment horizontal="center"/>
    </xf>
    <xf numFmtId="0" fontId="19" fillId="0" borderId="27" xfId="0" applyFont="1" applyBorder="1" applyAlignment="1">
      <alignment horizontal="center"/>
    </xf>
    <xf numFmtId="0" fontId="10" fillId="0" borderId="10" xfId="1" applyFill="1" applyBorder="1"/>
    <xf numFmtId="22" fontId="6" fillId="0" borderId="14" xfId="0" applyNumberFormat="1" applyFont="1" applyBorder="1" applyAlignment="1">
      <alignment horizontal="center"/>
    </xf>
    <xf numFmtId="0" fontId="7" fillId="2" borderId="15" xfId="0" applyFont="1" applyFill="1" applyBorder="1" applyAlignment="1">
      <alignment horizontal="center" vertical="center" wrapText="1"/>
    </xf>
    <xf numFmtId="0" fontId="21" fillId="0" borderId="2" xfId="0" applyFont="1" applyBorder="1" applyAlignment="1">
      <alignment horizontal="center"/>
    </xf>
    <xf numFmtId="0" fontId="21" fillId="0" borderId="15" xfId="0" applyFont="1" applyBorder="1" applyAlignment="1">
      <alignment horizontal="center"/>
    </xf>
    <xf numFmtId="0" fontId="23" fillId="0" borderId="2" xfId="0" applyFont="1" applyBorder="1" applyAlignment="1">
      <alignment horizontal="center"/>
    </xf>
    <xf numFmtId="0" fontId="23" fillId="0" borderId="15" xfId="0" applyFont="1" applyBorder="1" applyAlignment="1">
      <alignment horizontal="center"/>
    </xf>
    <xf numFmtId="0" fontId="23" fillId="0" borderId="2" xfId="0" applyFont="1" applyBorder="1" applyAlignment="1">
      <alignment horizontal="center" wrapText="1"/>
    </xf>
    <xf numFmtId="0" fontId="23" fillId="0" borderId="15" xfId="0" applyFont="1" applyBorder="1" applyAlignment="1">
      <alignment horizontal="center" wrapText="1"/>
    </xf>
    <xf numFmtId="0" fontId="21" fillId="0" borderId="11" xfId="0" applyFont="1" applyBorder="1" applyAlignment="1">
      <alignment horizontal="center"/>
    </xf>
    <xf numFmtId="0" fontId="21" fillId="0" borderId="2" xfId="0" applyFont="1" applyBorder="1" applyAlignment="1">
      <alignment horizontal="center" readingOrder="1"/>
    </xf>
    <xf numFmtId="0" fontId="21" fillId="0" borderId="9" xfId="0" applyFont="1" applyBorder="1" applyAlignment="1">
      <alignment horizontal="center"/>
    </xf>
    <xf numFmtId="0" fontId="21" fillId="0" borderId="16" xfId="0" applyFont="1" applyBorder="1" applyAlignment="1">
      <alignment horizontal="center"/>
    </xf>
    <xf numFmtId="0" fontId="21" fillId="0" borderId="0" xfId="0" applyFont="1" applyAlignment="1">
      <alignment horizontal="center"/>
    </xf>
    <xf numFmtId="0" fontId="21" fillId="0" borderId="20" xfId="0" applyFont="1" applyBorder="1" applyAlignment="1">
      <alignment horizontal="center"/>
    </xf>
    <xf numFmtId="0" fontId="23" fillId="0" borderId="4" xfId="0" applyFont="1" applyBorder="1" applyAlignment="1">
      <alignment horizontal="center"/>
    </xf>
    <xf numFmtId="0" fontId="0" fillId="4" borderId="10" xfId="0" applyFill="1" applyBorder="1"/>
    <xf numFmtId="0" fontId="0" fillId="4" borderId="2" xfId="0" applyFill="1" applyBorder="1"/>
    <xf numFmtId="0" fontId="24" fillId="0" borderId="2" xfId="0" applyFont="1" applyBorder="1" applyAlignment="1">
      <alignment horizontal="center"/>
    </xf>
    <xf numFmtId="3" fontId="24" fillId="0" borderId="0" xfId="0" applyNumberFormat="1" applyFont="1" applyAlignment="1">
      <alignment horizontal="center"/>
    </xf>
    <xf numFmtId="0" fontId="24" fillId="0" borderId="15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13" fillId="0" borderId="10" xfId="0" applyFont="1" applyBorder="1" applyAlignment="1">
      <alignment horizontal="center"/>
    </xf>
    <xf numFmtId="0" fontId="13" fillId="0" borderId="10" xfId="0" applyFont="1" applyBorder="1" applyAlignment="1">
      <alignment horizontal="center" wrapText="1"/>
    </xf>
    <xf numFmtId="0" fontId="2" fillId="0" borderId="0" xfId="0" applyFont="1" applyAlignment="1">
      <alignment horizontal="center"/>
    </xf>
    <xf numFmtId="0" fontId="24" fillId="0" borderId="11" xfId="0" applyFont="1" applyBorder="1" applyAlignment="1">
      <alignment horizontal="center"/>
    </xf>
    <xf numFmtId="22" fontId="25" fillId="0" borderId="2" xfId="0" applyNumberFormat="1" applyFont="1" applyBorder="1" applyAlignment="1">
      <alignment horizontal="center"/>
    </xf>
    <xf numFmtId="14" fontId="0" fillId="0" borderId="9" xfId="0" applyNumberFormat="1" applyBorder="1" applyAlignment="1">
      <alignment horizontal="center"/>
    </xf>
    <xf numFmtId="0" fontId="21" fillId="0" borderId="4" xfId="0" applyFont="1" applyBorder="1" applyAlignment="1">
      <alignment horizontal="center"/>
    </xf>
    <xf numFmtId="0" fontId="24" fillId="0" borderId="9" xfId="0" applyFont="1" applyBorder="1" applyAlignment="1">
      <alignment horizontal="center"/>
    </xf>
    <xf numFmtId="0" fontId="21" fillId="0" borderId="2" xfId="0" applyFont="1" applyBorder="1" applyAlignment="1">
      <alignment horizontal="center" wrapText="1"/>
    </xf>
    <xf numFmtId="0" fontId="0" fillId="10" borderId="4" xfId="0" applyFill="1" applyBorder="1"/>
    <xf numFmtId="14" fontId="6" fillId="0" borderId="2" xfId="0" applyNumberFormat="1" applyFont="1" applyBorder="1" applyAlignment="1">
      <alignment horizontal="center" wrapText="1"/>
    </xf>
    <xf numFmtId="0" fontId="6" fillId="0" borderId="4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11" fillId="0" borderId="2" xfId="0" applyFont="1" applyBorder="1" applyAlignment="1">
      <alignment horizontal="center" wrapText="1"/>
    </xf>
    <xf numFmtId="0" fontId="7" fillId="0" borderId="4" xfId="0" applyFont="1" applyBorder="1" applyAlignment="1">
      <alignment horizontal="center" wrapText="1"/>
    </xf>
    <xf numFmtId="0" fontId="10" fillId="0" borderId="10" xfId="1" applyBorder="1" applyAlignment="1">
      <alignment wrapText="1"/>
    </xf>
    <xf numFmtId="0" fontId="6" fillId="0" borderId="10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11" fillId="0" borderId="4" xfId="0" applyFont="1" applyBorder="1" applyAlignment="1">
      <alignment wrapText="1"/>
    </xf>
    <xf numFmtId="0" fontId="0" fillId="0" borderId="4" xfId="0" applyBorder="1" applyAlignment="1">
      <alignment wrapText="1"/>
    </xf>
    <xf numFmtId="0" fontId="10" fillId="0" borderId="15" xfId="1" applyFill="1" applyBorder="1" applyAlignment="1">
      <alignment horizontal="center" wrapText="1"/>
    </xf>
    <xf numFmtId="0" fontId="10" fillId="0" borderId="2" xfId="1" applyBorder="1" applyAlignment="1">
      <alignment horizontal="center" wrapText="1"/>
    </xf>
    <xf numFmtId="14" fontId="10" fillId="0" borderId="2" xfId="1" applyNumberFormat="1" applyBorder="1" applyAlignment="1">
      <alignment wrapText="1"/>
    </xf>
    <xf numFmtId="14" fontId="13" fillId="0" borderId="2" xfId="0" applyNumberFormat="1" applyFont="1" applyBorder="1" applyAlignment="1">
      <alignment horizontal="center" wrapText="1"/>
    </xf>
    <xf numFmtId="22" fontId="6" fillId="0" borderId="10" xfId="0" applyNumberFormat="1" applyFont="1" applyBorder="1" applyAlignment="1">
      <alignment horizontal="center" wrapText="1"/>
    </xf>
    <xf numFmtId="22" fontId="6" fillId="0" borderId="2" xfId="0" applyNumberFormat="1" applyFont="1" applyBorder="1" applyAlignment="1">
      <alignment horizontal="center" wrapText="1"/>
    </xf>
    <xf numFmtId="0" fontId="0" fillId="0" borderId="18" xfId="0" applyBorder="1" applyAlignment="1">
      <alignment wrapText="1"/>
    </xf>
    <xf numFmtId="43" fontId="6" fillId="0" borderId="4" xfId="0" applyNumberFormat="1" applyFont="1" applyBorder="1" applyAlignment="1">
      <alignment wrapText="1"/>
    </xf>
    <xf numFmtId="0" fontId="0" fillId="0" borderId="10" xfId="0" applyBorder="1" applyAlignment="1">
      <alignment wrapText="1"/>
    </xf>
    <xf numFmtId="14" fontId="0" fillId="0" borderId="2" xfId="0" applyNumberFormat="1" applyBorder="1" applyAlignment="1">
      <alignment wrapText="1"/>
    </xf>
    <xf numFmtId="0" fontId="0" fillId="0" borderId="2" xfId="0" applyBorder="1" applyAlignment="1">
      <alignment wrapText="1"/>
    </xf>
    <xf numFmtId="0" fontId="24" fillId="0" borderId="2" xfId="0" applyFont="1" applyBorder="1" applyAlignment="1">
      <alignment horizontal="center" wrapText="1"/>
    </xf>
    <xf numFmtId="22" fontId="13" fillId="0" borderId="2" xfId="0" applyNumberFormat="1" applyFont="1" applyBorder="1" applyAlignment="1">
      <alignment horizontal="center" wrapText="1"/>
    </xf>
    <xf numFmtId="14" fontId="13" fillId="0" borderId="12" xfId="0" applyNumberFormat="1" applyFont="1" applyBorder="1" applyAlignment="1">
      <alignment horizontal="center" wrapText="1"/>
    </xf>
    <xf numFmtId="22" fontId="0" fillId="0" borderId="2" xfId="0" applyNumberFormat="1" applyBorder="1" applyAlignment="1">
      <alignment horizontal="center" wrapText="1"/>
    </xf>
    <xf numFmtId="43" fontId="0" fillId="0" borderId="10" xfId="0" applyNumberFormat="1" applyBorder="1" applyAlignment="1">
      <alignment wrapText="1"/>
    </xf>
    <xf numFmtId="43" fontId="0" fillId="0" borderId="4" xfId="0" applyNumberFormat="1" applyBorder="1" applyAlignment="1">
      <alignment wrapText="1"/>
    </xf>
    <xf numFmtId="0" fontId="10" fillId="0" borderId="15" xfId="1" applyBorder="1" applyAlignment="1">
      <alignment horizontal="center" wrapText="1"/>
    </xf>
    <xf numFmtId="0" fontId="10" fillId="0" borderId="2" xfId="1" applyBorder="1" applyAlignment="1">
      <alignment wrapText="1"/>
    </xf>
    <xf numFmtId="22" fontId="13" fillId="0" borderId="10" xfId="0" applyNumberFormat="1" applyFont="1" applyBorder="1" applyAlignment="1">
      <alignment horizontal="center" wrapText="1"/>
    </xf>
    <xf numFmtId="0" fontId="21" fillId="0" borderId="15" xfId="0" applyFont="1" applyBorder="1" applyAlignment="1">
      <alignment horizontal="center" wrapText="1"/>
    </xf>
    <xf numFmtId="14" fontId="13" fillId="0" borderId="0" xfId="0" applyNumberFormat="1" applyFont="1" applyAlignment="1">
      <alignment horizontal="center" wrapText="1"/>
    </xf>
    <xf numFmtId="0" fontId="12" fillId="0" borderId="10" xfId="0" applyFont="1" applyBorder="1" applyAlignment="1">
      <alignment wrapText="1"/>
    </xf>
    <xf numFmtId="0" fontId="12" fillId="0" borderId="2" xfId="0" applyFont="1" applyBorder="1" applyAlignment="1">
      <alignment wrapText="1"/>
    </xf>
    <xf numFmtId="3" fontId="11" fillId="0" borderId="2" xfId="0" applyNumberFormat="1" applyFont="1" applyBorder="1" applyAlignment="1">
      <alignment horizontal="center" wrapText="1"/>
    </xf>
    <xf numFmtId="0" fontId="15" fillId="0" borderId="4" xfId="0" applyFont="1" applyBorder="1" applyAlignment="1">
      <alignment horizontal="center" wrapText="1"/>
    </xf>
    <xf numFmtId="22" fontId="0" fillId="0" borderId="10" xfId="0" applyNumberFormat="1" applyBorder="1" applyAlignment="1">
      <alignment horizontal="center" wrapText="1"/>
    </xf>
    <xf numFmtId="0" fontId="10" fillId="0" borderId="10" xfId="1" applyFill="1" applyBorder="1" applyAlignment="1">
      <alignment wrapText="1"/>
    </xf>
    <xf numFmtId="0" fontId="0" fillId="0" borderId="2" xfId="0" applyBorder="1" applyAlignment="1">
      <alignment horizontal="center" wrapText="1"/>
    </xf>
    <xf numFmtId="14" fontId="10" fillId="0" borderId="0" xfId="1" applyNumberFormat="1" applyAlignment="1">
      <alignment wrapText="1"/>
    </xf>
    <xf numFmtId="22" fontId="6" fillId="0" borderId="14" xfId="0" applyNumberFormat="1" applyFont="1" applyBorder="1" applyAlignment="1">
      <alignment horizontal="center" wrapText="1"/>
    </xf>
    <xf numFmtId="0" fontId="18" fillId="8" borderId="2" xfId="0" applyFont="1" applyFill="1" applyBorder="1" applyAlignment="1">
      <alignment horizontal="center" wrapText="1"/>
    </xf>
    <xf numFmtId="0" fontId="21" fillId="0" borderId="2" xfId="0" applyFont="1" applyBorder="1" applyAlignment="1">
      <alignment horizontal="center" wrapText="1" readingOrder="1"/>
    </xf>
    <xf numFmtId="0" fontId="10" fillId="0" borderId="2" xfId="1" applyFill="1" applyBorder="1" applyAlignment="1">
      <alignment wrapText="1"/>
    </xf>
    <xf numFmtId="14" fontId="10" fillId="0" borderId="4" xfId="1" applyNumberFormat="1" applyBorder="1" applyAlignment="1">
      <alignment wrapText="1"/>
    </xf>
    <xf numFmtId="14" fontId="0" fillId="0" borderId="0" xfId="0" applyNumberFormat="1" applyAlignment="1">
      <alignment horizontal="center" wrapText="1"/>
    </xf>
    <xf numFmtId="14" fontId="10" fillId="0" borderId="4" xfId="1" applyNumberFormat="1" applyFill="1" applyBorder="1" applyAlignment="1">
      <alignment wrapText="1"/>
    </xf>
    <xf numFmtId="0" fontId="13" fillId="0" borderId="2" xfId="0" applyFont="1" applyBorder="1" applyAlignment="1">
      <alignment horizontal="left" wrapText="1"/>
    </xf>
    <xf numFmtId="14" fontId="6" fillId="0" borderId="2" xfId="1" applyNumberFormat="1" applyFont="1" applyFill="1" applyBorder="1" applyAlignment="1">
      <alignment wrapText="1" readingOrder="1"/>
    </xf>
    <xf numFmtId="0" fontId="10" fillId="0" borderId="2" xfId="1" applyNumberFormat="1" applyFill="1" applyBorder="1" applyAlignment="1">
      <alignment wrapText="1" readingOrder="1"/>
    </xf>
    <xf numFmtId="0" fontId="10" fillId="0" borderId="0" xfId="1" applyAlignment="1">
      <alignment wrapText="1"/>
    </xf>
    <xf numFmtId="22" fontId="13" fillId="0" borderId="9" xfId="0" applyNumberFormat="1" applyFont="1" applyBorder="1" applyAlignment="1">
      <alignment horizontal="center" wrapText="1"/>
    </xf>
    <xf numFmtId="0" fontId="0" fillId="0" borderId="14" xfId="0" applyBorder="1" applyAlignment="1">
      <alignment wrapText="1"/>
    </xf>
    <xf numFmtId="14" fontId="0" fillId="0" borderId="11" xfId="0" applyNumberFormat="1" applyBorder="1" applyAlignment="1">
      <alignment wrapText="1"/>
    </xf>
    <xf numFmtId="0" fontId="0" fillId="0" borderId="11" xfId="0" applyBorder="1" applyAlignment="1">
      <alignment wrapText="1"/>
    </xf>
    <xf numFmtId="0" fontId="0" fillId="0" borderId="13" xfId="0" applyBorder="1" applyAlignment="1">
      <alignment wrapText="1"/>
    </xf>
    <xf numFmtId="0" fontId="21" fillId="0" borderId="16" xfId="0" applyFont="1" applyBorder="1" applyAlignment="1">
      <alignment horizontal="center" wrapText="1"/>
    </xf>
    <xf numFmtId="43" fontId="0" fillId="0" borderId="13" xfId="0" applyNumberFormat="1" applyBorder="1" applyAlignment="1">
      <alignment wrapText="1"/>
    </xf>
    <xf numFmtId="0" fontId="10" fillId="0" borderId="2" xfId="1" applyFill="1" applyBorder="1" applyAlignment="1">
      <alignment horizontal="center" wrapText="1"/>
    </xf>
    <xf numFmtId="0" fontId="11" fillId="0" borderId="15" xfId="0" applyFont="1" applyBorder="1" applyAlignment="1">
      <alignment horizontal="center" wrapText="1"/>
    </xf>
    <xf numFmtId="14" fontId="6" fillId="0" borderId="2" xfId="0" applyNumberFormat="1" applyFont="1" applyBorder="1" applyAlignment="1">
      <alignment wrapText="1" readingOrder="1"/>
    </xf>
    <xf numFmtId="0" fontId="10" fillId="0" borderId="2" xfId="1" applyBorder="1" applyAlignment="1">
      <alignment wrapText="1" readingOrder="1"/>
    </xf>
    <xf numFmtId="0" fontId="10" fillId="0" borderId="14" xfId="1" applyFill="1" applyBorder="1" applyAlignment="1">
      <alignment wrapText="1"/>
    </xf>
    <xf numFmtId="0" fontId="14" fillId="0" borderId="4" xfId="0" applyFont="1" applyBorder="1" applyAlignment="1">
      <alignment wrapText="1"/>
    </xf>
    <xf numFmtId="0" fontId="10" fillId="0" borderId="18" xfId="1" applyFill="1" applyBorder="1" applyAlignment="1">
      <alignment wrapText="1"/>
    </xf>
    <xf numFmtId="0" fontId="0" fillId="0" borderId="15" xfId="0" applyBorder="1" applyAlignment="1">
      <alignment horizontal="center" wrapText="1"/>
    </xf>
    <xf numFmtId="14" fontId="0" fillId="0" borderId="0" xfId="0" applyNumberFormat="1" applyAlignment="1">
      <alignment wrapText="1"/>
    </xf>
    <xf numFmtId="0" fontId="21" fillId="0" borderId="0" xfId="0" applyFont="1" applyAlignment="1">
      <alignment horizontal="center" wrapText="1"/>
    </xf>
    <xf numFmtId="0" fontId="0" fillId="0" borderId="15" xfId="0" applyBorder="1" applyAlignment="1">
      <alignment wrapText="1"/>
    </xf>
    <xf numFmtId="0" fontId="21" fillId="0" borderId="20" xfId="0" applyFont="1" applyBorder="1" applyAlignment="1">
      <alignment horizontal="center" wrapText="1"/>
    </xf>
    <xf numFmtId="0" fontId="15" fillId="0" borderId="13" xfId="0" applyFont="1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15" fillId="0" borderId="19" xfId="0" applyFont="1" applyBorder="1" applyAlignment="1">
      <alignment horizontal="center" wrapText="1"/>
    </xf>
    <xf numFmtId="14" fontId="0" fillId="0" borderId="2" xfId="0" applyNumberFormat="1" applyBorder="1" applyAlignment="1">
      <alignment horizontal="right" wrapText="1"/>
    </xf>
    <xf numFmtId="0" fontId="0" fillId="0" borderId="9" xfId="0" applyBorder="1" applyAlignment="1">
      <alignment wrapText="1"/>
    </xf>
    <xf numFmtId="0" fontId="20" fillId="0" borderId="23" xfId="0" applyFont="1" applyBorder="1" applyAlignment="1">
      <alignment horizontal="center" wrapText="1"/>
    </xf>
    <xf numFmtId="0" fontId="0" fillId="4" borderId="2" xfId="0" applyFill="1" applyBorder="1" applyAlignment="1">
      <alignment wrapText="1"/>
    </xf>
    <xf numFmtId="0" fontId="0" fillId="4" borderId="10" xfId="0" applyFill="1" applyBorder="1" applyAlignment="1">
      <alignment wrapText="1"/>
    </xf>
    <xf numFmtId="0" fontId="20" fillId="0" borderId="24" xfId="0" applyFont="1" applyBorder="1" applyAlignment="1">
      <alignment horizontal="center" wrapText="1"/>
    </xf>
    <xf numFmtId="0" fontId="0" fillId="0" borderId="9" xfId="0" applyBorder="1" applyAlignment="1">
      <alignment horizontal="center" wrapText="1"/>
    </xf>
    <xf numFmtId="0" fontId="15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43" fontId="0" fillId="0" borderId="0" xfId="0" applyNumberFormat="1" applyAlignment="1">
      <alignment wrapText="1"/>
    </xf>
    <xf numFmtId="0" fontId="6" fillId="0" borderId="10" xfId="0" applyFont="1" applyBorder="1" applyAlignment="1">
      <alignment horizontal="center" wrapText="1"/>
    </xf>
    <xf numFmtId="0" fontId="18" fillId="8" borderId="10" xfId="0" applyFont="1" applyFill="1" applyBorder="1" applyAlignment="1">
      <alignment horizontal="center" wrapText="1"/>
    </xf>
    <xf numFmtId="0" fontId="6" fillId="0" borderId="0" xfId="0" applyFont="1" applyAlignment="1">
      <alignment horizontal="center" wrapText="1"/>
    </xf>
    <xf numFmtId="0" fontId="6" fillId="0" borderId="14" xfId="0" applyFont="1" applyBorder="1" applyAlignment="1">
      <alignment horizontal="center" wrapText="1"/>
    </xf>
    <xf numFmtId="0" fontId="6" fillId="0" borderId="18" xfId="0" applyFont="1" applyBorder="1" applyAlignment="1">
      <alignment horizontal="center" wrapText="1"/>
    </xf>
    <xf numFmtId="0" fontId="0" fillId="0" borderId="10" xfId="0" applyBorder="1" applyAlignment="1">
      <alignment horizontal="center" wrapText="1"/>
    </xf>
    <xf numFmtId="0" fontId="6" fillId="0" borderId="15" xfId="0" applyFont="1" applyBorder="1" applyAlignment="1">
      <alignment wrapText="1"/>
    </xf>
    <xf numFmtId="0" fontId="7" fillId="11" borderId="10" xfId="0" applyFont="1" applyFill="1" applyBorder="1" applyAlignment="1">
      <alignment horizontal="center" vertical="center" wrapText="1"/>
    </xf>
    <xf numFmtId="0" fontId="7" fillId="11" borderId="25" xfId="0" applyFont="1" applyFill="1" applyBorder="1" applyAlignment="1">
      <alignment horizontal="center" vertical="center" wrapText="1"/>
    </xf>
    <xf numFmtId="0" fontId="7" fillId="11" borderId="3" xfId="0" applyFont="1" applyFill="1" applyBorder="1" applyAlignment="1">
      <alignment horizontal="center" vertical="center" wrapText="1"/>
    </xf>
    <xf numFmtId="0" fontId="16" fillId="11" borderId="2" xfId="0" applyFont="1" applyFill="1" applyBorder="1" applyAlignment="1">
      <alignment horizontal="center" vertical="center" wrapText="1"/>
    </xf>
    <xf numFmtId="0" fontId="10" fillId="0" borderId="0" xfId="1" applyFill="1"/>
    <xf numFmtId="14" fontId="10" fillId="0" borderId="0" xfId="1" applyNumberFormat="1" applyFill="1"/>
    <xf numFmtId="0" fontId="0" fillId="0" borderId="9" xfId="0" applyBorder="1" applyAlignment="1">
      <alignment horizontal="center"/>
    </xf>
    <xf numFmtId="22" fontId="25" fillId="0" borderId="2" xfId="0" applyNumberFormat="1" applyFont="1" applyBorder="1" applyAlignment="1">
      <alignment horizontal="center" wrapText="1"/>
    </xf>
    <xf numFmtId="0" fontId="9" fillId="0" borderId="10" xfId="0" applyFont="1" applyBorder="1" applyAlignment="1">
      <alignment wrapText="1"/>
    </xf>
    <xf numFmtId="0" fontId="7" fillId="11" borderId="8" xfId="0" applyFont="1" applyFill="1" applyBorder="1" applyAlignment="1">
      <alignment horizontal="center" vertical="center" wrapText="1"/>
    </xf>
    <xf numFmtId="0" fontId="0" fillId="11" borderId="0" xfId="0" applyFill="1" applyAlignment="1">
      <alignment horizontal="center" vertical="center" wrapText="1"/>
    </xf>
    <xf numFmtId="0" fontId="7" fillId="11" borderId="17" xfId="0" applyFont="1" applyFill="1" applyBorder="1" applyAlignment="1">
      <alignment horizontal="center" vertical="center" wrapText="1"/>
    </xf>
    <xf numFmtId="0" fontId="22" fillId="11" borderId="2" xfId="0" applyFont="1" applyFill="1" applyBorder="1" applyAlignment="1">
      <alignment horizontal="center" vertical="center" wrapText="1"/>
    </xf>
    <xf numFmtId="0" fontId="22" fillId="11" borderId="28" xfId="0" applyFont="1" applyFill="1" applyBorder="1" applyAlignment="1">
      <alignment horizontal="center" vertical="center" wrapText="1"/>
    </xf>
    <xf numFmtId="14" fontId="17" fillId="7" borderId="2" xfId="0" applyNumberFormat="1" applyFont="1" applyFill="1" applyBorder="1" applyAlignment="1">
      <alignment horizontal="center" vertical="center" wrapText="1"/>
    </xf>
    <xf numFmtId="0" fontId="17" fillId="7" borderId="2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 vertical="center" wrapText="1"/>
    </xf>
    <xf numFmtId="0" fontId="7" fillId="11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43" fontId="7" fillId="2" borderId="2" xfId="0" applyNumberFormat="1" applyFont="1" applyFill="1" applyBorder="1" applyAlignment="1">
      <alignment horizontal="center" vertical="center" wrapText="1"/>
    </xf>
    <xf numFmtId="0" fontId="15" fillId="0" borderId="2" xfId="0" applyFont="1" applyBorder="1" applyAlignment="1">
      <alignment horizontal="center"/>
    </xf>
    <xf numFmtId="43" fontId="0" fillId="0" borderId="2" xfId="0" applyNumberFormat="1" applyBorder="1"/>
    <xf numFmtId="3" fontId="24" fillId="0" borderId="15" xfId="0" applyNumberFormat="1" applyFont="1" applyBorder="1" applyAlignment="1">
      <alignment horizontal="center"/>
    </xf>
    <xf numFmtId="0" fontId="26" fillId="0" borderId="2" xfId="0" applyFont="1" applyBorder="1"/>
    <xf numFmtId="14" fontId="0" fillId="0" borderId="4" xfId="0" applyNumberFormat="1" applyBorder="1"/>
    <xf numFmtId="0" fontId="6" fillId="0" borderId="4" xfId="0" applyFont="1" applyBorder="1" applyAlignment="1">
      <alignment wrapText="1" readingOrder="1"/>
    </xf>
    <xf numFmtId="14" fontId="10" fillId="0" borderId="4" xfId="1" applyNumberFormat="1" applyBorder="1" applyAlignment="1">
      <alignment wrapText="1" readingOrder="1"/>
    </xf>
    <xf numFmtId="14" fontId="10" fillId="0" borderId="4" xfId="1" applyNumberFormat="1" applyFill="1" applyBorder="1" applyAlignment="1">
      <alignment wrapText="1" readingOrder="1"/>
    </xf>
    <xf numFmtId="0" fontId="13" fillId="0" borderId="4" xfId="0" applyFont="1" applyBorder="1" applyAlignment="1">
      <alignment wrapText="1" readingOrder="1"/>
    </xf>
    <xf numFmtId="0" fontId="0" fillId="0" borderId="19" xfId="0" applyBorder="1" applyAlignment="1">
      <alignment wrapText="1"/>
    </xf>
    <xf numFmtId="14" fontId="11" fillId="0" borderId="15" xfId="0" applyNumberFormat="1" applyFont="1" applyBorder="1" applyAlignment="1">
      <alignment horizontal="center" wrapText="1"/>
    </xf>
    <xf numFmtId="14" fontId="13" fillId="0" borderId="10" xfId="0" applyNumberFormat="1" applyFont="1" applyBorder="1" applyAlignment="1">
      <alignment horizontal="center" wrapText="1"/>
    </xf>
    <xf numFmtId="22" fontId="13" fillId="0" borderId="15" xfId="0" applyNumberFormat="1" applyFont="1" applyBorder="1" applyAlignment="1">
      <alignment horizontal="center" wrapText="1"/>
    </xf>
    <xf numFmtId="0" fontId="26" fillId="0" borderId="10" xfId="0" applyFont="1" applyBorder="1"/>
    <xf numFmtId="0" fontId="0" fillId="0" borderId="13" xfId="0" applyBorder="1"/>
    <xf numFmtId="14" fontId="0" fillId="0" borderId="9" xfId="0" applyNumberFormat="1" applyBorder="1"/>
    <xf numFmtId="16" fontId="0" fillId="0" borderId="10" xfId="0" applyNumberFormat="1" applyBorder="1"/>
    <xf numFmtId="16" fontId="0" fillId="0" borderId="2" xfId="0" applyNumberFormat="1" applyBorder="1"/>
    <xf numFmtId="0" fontId="0" fillId="10" borderId="4" xfId="0" applyFill="1" applyBorder="1" applyAlignment="1">
      <alignment vertical="center"/>
    </xf>
    <xf numFmtId="0" fontId="29" fillId="0" borderId="0" xfId="0" applyFont="1"/>
    <xf numFmtId="16" fontId="0" fillId="0" borderId="2" xfId="0" applyNumberFormat="1" applyBorder="1" applyAlignment="1">
      <alignment wrapText="1"/>
    </xf>
    <xf numFmtId="0" fontId="29" fillId="0" borderId="2" xfId="0" applyFont="1" applyBorder="1"/>
    <xf numFmtId="0" fontId="7" fillId="11" borderId="4" xfId="0" applyFont="1" applyFill="1" applyBorder="1" applyAlignment="1">
      <alignment horizontal="center" vertical="center" wrapText="1"/>
    </xf>
    <xf numFmtId="14" fontId="0" fillId="0" borderId="12" xfId="0" applyNumberFormat="1" applyBorder="1"/>
    <xf numFmtId="0" fontId="10" fillId="0" borderId="11" xfId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14" fontId="0" fillId="0" borderId="19" xfId="0" applyNumberFormat="1" applyBorder="1" applyAlignment="1">
      <alignment horizontal="center"/>
    </xf>
    <xf numFmtId="0" fontId="31" fillId="0" borderId="10" xfId="0" applyFont="1" applyBorder="1"/>
    <xf numFmtId="0" fontId="26" fillId="0" borderId="4" xfId="0" applyFont="1" applyBorder="1"/>
    <xf numFmtId="0" fontId="28" fillId="0" borderId="0" xfId="0" applyFont="1"/>
    <xf numFmtId="0" fontId="24" fillId="0" borderId="16" xfId="0" applyFont="1" applyBorder="1" applyAlignment="1">
      <alignment horizontal="center" wrapText="1"/>
    </xf>
    <xf numFmtId="14" fontId="0" fillId="0" borderId="15" xfId="0" applyNumberFormat="1" applyBorder="1" applyAlignment="1">
      <alignment horizontal="center" wrapText="1"/>
    </xf>
    <xf numFmtId="14" fontId="6" fillId="0" borderId="2" xfId="1" applyNumberFormat="1" applyFont="1" applyBorder="1" applyAlignment="1">
      <alignment wrapText="1" readingOrder="1"/>
    </xf>
    <xf numFmtId="0" fontId="32" fillId="0" borderId="0" xfId="0" applyFont="1" applyAlignment="1">
      <alignment horizontal="center"/>
    </xf>
    <xf numFmtId="0" fontId="7" fillId="3" borderId="2" xfId="0" applyFont="1" applyFill="1" applyBorder="1" applyAlignment="1">
      <alignment horizontal="center" vertical="center" wrapText="1"/>
    </xf>
    <xf numFmtId="0" fontId="7" fillId="3" borderId="25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7" fillId="12" borderId="3" xfId="0" applyFont="1" applyFill="1" applyBorder="1" applyAlignment="1">
      <alignment horizontal="center" vertical="center" wrapText="1"/>
    </xf>
    <xf numFmtId="0" fontId="7" fillId="12" borderId="1" xfId="0" applyFont="1" applyFill="1" applyBorder="1" applyAlignment="1">
      <alignment horizontal="center" vertical="center" wrapText="1"/>
    </xf>
    <xf numFmtId="0" fontId="7" fillId="12" borderId="17" xfId="0" applyFont="1" applyFill="1" applyBorder="1" applyAlignment="1">
      <alignment horizontal="center" vertical="center" wrapText="1"/>
    </xf>
    <xf numFmtId="0" fontId="27" fillId="12" borderId="2" xfId="0" applyFont="1" applyFill="1" applyBorder="1" applyAlignment="1">
      <alignment horizontal="center" vertical="center"/>
    </xf>
    <xf numFmtId="0" fontId="7" fillId="12" borderId="8" xfId="0" applyFont="1" applyFill="1" applyBorder="1" applyAlignment="1">
      <alignment horizontal="center" vertical="center" wrapText="1"/>
    </xf>
    <xf numFmtId="0" fontId="22" fillId="12" borderId="2" xfId="0" applyFont="1" applyFill="1" applyBorder="1" applyAlignment="1">
      <alignment horizontal="center" vertical="center" wrapText="1"/>
    </xf>
    <xf numFmtId="0" fontId="22" fillId="12" borderId="28" xfId="0" applyFont="1" applyFill="1" applyBorder="1" applyAlignment="1">
      <alignment horizontal="center" vertical="center" wrapText="1"/>
    </xf>
    <xf numFmtId="0" fontId="16" fillId="12" borderId="5" xfId="0" applyFont="1" applyFill="1" applyBorder="1" applyAlignment="1">
      <alignment horizontal="center" vertical="center" wrapText="1"/>
    </xf>
    <xf numFmtId="14" fontId="16" fillId="12" borderId="8" xfId="0" applyNumberFormat="1" applyFont="1" applyFill="1" applyBorder="1" applyAlignment="1">
      <alignment horizontal="center" vertical="center" wrapText="1"/>
    </xf>
    <xf numFmtId="0" fontId="16" fillId="12" borderId="2" xfId="0" applyFont="1" applyFill="1" applyBorder="1" applyAlignment="1">
      <alignment horizontal="center" vertical="center" wrapText="1"/>
    </xf>
    <xf numFmtId="43" fontId="7" fillId="12" borderId="8" xfId="0" applyNumberFormat="1" applyFont="1" applyFill="1" applyBorder="1" applyAlignment="1">
      <alignment horizontal="center" vertical="center" wrapText="1"/>
    </xf>
    <xf numFmtId="43" fontId="7" fillId="12" borderId="17" xfId="0" applyNumberFormat="1" applyFont="1" applyFill="1" applyBorder="1" applyAlignment="1">
      <alignment horizontal="center" vertical="center" wrapText="1"/>
    </xf>
    <xf numFmtId="0" fontId="26" fillId="0" borderId="15" xfId="0" applyFont="1" applyBorder="1"/>
    <xf numFmtId="0" fontId="26" fillId="0" borderId="0" xfId="0" applyFont="1"/>
    <xf numFmtId="0" fontId="26" fillId="0" borderId="13" xfId="0" applyFont="1" applyBorder="1"/>
    <xf numFmtId="0" fontId="26" fillId="0" borderId="16" xfId="0" applyFont="1" applyBorder="1"/>
    <xf numFmtId="0" fontId="27" fillId="12" borderId="0" xfId="0" applyFont="1" applyFill="1" applyAlignment="1">
      <alignment horizontal="center" vertical="center" wrapText="1"/>
    </xf>
    <xf numFmtId="14" fontId="13" fillId="0" borderId="10" xfId="0" applyNumberFormat="1" applyFont="1" applyBorder="1" applyAlignment="1">
      <alignment horizontal="center"/>
    </xf>
    <xf numFmtId="14" fontId="0" fillId="0" borderId="10" xfId="0" applyNumberFormat="1" applyBorder="1" applyAlignment="1">
      <alignment horizontal="center"/>
    </xf>
    <xf numFmtId="14" fontId="6" fillId="0" borderId="2" xfId="1" applyNumberFormat="1" applyFont="1" applyBorder="1"/>
    <xf numFmtId="14" fontId="6" fillId="0" borderId="2" xfId="1" applyNumberFormat="1" applyFont="1" applyBorder="1" applyAlignment="1">
      <alignment wrapText="1"/>
    </xf>
    <xf numFmtId="14" fontId="6" fillId="0" borderId="2" xfId="1" applyNumberFormat="1" applyFont="1" applyBorder="1" applyAlignment="1">
      <alignment readingOrder="1"/>
    </xf>
    <xf numFmtId="14" fontId="0" fillId="0" borderId="0" xfId="0" applyNumberFormat="1" applyAlignment="1">
      <alignment horizontal="right"/>
    </xf>
    <xf numFmtId="14" fontId="24" fillId="0" borderId="0" xfId="0" applyNumberFormat="1" applyFont="1" applyAlignment="1">
      <alignment horizontal="right"/>
    </xf>
    <xf numFmtId="0" fontId="6" fillId="12" borderId="0" xfId="0" applyFont="1" applyFill="1" applyAlignment="1">
      <alignment horizontal="center" vertical="center"/>
    </xf>
    <xf numFmtId="0" fontId="21" fillId="0" borderId="10" xfId="0" applyFont="1" applyBorder="1" applyAlignment="1">
      <alignment horizontal="center"/>
    </xf>
    <xf numFmtId="0" fontId="7" fillId="12" borderId="2" xfId="0" applyFont="1" applyFill="1" applyBorder="1" applyAlignment="1">
      <alignment horizontal="center" vertical="center" wrapText="1"/>
    </xf>
    <xf numFmtId="0" fontId="13" fillId="0" borderId="2" xfId="0" applyFont="1" applyBorder="1" applyAlignment="1">
      <alignment horizontal="center" wrapText="1"/>
    </xf>
    <xf numFmtId="0" fontId="5" fillId="0" borderId="2" xfId="0" applyFont="1" applyBorder="1" applyAlignment="1">
      <alignment horizontal="center"/>
    </xf>
    <xf numFmtId="0" fontId="5" fillId="0" borderId="2" xfId="0" applyFont="1" applyBorder="1"/>
    <xf numFmtId="0" fontId="26" fillId="0" borderId="20" xfId="0" applyFont="1" applyBorder="1"/>
    <xf numFmtId="0" fontId="11" fillId="0" borderId="15" xfId="0" applyFont="1" applyBorder="1"/>
    <xf numFmtId="16" fontId="0" fillId="0" borderId="10" xfId="0" applyNumberFormat="1" applyBorder="1" applyAlignment="1">
      <alignment horizontal="center"/>
    </xf>
    <xf numFmtId="0" fontId="33" fillId="0" borderId="2" xfId="0" applyFont="1" applyBorder="1" applyAlignment="1">
      <alignment horizontal="right"/>
    </xf>
    <xf numFmtId="0" fontId="10" fillId="0" borderId="4" xfId="1" applyBorder="1"/>
    <xf numFmtId="0" fontId="10" fillId="0" borderId="4" xfId="1" applyBorder="1" applyAlignment="1">
      <alignment wrapText="1"/>
    </xf>
    <xf numFmtId="0" fontId="10" fillId="0" borderId="4" xfId="1" applyBorder="1" applyAlignment="1">
      <alignment readingOrder="1"/>
    </xf>
    <xf numFmtId="0" fontId="10" fillId="0" borderId="15" xfId="1" applyBorder="1"/>
    <xf numFmtId="0" fontId="10" fillId="0" borderId="4" xfId="1" applyBorder="1" applyAlignment="1">
      <alignment horizontal="right"/>
    </xf>
    <xf numFmtId="0" fontId="10" fillId="0" borderId="19" xfId="1" applyBorder="1"/>
    <xf numFmtId="14" fontId="11" fillId="0" borderId="15" xfId="0" applyNumberFormat="1" applyFont="1" applyBorder="1" applyAlignment="1">
      <alignment horizontal="center"/>
    </xf>
    <xf numFmtId="22" fontId="13" fillId="0" borderId="15" xfId="0" applyNumberFormat="1" applyFont="1" applyBorder="1" applyAlignment="1">
      <alignment horizontal="center"/>
    </xf>
    <xf numFmtId="14" fontId="0" fillId="0" borderId="15" xfId="0" applyNumberFormat="1" applyBorder="1" applyAlignment="1">
      <alignment horizontal="center"/>
    </xf>
    <xf numFmtId="0" fontId="23" fillId="0" borderId="11" xfId="0" applyFont="1" applyBorder="1" applyAlignment="1">
      <alignment horizontal="center"/>
    </xf>
    <xf numFmtId="0" fontId="23" fillId="0" borderId="9" xfId="0" applyFont="1" applyBorder="1" applyAlignment="1">
      <alignment horizontal="center"/>
    </xf>
    <xf numFmtId="0" fontId="34" fillId="0" borderId="19" xfId="0" applyFont="1" applyBorder="1" applyAlignment="1">
      <alignment horizontal="center"/>
    </xf>
    <xf numFmtId="0" fontId="23" fillId="0" borderId="16" xfId="0" applyFont="1" applyBorder="1" applyAlignment="1">
      <alignment horizontal="center"/>
    </xf>
    <xf numFmtId="0" fontId="23" fillId="0" borderId="20" xfId="0" applyFont="1" applyBorder="1" applyAlignment="1">
      <alignment horizontal="center"/>
    </xf>
    <xf numFmtId="0" fontId="24" fillId="0" borderId="4" xfId="0" applyFont="1" applyBorder="1"/>
    <xf numFmtId="0" fontId="35" fillId="0" borderId="0" xfId="0" applyFont="1"/>
    <xf numFmtId="0" fontId="14" fillId="0" borderId="2" xfId="0" applyFont="1" applyBorder="1" applyAlignment="1">
      <alignment horizontal="center" vertical="center" wrapText="1"/>
    </xf>
    <xf numFmtId="0" fontId="21" fillId="0" borderId="11" xfId="0" applyFont="1" applyBorder="1" applyAlignment="1">
      <alignment vertical="center"/>
    </xf>
    <xf numFmtId="0" fontId="21" fillId="0" borderId="15" xfId="0" applyFont="1" applyBorder="1" applyAlignment="1">
      <alignment horizontal="center" vertical="center" wrapText="1"/>
    </xf>
    <xf numFmtId="0" fontId="26" fillId="0" borderId="2" xfId="0" applyFont="1" applyBorder="1" applyAlignment="1">
      <alignment horizontal="right"/>
    </xf>
    <xf numFmtId="0" fontId="10" fillId="0" borderId="4" xfId="1" applyFill="1" applyBorder="1"/>
    <xf numFmtId="0" fontId="0" fillId="0" borderId="2" xfId="0" applyBorder="1" applyAlignment="1">
      <alignment horizontal="right"/>
    </xf>
    <xf numFmtId="14" fontId="10" fillId="0" borderId="4" xfId="1" applyNumberFormat="1" applyBorder="1"/>
    <xf numFmtId="0" fontId="10" fillId="0" borderId="0" xfId="1" applyFill="1" applyAlignment="1">
      <alignment horizontal="center"/>
    </xf>
    <xf numFmtId="0" fontId="10" fillId="0" borderId="11" xfId="1" applyFill="1" applyBorder="1"/>
    <xf numFmtId="0" fontId="0" fillId="0" borderId="19" xfId="0" applyBorder="1"/>
    <xf numFmtId="14" fontId="0" fillId="0" borderId="10" xfId="0" applyNumberFormat="1" applyBorder="1"/>
    <xf numFmtId="0" fontId="24" fillId="0" borderId="4" xfId="0" applyFont="1" applyBorder="1" applyAlignment="1">
      <alignment horizontal="center"/>
    </xf>
    <xf numFmtId="0" fontId="24" fillId="0" borderId="0" xfId="0" applyFont="1" applyAlignment="1">
      <alignment horizontal="center"/>
    </xf>
    <xf numFmtId="0" fontId="36" fillId="0" borderId="2" xfId="0" applyFont="1" applyBorder="1"/>
    <xf numFmtId="0" fontId="36" fillId="0" borderId="10" xfId="0" applyFont="1" applyBorder="1"/>
    <xf numFmtId="0" fontId="36" fillId="0" borderId="10" xfId="0" applyFont="1" applyBorder="1" applyAlignment="1">
      <alignment wrapText="1"/>
    </xf>
    <xf numFmtId="0" fontId="36" fillId="0" borderId="20" xfId="0" applyFont="1" applyBorder="1"/>
    <xf numFmtId="0" fontId="33" fillId="0" borderId="0" xfId="0" applyFont="1"/>
    <xf numFmtId="0" fontId="10" fillId="0" borderId="9" xfId="1" applyBorder="1"/>
    <xf numFmtId="0" fontId="33" fillId="0" borderId="9" xfId="0" applyFont="1" applyBorder="1"/>
    <xf numFmtId="0" fontId="10" fillId="0" borderId="12" xfId="1" applyBorder="1"/>
    <xf numFmtId="0" fontId="33" fillId="0" borderId="20" xfId="0" applyFont="1" applyBorder="1"/>
    <xf numFmtId="0" fontId="33" fillId="0" borderId="2" xfId="0" applyFont="1" applyBorder="1"/>
    <xf numFmtId="0" fontId="33" fillId="0" borderId="11" xfId="0" applyFont="1" applyBorder="1"/>
    <xf numFmtId="0" fontId="36" fillId="4" borderId="10" xfId="0" applyFont="1" applyFill="1" applyBorder="1"/>
    <xf numFmtId="0" fontId="26" fillId="0" borderId="4" xfId="0" applyFont="1" applyBorder="1" applyAlignment="1">
      <alignment horizontal="right"/>
    </xf>
    <xf numFmtId="0" fontId="0" fillId="0" borderId="2" xfId="0" applyBorder="1" applyAlignment="1">
      <alignment horizontal="left"/>
    </xf>
    <xf numFmtId="0" fontId="26" fillId="0" borderId="15" xfId="0" applyFont="1" applyBorder="1" applyAlignment="1">
      <alignment horizontal="center"/>
    </xf>
    <xf numFmtId="0" fontId="26" fillId="0" borderId="11" xfId="0" applyFont="1" applyBorder="1"/>
    <xf numFmtId="0" fontId="26" fillId="0" borderId="9" xfId="0" applyFont="1" applyBorder="1"/>
    <xf numFmtId="0" fontId="13" fillId="0" borderId="2" xfId="0" applyFont="1" applyBorder="1" applyAlignment="1">
      <alignment horizontal="right"/>
    </xf>
    <xf numFmtId="0" fontId="33" fillId="0" borderId="0" xfId="0" applyFont="1" applyAlignment="1">
      <alignment horizontal="right"/>
    </xf>
    <xf numFmtId="0" fontId="33" fillId="0" borderId="0" xfId="0" applyFont="1" applyAlignment="1">
      <alignment horizontal="left"/>
    </xf>
    <xf numFmtId="0" fontId="39" fillId="9" borderId="2" xfId="0" applyFont="1" applyFill="1" applyBorder="1" applyAlignment="1">
      <alignment readingOrder="1"/>
    </xf>
    <xf numFmtId="0" fontId="0" fillId="0" borderId="0" xfId="0" applyAlignment="1">
      <alignment horizontal="left"/>
    </xf>
    <xf numFmtId="0" fontId="33" fillId="13" borderId="2" xfId="0" applyFont="1" applyFill="1" applyBorder="1"/>
    <xf numFmtId="0" fontId="36" fillId="4" borderId="2" xfId="0" applyFont="1" applyFill="1" applyBorder="1"/>
    <xf numFmtId="0" fontId="11" fillId="13" borderId="2" xfId="0" applyFont="1" applyFill="1" applyBorder="1"/>
    <xf numFmtId="0" fontId="36" fillId="4" borderId="15" xfId="0" applyFont="1" applyFill="1" applyBorder="1"/>
    <xf numFmtId="0" fontId="33" fillId="0" borderId="16" xfId="0" applyFont="1" applyBorder="1"/>
    <xf numFmtId="0" fontId="33" fillId="0" borderId="16" xfId="0" applyFont="1" applyBorder="1" applyAlignment="1">
      <alignment horizontal="right"/>
    </xf>
    <xf numFmtId="0" fontId="0" fillId="0" borderId="16" xfId="0" applyBorder="1"/>
    <xf numFmtId="0" fontId="33" fillId="0" borderId="16" xfId="0" applyFont="1" applyBorder="1" applyAlignment="1">
      <alignment horizontal="left"/>
    </xf>
    <xf numFmtId="0" fontId="33" fillId="3" borderId="16" xfId="0" applyFont="1" applyFill="1" applyBorder="1"/>
    <xf numFmtId="0" fontId="33" fillId="0" borderId="20" xfId="0" applyFont="1" applyBorder="1" applyAlignment="1">
      <alignment horizontal="right"/>
    </xf>
    <xf numFmtId="0" fontId="33" fillId="0" borderId="20" xfId="0" applyFont="1" applyBorder="1" applyAlignment="1">
      <alignment horizontal="left"/>
    </xf>
    <xf numFmtId="0" fontId="0" fillId="0" borderId="20" xfId="0" applyBorder="1"/>
    <xf numFmtId="0" fontId="10" fillId="0" borderId="11" xfId="1" applyBorder="1"/>
    <xf numFmtId="0" fontId="33" fillId="0" borderId="11" xfId="0" applyFont="1" applyBorder="1" applyAlignment="1">
      <alignment horizontal="left"/>
    </xf>
    <xf numFmtId="0" fontId="0" fillId="0" borderId="16" xfId="0" applyBorder="1" applyAlignment="1">
      <alignment horizontal="left"/>
    </xf>
    <xf numFmtId="0" fontId="0" fillId="0" borderId="20" xfId="0" applyBorder="1" applyAlignment="1">
      <alignment horizontal="left"/>
    </xf>
    <xf numFmtId="0" fontId="0" fillId="0" borderId="12" xfId="0" applyBorder="1"/>
    <xf numFmtId="0" fontId="33" fillId="0" borderId="13" xfId="0" applyFont="1" applyBorder="1"/>
    <xf numFmtId="0" fontId="37" fillId="0" borderId="2" xfId="0" applyFont="1" applyBorder="1" applyAlignment="1">
      <alignment horizontal="right"/>
    </xf>
    <xf numFmtId="0" fontId="40" fillId="0" borderId="2" xfId="1" applyFont="1" applyBorder="1"/>
    <xf numFmtId="0" fontId="40" fillId="3" borderId="2" xfId="1" applyFont="1" applyFill="1" applyBorder="1"/>
    <xf numFmtId="0" fontId="0" fillId="3" borderId="2" xfId="0" applyFill="1" applyBorder="1"/>
    <xf numFmtId="0" fontId="10" fillId="0" borderId="12" xfId="1" applyFill="1" applyBorder="1"/>
    <xf numFmtId="0" fontId="33" fillId="13" borderId="11" xfId="0" applyFont="1" applyFill="1" applyBorder="1"/>
    <xf numFmtId="14" fontId="38" fillId="0" borderId="20" xfId="0" applyNumberFormat="1" applyFont="1" applyBorder="1"/>
    <xf numFmtId="0" fontId="38" fillId="0" borderId="0" xfId="0" applyFont="1"/>
    <xf numFmtId="0" fontId="33" fillId="0" borderId="15" xfId="0" applyFont="1" applyBorder="1"/>
    <xf numFmtId="14" fontId="10" fillId="0" borderId="4" xfId="1" applyNumberFormat="1" applyBorder="1" applyAlignment="1">
      <alignment readingOrder="1"/>
    </xf>
    <xf numFmtId="0" fontId="0" fillId="0" borderId="14" xfId="0" applyBorder="1" applyAlignment="1">
      <alignment horizontal="center"/>
    </xf>
    <xf numFmtId="0" fontId="0" fillId="0" borderId="18" xfId="0" applyBorder="1" applyAlignment="1">
      <alignment horizontal="center"/>
    </xf>
    <xf numFmtId="14" fontId="0" fillId="0" borderId="18" xfId="0" applyNumberFormat="1" applyBorder="1"/>
    <xf numFmtId="14" fontId="7" fillId="3" borderId="2" xfId="0" applyNumberFormat="1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/>
    </xf>
    <xf numFmtId="0" fontId="15" fillId="0" borderId="2" xfId="0" applyFont="1" applyBorder="1"/>
    <xf numFmtId="0" fontId="7" fillId="3" borderId="10" xfId="0" applyFont="1" applyFill="1" applyBorder="1" applyAlignment="1">
      <alignment horizontal="center" vertical="center" wrapText="1"/>
    </xf>
    <xf numFmtId="0" fontId="6" fillId="0" borderId="10" xfId="0" applyFont="1" applyBorder="1" applyAlignment="1">
      <alignment horizontal="center"/>
    </xf>
    <xf numFmtId="0" fontId="18" fillId="8" borderId="10" xfId="0" applyFont="1" applyFill="1" applyBorder="1" applyAlignment="1">
      <alignment horizontal="center"/>
    </xf>
    <xf numFmtId="0" fontId="1" fillId="12" borderId="13" xfId="0" applyFont="1" applyFill="1" applyBorder="1" applyAlignment="1">
      <alignment horizontal="center" vertical="center" wrapText="1"/>
    </xf>
    <xf numFmtId="0" fontId="1" fillId="9" borderId="4" xfId="0" applyFont="1" applyFill="1" applyBorder="1" applyAlignment="1">
      <alignment horizontal="center" readingOrder="1"/>
    </xf>
    <xf numFmtId="3" fontId="1" fillId="0" borderId="11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3" fontId="1" fillId="0" borderId="2" xfId="0" applyNumberFormat="1" applyFont="1" applyBorder="1" applyAlignment="1">
      <alignment horizontal="center"/>
    </xf>
    <xf numFmtId="3" fontId="1" fillId="0" borderId="22" xfId="0" applyNumberFormat="1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3" fontId="1" fillId="0" borderId="18" xfId="0" applyNumberFormat="1" applyFont="1" applyBorder="1" applyAlignment="1">
      <alignment horizontal="center"/>
    </xf>
    <xf numFmtId="3" fontId="1" fillId="0" borderId="10" xfId="0" applyNumberFormat="1" applyFont="1" applyBorder="1" applyAlignment="1">
      <alignment horizontal="center"/>
    </xf>
    <xf numFmtId="3" fontId="1" fillId="0" borderId="14" xfId="0" applyNumberFormat="1" applyFont="1" applyBorder="1" applyAlignment="1">
      <alignment horizontal="center"/>
    </xf>
    <xf numFmtId="22" fontId="1" fillId="0" borderId="4" xfId="0" applyNumberFormat="1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2" xfId="0" applyFont="1" applyBorder="1"/>
    <xf numFmtId="14" fontId="1" fillId="0" borderId="2" xfId="0" applyNumberFormat="1" applyFont="1" applyBorder="1" applyAlignment="1">
      <alignment horizontal="center"/>
    </xf>
    <xf numFmtId="22" fontId="1" fillId="0" borderId="2" xfId="0" applyNumberFormat="1" applyFont="1" applyBorder="1" applyAlignment="1">
      <alignment horizontal="center"/>
    </xf>
    <xf numFmtId="14" fontId="1" fillId="0" borderId="12" xfId="0" applyNumberFormat="1" applyFont="1" applyBorder="1" applyAlignment="1">
      <alignment horizontal="center"/>
    </xf>
    <xf numFmtId="14" fontId="1" fillId="0" borderId="11" xfId="0" applyNumberFormat="1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14" fontId="1" fillId="0" borderId="4" xfId="0" applyNumberFormat="1" applyFont="1" applyBorder="1" applyAlignment="1">
      <alignment horizontal="center"/>
    </xf>
    <xf numFmtId="14" fontId="1" fillId="0" borderId="10" xfId="0" applyNumberFormat="1" applyFont="1" applyBorder="1" applyAlignment="1">
      <alignment horizontal="center"/>
    </xf>
    <xf numFmtId="22" fontId="1" fillId="0" borderId="18" xfId="0" applyNumberFormat="1" applyFont="1" applyBorder="1" applyAlignment="1">
      <alignment horizontal="center"/>
    </xf>
    <xf numFmtId="22" fontId="1" fillId="0" borderId="11" xfId="0" applyNumberFormat="1" applyFont="1" applyBorder="1" applyAlignment="1">
      <alignment horizontal="center"/>
    </xf>
    <xf numFmtId="14" fontId="1" fillId="0" borderId="21" xfId="0" applyNumberFormat="1" applyFont="1" applyBorder="1" applyAlignment="1">
      <alignment horizontal="center"/>
    </xf>
    <xf numFmtId="14" fontId="1" fillId="0" borderId="18" xfId="0" applyNumberFormat="1" applyFont="1" applyBorder="1" applyAlignment="1">
      <alignment horizontal="center"/>
    </xf>
    <xf numFmtId="14" fontId="1" fillId="0" borderId="15" xfId="0" applyNumberFormat="1" applyFont="1" applyBorder="1" applyAlignment="1">
      <alignment horizontal="center"/>
    </xf>
    <xf numFmtId="14" fontId="1" fillId="0" borderId="9" xfId="0" applyNumberFormat="1" applyFont="1" applyBorder="1" applyAlignment="1">
      <alignment horizontal="center"/>
    </xf>
    <xf numFmtId="22" fontId="1" fillId="0" borderId="15" xfId="0" applyNumberFormat="1" applyFont="1" applyBorder="1" applyAlignment="1">
      <alignment horizontal="center"/>
    </xf>
    <xf numFmtId="14" fontId="1" fillId="0" borderId="16" xfId="0" applyNumberFormat="1" applyFont="1" applyBorder="1" applyAlignment="1">
      <alignment horizontal="center"/>
    </xf>
    <xf numFmtId="0" fontId="1" fillId="9" borderId="0" xfId="0" applyFont="1" applyFill="1" applyAlignment="1">
      <alignment horizontal="center" readingOrder="1"/>
    </xf>
    <xf numFmtId="22" fontId="1" fillId="0" borderId="16" xfId="0" applyNumberFormat="1" applyFont="1" applyBorder="1" applyAlignment="1">
      <alignment horizontal="center"/>
    </xf>
    <xf numFmtId="22" fontId="1" fillId="0" borderId="10" xfId="0" applyNumberFormat="1" applyFont="1" applyBorder="1" applyAlignment="1">
      <alignment horizontal="center"/>
    </xf>
    <xf numFmtId="22" fontId="1" fillId="0" borderId="19" xfId="0" applyNumberFormat="1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14" fontId="1" fillId="0" borderId="19" xfId="0" applyNumberFormat="1" applyFont="1" applyBorder="1" applyAlignment="1">
      <alignment horizontal="center"/>
    </xf>
    <xf numFmtId="0" fontId="1" fillId="0" borderId="19" xfId="0" applyFont="1" applyBorder="1"/>
    <xf numFmtId="0" fontId="1" fillId="0" borderId="4" xfId="0" applyFont="1" applyBorder="1"/>
    <xf numFmtId="14" fontId="1" fillId="0" borderId="14" xfId="0" applyNumberFormat="1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3" fontId="1" fillId="0" borderId="9" xfId="0" applyNumberFormat="1" applyFont="1" applyBorder="1" applyAlignment="1">
      <alignment horizontal="center"/>
    </xf>
    <xf numFmtId="14" fontId="1" fillId="0" borderId="13" xfId="0" applyNumberFormat="1" applyFont="1" applyBorder="1" applyAlignment="1">
      <alignment horizontal="center"/>
    </xf>
    <xf numFmtId="14" fontId="1" fillId="0" borderId="20" xfId="0" applyNumberFormat="1" applyFont="1" applyBorder="1" applyAlignment="1">
      <alignment horizontal="center"/>
    </xf>
    <xf numFmtId="3" fontId="1" fillId="0" borderId="0" xfId="0" applyNumberFormat="1" applyFont="1" applyAlignment="1">
      <alignment horizontal="center"/>
    </xf>
    <xf numFmtId="0" fontId="1" fillId="9" borderId="2" xfId="0" applyFont="1" applyFill="1" applyBorder="1" applyAlignment="1">
      <alignment horizontal="center" readingOrder="1"/>
    </xf>
    <xf numFmtId="0" fontId="1" fillId="0" borderId="2" xfId="0" applyFont="1" applyBorder="1" applyAlignment="1">
      <alignment horizontal="left"/>
    </xf>
    <xf numFmtId="0" fontId="1" fillId="0" borderId="0" xfId="0" applyFont="1" applyAlignment="1">
      <alignment horizontal="center"/>
    </xf>
    <xf numFmtId="0" fontId="1" fillId="0" borderId="10" xfId="0" applyFont="1" applyBorder="1"/>
    <xf numFmtId="0" fontId="1" fillId="0" borderId="9" xfId="0" applyFont="1" applyBorder="1" applyAlignment="1">
      <alignment horizontal="center"/>
    </xf>
    <xf numFmtId="14" fontId="1" fillId="0" borderId="0" xfId="0" applyNumberFormat="1" applyFont="1"/>
    <xf numFmtId="0" fontId="1" fillId="0" borderId="0" xfId="0" applyFont="1"/>
    <xf numFmtId="14" fontId="1" fillId="0" borderId="0" xfId="0" applyNumberFormat="1" applyFont="1" applyAlignment="1">
      <alignment horizontal="center"/>
    </xf>
    <xf numFmtId="0" fontId="1" fillId="11" borderId="13" xfId="0" applyFont="1" applyFill="1" applyBorder="1" applyAlignment="1">
      <alignment horizontal="center" vertical="center" wrapText="1"/>
    </xf>
    <xf numFmtId="16" fontId="1" fillId="0" borderId="10" xfId="0" applyNumberFormat="1" applyFont="1" applyBorder="1" applyAlignment="1">
      <alignment horizontal="center"/>
    </xf>
    <xf numFmtId="16" fontId="1" fillId="0" borderId="2" xfId="0" applyNumberFormat="1" applyFont="1" applyBorder="1" applyAlignment="1">
      <alignment horizontal="center"/>
    </xf>
    <xf numFmtId="14" fontId="1" fillId="0" borderId="2" xfId="0" applyNumberFormat="1" applyFont="1" applyBorder="1"/>
    <xf numFmtId="3" fontId="1" fillId="0" borderId="2" xfId="0" applyNumberFormat="1" applyFont="1" applyBorder="1" applyAlignment="1">
      <alignment horizontal="center" wrapText="1"/>
    </xf>
    <xf numFmtId="3" fontId="1" fillId="0" borderId="22" xfId="0" applyNumberFormat="1" applyFont="1" applyBorder="1" applyAlignment="1">
      <alignment horizontal="center" wrapText="1"/>
    </xf>
    <xf numFmtId="3" fontId="1" fillId="0" borderId="11" xfId="0" applyNumberFormat="1" applyFont="1" applyBorder="1" applyAlignment="1">
      <alignment horizontal="center" wrapText="1"/>
    </xf>
    <xf numFmtId="3" fontId="1" fillId="0" borderId="18" xfId="0" applyNumberFormat="1" applyFont="1" applyBorder="1" applyAlignment="1">
      <alignment horizontal="center" wrapText="1"/>
    </xf>
    <xf numFmtId="0" fontId="1" fillId="0" borderId="15" xfId="0" applyFont="1" applyBorder="1" applyAlignment="1">
      <alignment horizontal="center" wrapText="1"/>
    </xf>
    <xf numFmtId="3" fontId="1" fillId="0" borderId="10" xfId="0" applyNumberFormat="1" applyFont="1" applyBorder="1" applyAlignment="1">
      <alignment horizontal="center" wrapText="1"/>
    </xf>
    <xf numFmtId="3" fontId="1" fillId="0" borderId="14" xfId="0" applyNumberFormat="1" applyFont="1" applyBorder="1" applyAlignment="1">
      <alignment horizontal="center" wrapText="1"/>
    </xf>
    <xf numFmtId="22" fontId="1" fillId="0" borderId="2" xfId="0" applyNumberFormat="1" applyFont="1" applyBorder="1" applyAlignment="1">
      <alignment horizontal="center" wrapText="1"/>
    </xf>
    <xf numFmtId="0" fontId="1" fillId="0" borderId="10" xfId="0" applyFont="1" applyBorder="1" applyAlignment="1">
      <alignment horizontal="center" wrapText="1"/>
    </xf>
    <xf numFmtId="0" fontId="1" fillId="0" borderId="2" xfId="0" applyFont="1" applyBorder="1" applyAlignment="1">
      <alignment wrapText="1"/>
    </xf>
    <xf numFmtId="14" fontId="1" fillId="0" borderId="2" xfId="0" applyNumberFormat="1" applyFont="1" applyBorder="1" applyAlignment="1">
      <alignment horizontal="center" wrapText="1"/>
    </xf>
    <xf numFmtId="0" fontId="1" fillId="0" borderId="18" xfId="0" applyFont="1" applyBorder="1" applyAlignment="1">
      <alignment horizontal="center" wrapText="1"/>
    </xf>
    <xf numFmtId="14" fontId="1" fillId="0" borderId="10" xfId="0" applyNumberFormat="1" applyFont="1" applyBorder="1" applyAlignment="1">
      <alignment horizontal="center" wrapText="1"/>
    </xf>
    <xf numFmtId="22" fontId="1" fillId="0" borderId="18" xfId="0" applyNumberFormat="1" applyFont="1" applyBorder="1" applyAlignment="1">
      <alignment horizontal="center" wrapText="1"/>
    </xf>
    <xf numFmtId="22" fontId="1" fillId="0" borderId="11" xfId="0" applyNumberFormat="1" applyFont="1" applyBorder="1" applyAlignment="1">
      <alignment horizontal="center" wrapText="1"/>
    </xf>
    <xf numFmtId="14" fontId="1" fillId="0" borderId="18" xfId="0" applyNumberFormat="1" applyFont="1" applyBorder="1" applyAlignment="1">
      <alignment horizontal="center" wrapText="1"/>
    </xf>
    <xf numFmtId="14" fontId="1" fillId="0" borderId="11" xfId="0" applyNumberFormat="1" applyFont="1" applyBorder="1" applyAlignment="1">
      <alignment horizontal="center" wrapText="1"/>
    </xf>
    <xf numFmtId="14" fontId="1" fillId="0" borderId="15" xfId="0" applyNumberFormat="1" applyFont="1" applyBorder="1" applyAlignment="1">
      <alignment horizontal="center" wrapText="1"/>
    </xf>
    <xf numFmtId="0" fontId="1" fillId="0" borderId="4" xfId="0" applyFont="1" applyBorder="1" applyAlignment="1">
      <alignment wrapText="1"/>
    </xf>
    <xf numFmtId="0" fontId="1" fillId="0" borderId="2" xfId="0" applyFont="1" applyBorder="1" applyAlignment="1">
      <alignment horizontal="center" wrapText="1"/>
    </xf>
    <xf numFmtId="0" fontId="1" fillId="0" borderId="12" xfId="0" applyFont="1" applyBorder="1" applyAlignment="1">
      <alignment horizontal="center" wrapText="1"/>
    </xf>
    <xf numFmtId="22" fontId="1" fillId="0" borderId="15" xfId="0" applyNumberFormat="1" applyFont="1" applyBorder="1" applyAlignment="1">
      <alignment horizontal="center" wrapText="1"/>
    </xf>
    <xf numFmtId="0" fontId="1" fillId="0" borderId="9" xfId="0" applyFont="1" applyBorder="1" applyAlignment="1">
      <alignment horizontal="center" wrapText="1"/>
    </xf>
    <xf numFmtId="22" fontId="1" fillId="0" borderId="10" xfId="0" applyNumberFormat="1" applyFont="1" applyBorder="1" applyAlignment="1">
      <alignment horizontal="center" wrapText="1"/>
    </xf>
    <xf numFmtId="0" fontId="1" fillId="0" borderId="10" xfId="0" applyFont="1" applyBorder="1" applyAlignment="1">
      <alignment wrapText="1"/>
    </xf>
    <xf numFmtId="0" fontId="1" fillId="0" borderId="13" xfId="0" applyFont="1" applyBorder="1" applyAlignment="1">
      <alignment wrapText="1"/>
    </xf>
    <xf numFmtId="0" fontId="1" fillId="0" borderId="11" xfId="0" applyFont="1" applyBorder="1" applyAlignment="1">
      <alignment wrapText="1"/>
    </xf>
    <xf numFmtId="0" fontId="1" fillId="0" borderId="9" xfId="0" applyFont="1" applyBorder="1" applyAlignment="1">
      <alignment wrapText="1"/>
    </xf>
    <xf numFmtId="0" fontId="1" fillId="0" borderId="2" xfId="0" applyFont="1" applyBorder="1" applyAlignment="1">
      <alignment horizontal="left" wrapText="1"/>
    </xf>
    <xf numFmtId="0" fontId="1" fillId="9" borderId="2" xfId="0" applyFont="1" applyFill="1" applyBorder="1" applyAlignment="1">
      <alignment horizontal="center" wrapText="1" readingOrder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 wrapText="1"/>
    </xf>
    <xf numFmtId="0" fontId="1" fillId="11" borderId="2" xfId="0" applyFont="1" applyFill="1" applyBorder="1" applyAlignment="1">
      <alignment horizontal="center" vertical="center" wrapText="1"/>
    </xf>
    <xf numFmtId="0" fontId="1" fillId="0" borderId="12" xfId="0" applyFont="1" applyBorder="1" applyAlignment="1">
      <alignment horizontal="right"/>
    </xf>
    <xf numFmtId="0" fontId="1" fillId="0" borderId="12" xfId="0" applyFont="1" applyBorder="1"/>
    <xf numFmtId="0" fontId="1" fillId="3" borderId="12" xfId="0" applyFont="1" applyFill="1" applyBorder="1" applyAlignment="1">
      <alignment horizontal="left"/>
    </xf>
  </cellXfs>
  <cellStyles count="2">
    <cellStyle name="Hipervínculo" xfId="1" builtinId="8"/>
    <cellStyle name="Normal" xfId="0" builtinId="0"/>
  </cellStyles>
  <dxfs count="6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color theme="1"/>
      </font>
      <fill>
        <patternFill patternType="solid">
          <bgColor theme="9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C29204"/>
      <color rgb="FFFADE8C"/>
      <color rgb="FFFAE2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268472D-3719-4E21-AEEC-CD5761F5D590}" name="Table1" displayName="Table1" ref="A1:I441" totalsRowShown="0" headerRowDxfId="11" dataDxfId="10" headerRowBorderDxfId="9">
  <autoFilter ref="A1:I441" xr:uid="{C268472D-3719-4E21-AEEC-CD5761F5D590}"/>
  <tableColumns count="9">
    <tableColumn id="1" xr3:uid="{9BADEC22-1CFC-455C-AA35-5CBC174127EB}" name="REF. CLIENTE" dataDxfId="8"/>
    <tableColumn id="2" xr3:uid="{E033D021-6A0B-4632-A35E-0284BC0A141A}" name="DESPACHO" dataDxfId="7"/>
    <tableColumn id="3" xr3:uid="{15391A47-4328-40BD-AF2B-36D006879523}" name="FECHA PRESENTACION" dataDxfId="6"/>
    <tableColumn id="4" xr3:uid="{4E6F985D-7455-4831-B23D-450409E29949}" name="TIPO TRAMITE" dataDxfId="5"/>
    <tableColumn id="5" xr3:uid="{AE634251-C2C1-419E-8A0E-15B49BFFB840}" name="ENTIDAD" dataDxfId="4"/>
    <tableColumn id="6" xr3:uid="{4CD4AA12-A385-4CAA-B532-F1155E5630B0}" name="DOCUMENTO " dataDxfId="3"/>
    <tableColumn id="7" xr3:uid="{F5DB0D84-9C78-420A-81F1-B037F3122302}" name="ADUANA" dataDxfId="2"/>
    <tableColumn id="8" xr3:uid="{ACE2E709-FE70-438B-A851-EAE43D5A1721}" name="ESTADO" dataDxfId="1"/>
    <tableColumn id="9" xr3:uid="{09BEF932-D717-4BCE-8FD1-B5590E474C38}" name="OBSERVACIONES" dataDxfId="0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agenciadeaduanapirazzoli-my.sharepoint.com/:b:/g/personal/mmorales_pirazzoli_cl/IQDm82L4L_o6QrR9bRRiwNHDAZZcuX1do1G3mETnYECZAOo?e=mngHwx" TargetMode="External"/><Relationship Id="rId21" Type="http://schemas.openxmlformats.org/officeDocument/2006/relationships/hyperlink" Target="https://agenciadeaduanapirazzoli-my.sharepoint.com/:b:/g/personal/mmorales_pirazzoli_cl/IQBwdhNV3dNqR5aKNLU_XB1LAaKubMBQagG0aFVqeXiNihU?e=QMaT5m" TargetMode="External"/><Relationship Id="rId63" Type="http://schemas.openxmlformats.org/officeDocument/2006/relationships/hyperlink" Target="https://agenciadeaduanapirazzoli-my.sharepoint.com/:b:/g/personal/mmorales_pirazzoli_cl/IQD_j42M526GS67Omc7Hp0vGAbkWx69Ba3vu8R-u6gRH-V8?e=mGpwuv" TargetMode="External"/><Relationship Id="rId159" Type="http://schemas.openxmlformats.org/officeDocument/2006/relationships/hyperlink" Target="https://agenciadeaduanapirazzoli-my.sharepoint.com/:b:/g/personal/mmorales_pirazzoli_cl/IQBURPOEvsRrQol2MQHnpPvkAWLqijJnIaXkXVNmhbwCiPU?e=1MKkXv" TargetMode="External"/><Relationship Id="rId170" Type="http://schemas.openxmlformats.org/officeDocument/2006/relationships/hyperlink" Target="https://agenciadeaduanapirazzoli-my.sharepoint.com/:b:/g/personal/mmorales_pirazzoli_cl/IQA2Zeq2vgwRTLvgVd-2jxsUAU6gOGcw7f5t5cX31IN3DpE?e=JJehnU" TargetMode="External"/><Relationship Id="rId226" Type="http://schemas.openxmlformats.org/officeDocument/2006/relationships/hyperlink" Target="https://agenciadeaduanapirazzoli-my.sharepoint.com/:b:/g/personal/mmorales_pirazzoli_cl/IQBRpupZ5fHsTo_10QcoLtpXAQs2caSrLbMMUF7YMrWHjlM?e=tvEdw8" TargetMode="External"/><Relationship Id="rId107" Type="http://schemas.openxmlformats.org/officeDocument/2006/relationships/hyperlink" Target="https://agenciadeaduanapirazzoli-my.sharepoint.com/:b:/g/personal/mmorales_pirazzoli_cl/IQBnR4yUkrQ7TYWOISPyrCInAYfWiBZy1qLz1N-_3bfQ3Jk?e=viN2Ja" TargetMode="External"/><Relationship Id="rId11" Type="http://schemas.openxmlformats.org/officeDocument/2006/relationships/hyperlink" Target="https://agenciadeaduanapirazzoli-my.sharepoint.com/:b:/g/personal/mmorales_pirazzoli_cl/IQBMc0BlEARqSpqayGdMO1V9AYfqgOMEEE1eFd7Xd6sBca4?e=RF7Ayc" TargetMode="External"/><Relationship Id="rId32" Type="http://schemas.openxmlformats.org/officeDocument/2006/relationships/hyperlink" Target="https://agenciadeaduanapirazzoli-my.sharepoint.com/:b:/g/personal/mmorales_pirazzoli_cl/IQBzqmge_HGbRI9Ub-RMk4DCAd2nyU1LArAcNdym_rFhKqU?e=SjUmLo" TargetMode="External"/><Relationship Id="rId53" Type="http://schemas.openxmlformats.org/officeDocument/2006/relationships/hyperlink" Target="https://agenciadeaduanapirazzoli-my.sharepoint.com/:b:/g/personal/mmorales_pirazzoli_cl/IQCOZvieo4hDT7jVvXQLLIOFAQWY_cy9T626aiOiXcB7bEs?e=KH4vRy" TargetMode="External"/><Relationship Id="rId74" Type="http://schemas.openxmlformats.org/officeDocument/2006/relationships/hyperlink" Target="https://agenciadeaduanapirazzoli-my.sharepoint.com/:b:/g/personal/mmorales_pirazzoli_cl/IQBmV_PZunB7TZG1k3OFr0OnARbojzzpdBVcy2d5CEDTbbY?e=EoXBt6" TargetMode="External"/><Relationship Id="rId128" Type="http://schemas.openxmlformats.org/officeDocument/2006/relationships/hyperlink" Target="https://agenciadeaduanapirazzoli-my.sharepoint.com/:b:/g/personal/mmorales_pirazzoli_cl/IQBCOISetcqhQ6P6YESmVaRnAVfzw0-JjXcD395CR1Vb35A?e=IP288e" TargetMode="External"/><Relationship Id="rId149" Type="http://schemas.openxmlformats.org/officeDocument/2006/relationships/hyperlink" Target="https://agenciadeaduanapirazzoli-my.sharepoint.com/:b:/g/personal/mmorales_pirazzoli_cl/IQAR8ET-KEsLS66kAvwgcZRNAb5SRAbmTWyaoV4a7BEMSyY?e=Y8YTvd" TargetMode="External"/><Relationship Id="rId5" Type="http://schemas.openxmlformats.org/officeDocument/2006/relationships/hyperlink" Target="https://agenciadeaduanapirazzoli-my.sharepoint.com/:b:/g/personal/mmorales_pirazzoli_cl/IQAgKJ3x4eTPQZJknJC8YWCFAUuuOkkrMePUejHvgOEBzj4?e=YAmzqC" TargetMode="External"/><Relationship Id="rId95" Type="http://schemas.openxmlformats.org/officeDocument/2006/relationships/hyperlink" Target="https://agenciadeaduanapirazzoli-my.sharepoint.com/:b:/g/personal/mmorales_pirazzoli_cl/IQB1tactyNf3SLKcqA7DiU46AUMnUObbq3zOMBOUN3uA0U4?e=7YEauV" TargetMode="External"/><Relationship Id="rId160" Type="http://schemas.openxmlformats.org/officeDocument/2006/relationships/hyperlink" Target="https://agenciadeaduanapirazzoli-my.sharepoint.com/:b:/g/personal/mmorales_pirazzoli_cl/IQCcRppkMMTQQZsY_Dj6i1b_AVOo9lOJOMai4d21VdPL6rM?e=jcdGe9" TargetMode="External"/><Relationship Id="rId181" Type="http://schemas.openxmlformats.org/officeDocument/2006/relationships/hyperlink" Target="https://agenciadeaduanapirazzoli-my.sharepoint.com/:b:/g/personal/mmorales_pirazzoli_cl/IQAIheIuinKMSq-nTbVRJjDnAZWcQdWV86AmgY5u-7Rzfsg?e=mpBvHq" TargetMode="External"/><Relationship Id="rId216" Type="http://schemas.openxmlformats.org/officeDocument/2006/relationships/hyperlink" Target="https://agenciadeaduanapirazzoli-my.sharepoint.com/:b:/g/personal/mmorales_pirazzoli_cl/IQD5OOooqXN3SKWYjBpIe6d9AV72Y32wDGj6rREHSMO-2Oo?e=b68Ydy" TargetMode="External"/><Relationship Id="rId237" Type="http://schemas.openxmlformats.org/officeDocument/2006/relationships/hyperlink" Target="https://agenciadeaduanapirazzoli-my.sharepoint.com/:b:/g/personal/mmorales_pirazzoli_cl/IQDH40bnx-wqSJcOnOXsi-9bAW2yQ8DOMFYUTpx_gkYX_Zs?e=ZnsG4N" TargetMode="External"/><Relationship Id="rId258" Type="http://schemas.openxmlformats.org/officeDocument/2006/relationships/hyperlink" Target="https://agenciadeaduanapirazzoli-my.sharepoint.com/:b:/g/personal/mmorales_pirazzoli_cl/IQDt3RNd03wRTK9GRjUuGWVEAfUUUmsOTfMxbqsK59x7At4?e=RtLEhV" TargetMode="External"/><Relationship Id="rId22" Type="http://schemas.openxmlformats.org/officeDocument/2006/relationships/hyperlink" Target="https://agenciadeaduanapirazzoli-my.sharepoint.com/:b:/g/personal/mmorales_pirazzoli_cl/IQAnWlkLqfMOQpcrNwrT-pziAcoh66xskZTu_UZJkt_X5yk?e=UXOIGp" TargetMode="External"/><Relationship Id="rId43" Type="http://schemas.openxmlformats.org/officeDocument/2006/relationships/hyperlink" Target="https://agenciadeaduanapirazzoli-my.sharepoint.com/:b:/g/personal/mmorales_pirazzoli_cl/IQC4ha_8uusQQbrieIGcZTZzAbsgok8_SGYz9lzyDrAyOK8?e=g42nzt" TargetMode="External"/><Relationship Id="rId64" Type="http://schemas.openxmlformats.org/officeDocument/2006/relationships/hyperlink" Target="https://agenciadeaduanapirazzoli-my.sharepoint.com/:b:/g/personal/mmorales_pirazzoli_cl/IQAWMi42VHimSbnMpy6k1bONAZwkB1FK577uiQdV7aNd2CM?e=LcuKii" TargetMode="External"/><Relationship Id="rId118" Type="http://schemas.openxmlformats.org/officeDocument/2006/relationships/hyperlink" Target="https://agenciadeaduanapirazzoli-my.sharepoint.com/:b:/g/personal/mmorales_pirazzoli_cl/IQA5ogpBd-k6TpuyTj7wa2kGAbCN8h_W0VQCGaIud7Yh-SI?e=HyjZo7" TargetMode="External"/><Relationship Id="rId139" Type="http://schemas.openxmlformats.org/officeDocument/2006/relationships/hyperlink" Target="https://agenciadeaduanapirazzoli-my.sharepoint.com/:b:/g/personal/mmorales_pirazzoli_cl/IQC-XCpIW8v8RqfyGpdY_qDbAd_MGGiY-BVbFynpCY92yFQ?e=C958pN" TargetMode="External"/><Relationship Id="rId85" Type="http://schemas.openxmlformats.org/officeDocument/2006/relationships/hyperlink" Target="https://agenciadeaduanapirazzoli-my.sharepoint.com/:b:/g/personal/mmorales_pirazzoli_cl/IQC3RLMNwGFpSqS-uemI7PUbAcs1nfVTAFyzQ_7fJ0T0Pr0?e=SWccKF" TargetMode="External"/><Relationship Id="rId150" Type="http://schemas.openxmlformats.org/officeDocument/2006/relationships/hyperlink" Target="https://agenciadeaduanapirazzoli-my.sharepoint.com/:b:/g/personal/mmorales_pirazzoli_cl/IQAfXKr19SfBSZi4F5a2s6odAVb0B5EfZn9XxOTTf8WC2hY?e=11nWJc" TargetMode="External"/><Relationship Id="rId171" Type="http://schemas.openxmlformats.org/officeDocument/2006/relationships/hyperlink" Target="https://agenciadeaduanapirazzoli-my.sharepoint.com/:b:/g/personal/mmorales_pirazzoli_cl/IQAKYzc1IVQ0SKi6YjH3jklHAW8MD2IgGuEcQfB3SXkk3N8?e=anOZ3Y" TargetMode="External"/><Relationship Id="rId192" Type="http://schemas.openxmlformats.org/officeDocument/2006/relationships/hyperlink" Target="https://agenciadeaduanapirazzoli-my.sharepoint.com/:b:/g/personal/mmorales_pirazzoli_cl/IQBIAuSO5I7MRKiVFg9W9kffAazIbf4zozIWw3Viupef7aI?e=VQ3SR7" TargetMode="External"/><Relationship Id="rId206" Type="http://schemas.openxmlformats.org/officeDocument/2006/relationships/hyperlink" Target="https://agenciadeaduanapirazzoli-my.sharepoint.com/:b:/g/personal/mmorales_pirazzoli_cl/IQAREKddwGAYSJjdvU6fDlS2ATatzyM93fanD_UpMN5r824?e=pcDFtb" TargetMode="External"/><Relationship Id="rId227" Type="http://schemas.openxmlformats.org/officeDocument/2006/relationships/hyperlink" Target="https://agenciadeaduanapirazzoli-my.sharepoint.com/:b:/g/personal/mmorales_pirazzoli_cl/IQC6CWT42ZU9TaHT3xVsEqTtAc3Ix0VlYIJWm5puqlCF9OU?e=CV6oe2" TargetMode="External"/><Relationship Id="rId248" Type="http://schemas.openxmlformats.org/officeDocument/2006/relationships/hyperlink" Target="https://agenciadeaduanapirazzoli-my.sharepoint.com/:b:/g/personal/mmorales_pirazzoli_cl/IQBFSa12n2_eS5Uq1lq4abw_AaVPQ-eq5hiz5Yw3rjrICTU?e=8d3gLp" TargetMode="External"/><Relationship Id="rId12" Type="http://schemas.openxmlformats.org/officeDocument/2006/relationships/hyperlink" Target="https://agenciadeaduanapirazzoli-my.sharepoint.com/:b:/g/personal/mmorales_pirazzoli_cl/IQDR0AlFJWOYTrOQKefH4L9ZAeI_poIRZxKVCyGYSQPyFM0?e=ku708A" TargetMode="External"/><Relationship Id="rId33" Type="http://schemas.openxmlformats.org/officeDocument/2006/relationships/hyperlink" Target="https://agenciadeaduanapirazzoli-my.sharepoint.com/:b:/g/personal/mmorales_pirazzoli_cl/IQDvbbk0T9TVTJxiUFScGpXEAWv5vJ5NMzW8FMDIoiksSVY?e=DzHJN1" TargetMode="External"/><Relationship Id="rId108" Type="http://schemas.openxmlformats.org/officeDocument/2006/relationships/hyperlink" Target="https://agenciadeaduanapirazzoli-my.sharepoint.com/:b:/g/personal/mmorales_pirazzoli_cl/IQDTqNfE8ZCcSbxz3pEPGUaWAR9V0o08075ACiZ8l2bisqE?e=TrWhH8" TargetMode="External"/><Relationship Id="rId129" Type="http://schemas.openxmlformats.org/officeDocument/2006/relationships/hyperlink" Target="https://agenciadeaduanapirazzoli-my.sharepoint.com/:b:/g/personal/mmorales_pirazzoli_cl/IQBSu1rxy3JFSZ-fspNfeWbuAeSOnIpxhBO3yNimXZKtWQ4?e=E22Ecx" TargetMode="External"/><Relationship Id="rId54" Type="http://schemas.openxmlformats.org/officeDocument/2006/relationships/hyperlink" Target="https://agenciadeaduanapirazzoli-my.sharepoint.com/:b:/g/personal/mmorales_pirazzoli_cl/IQC7St0DTiXOQKNfiuHelMEpARI0jolNwCQp57j4yGxZPhU?e=h2Ux8Q" TargetMode="External"/><Relationship Id="rId75" Type="http://schemas.openxmlformats.org/officeDocument/2006/relationships/hyperlink" Target="https://agenciadeaduanapirazzoli-my.sharepoint.com/:b:/g/personal/mmorales_pirazzoli_cl/IQAI8kqP3vaBRonppBBFnJUmAaYk7pMw1gTieKlkBQCmC-0?e=0sKyL6" TargetMode="External"/><Relationship Id="rId96" Type="http://schemas.openxmlformats.org/officeDocument/2006/relationships/hyperlink" Target="https://agenciadeaduanapirazzoli-my.sharepoint.com/:b:/g/personal/mmorales_pirazzoli_cl/IQCXLuEHJO_DRLuSSD5uDDCXAVPkgvlThqktbzrhR2IMEC4?e=qZTufZ" TargetMode="External"/><Relationship Id="rId140" Type="http://schemas.openxmlformats.org/officeDocument/2006/relationships/hyperlink" Target="https://agenciadeaduanapirazzoli-my.sharepoint.com/:b:/g/personal/mmorales_pirazzoli_cl/IQAPuWwee57sSr1zkVqV-pRSARzIyaUT3N5eiAIlPi5V2EE?e=9sAhlS" TargetMode="External"/><Relationship Id="rId161" Type="http://schemas.openxmlformats.org/officeDocument/2006/relationships/hyperlink" Target="https://agenciadeaduanapirazzoli-my.sharepoint.com/:b:/g/personal/mmorales_pirazzoli_cl/IQB43C3Y5cR9Q7r4AQZBwmwdAc3dd90WfMzHbKaYbTbhsQs?e=wTpKyD" TargetMode="External"/><Relationship Id="rId182" Type="http://schemas.openxmlformats.org/officeDocument/2006/relationships/hyperlink" Target="https://agenciadeaduanapirazzoli-my.sharepoint.com/:b:/g/personal/mmorales_pirazzoli_cl/IQCKm4dBz5rgRLDed6L4BTrgAfoVWgfdyPNrndO4B3_SWDA?e=CXcwYT" TargetMode="External"/><Relationship Id="rId217" Type="http://schemas.openxmlformats.org/officeDocument/2006/relationships/hyperlink" Target="https://agenciadeaduanapirazzoli-my.sharepoint.com/:b:/g/personal/mmorales_pirazzoli_cl/IQBZVYYJQCxqQKN7XGA01UboAYU5f5io9U8sgjUTSD39vjw?e=dvBVID" TargetMode="External"/><Relationship Id="rId6" Type="http://schemas.openxmlformats.org/officeDocument/2006/relationships/hyperlink" Target="https://agenciadeaduanapirazzoli-my.sharepoint.com/:b:/g/personal/mmorales_pirazzoli_cl/IQDjvTZubQGgRY3gqjD7VpDJAW16HX0NFNWUCyUklNMrcRo?e=qawLob" TargetMode="External"/><Relationship Id="rId238" Type="http://schemas.openxmlformats.org/officeDocument/2006/relationships/hyperlink" Target="https://agenciadeaduanapirazzoli-my.sharepoint.com/:b:/g/personal/mmorales_pirazzoli_cl/IQCqExpBfRgtS5mrRFapmWo4Act3oYM4B1JigpAdeuT05qQ?e=P2haY5" TargetMode="External"/><Relationship Id="rId259" Type="http://schemas.openxmlformats.org/officeDocument/2006/relationships/hyperlink" Target="https://agenciadeaduanapirazzoli-my.sharepoint.com/:b:/g/personal/mmorales_pirazzoli_cl/IQD0z4A_VTQQQ6wuKzogK81gAT2vSfpqkkHsOn9cPVokhQY?e=zVast8" TargetMode="External"/><Relationship Id="rId23" Type="http://schemas.openxmlformats.org/officeDocument/2006/relationships/hyperlink" Target="https://agenciadeaduanapirazzoli-my.sharepoint.com/:b:/g/personal/mmorales_pirazzoli_cl/IQAQLaSIupYJSZEWgPFfSxFxAUV6ux5H0CI9e2snGx3EFAg?e=vQfsC3" TargetMode="External"/><Relationship Id="rId119" Type="http://schemas.openxmlformats.org/officeDocument/2006/relationships/hyperlink" Target="https://agenciadeaduanapirazzoli-my.sharepoint.com/:b:/g/personal/mmorales_pirazzoli_cl/IQC9MezbbjT5TIxmUZ6UquwYAa-5kCeeZgH3FKO7oYTR5mc?e=wLsKY3" TargetMode="External"/><Relationship Id="rId44" Type="http://schemas.openxmlformats.org/officeDocument/2006/relationships/hyperlink" Target="https://agenciadeaduanapirazzoli-my.sharepoint.com/:b:/g/personal/mmorales_pirazzoli_cl/IQC0uxa3nF4yQ5I8eiDgi_dDAfmUhPzt-HyX1tJytMS-N8w?e=OXdGg2" TargetMode="External"/><Relationship Id="rId65" Type="http://schemas.openxmlformats.org/officeDocument/2006/relationships/hyperlink" Target="https://agenciadeaduanapirazzoli-my.sharepoint.com/:b:/g/personal/mmorales_pirazzoli_cl/IQDEEFYQngW-RaYXjl5rvJWsAdnVIa5ryPRDEDjc-uBT3OU?e=ddbTlW" TargetMode="External"/><Relationship Id="rId86" Type="http://schemas.openxmlformats.org/officeDocument/2006/relationships/hyperlink" Target="https://agenciadeaduanapirazzoli-my.sharepoint.com/:b:/g/personal/mmorales_pirazzoli_cl/IQAmK8BR8VcuRYWHprjH67t1ATdqsGaSEOB5KFOPEKxLUfE?e=XP7MyW" TargetMode="External"/><Relationship Id="rId130" Type="http://schemas.openxmlformats.org/officeDocument/2006/relationships/hyperlink" Target="https://agenciadeaduanapirazzoli-my.sharepoint.com/:b:/g/personal/mmorales_pirazzoli_cl/IQBJbJa5jc2PQa-o7Bd73nRGARpVwjqNoNoE10kaY-XFq3I?e=tOGmTt" TargetMode="External"/><Relationship Id="rId151" Type="http://schemas.openxmlformats.org/officeDocument/2006/relationships/hyperlink" Target="https://agenciadeaduanapirazzoli-my.sharepoint.com/:b:/g/personal/mmorales_pirazzoli_cl/IQCRqwHDpByHSa0oEBAOxEBDATIv2PWbEHdq0MsUH36u5TM?e=Ry5VXe" TargetMode="External"/><Relationship Id="rId172" Type="http://schemas.openxmlformats.org/officeDocument/2006/relationships/hyperlink" Target="https://agenciadeaduanapirazzoli-my.sharepoint.com/:b:/g/personal/mmorales_pirazzoli_cl/IQAblU9twvhnTKLT5D657Q7ZATqNhP8SWDHfrIiK6cFxOOg?e=KhqiHd" TargetMode="External"/><Relationship Id="rId193" Type="http://schemas.openxmlformats.org/officeDocument/2006/relationships/hyperlink" Target="https://agenciadeaduanapirazzoli-my.sharepoint.com/:b:/g/personal/mmorales_pirazzoli_cl/IQAususcAahNQatScTZu1RUpAXypU7MzbYmOCuOqqy6udL0?e=ulzAww" TargetMode="External"/><Relationship Id="rId207" Type="http://schemas.openxmlformats.org/officeDocument/2006/relationships/hyperlink" Target="https://agenciadeaduanapirazzoli-my.sharepoint.com/:b:/g/personal/mmorales_pirazzoli_cl/IQBZ38ZFSUaJSYBGAg9qr1dtAfx-GYJguQxAJqY0F490eYM?e=cjaIoN" TargetMode="External"/><Relationship Id="rId228" Type="http://schemas.openxmlformats.org/officeDocument/2006/relationships/hyperlink" Target="https://agenciadeaduanapirazzoli-my.sharepoint.com/:b:/g/personal/mmorales_pirazzoli_cl/IQBaajxok-CmTIayTXHbmsnPAeAbTIciQ8cEpo_E4V5TpOQ?e=CFAvYf" TargetMode="External"/><Relationship Id="rId249" Type="http://schemas.openxmlformats.org/officeDocument/2006/relationships/hyperlink" Target="https://agenciadeaduanapirazzoli-my.sharepoint.com/:b:/g/personal/mmorales_pirazzoli_cl/IQCAsOHIUbY3Ram6fSLungfvAbaYjoFRBuWY8_msy4PmbYU?e=EDVEnb" TargetMode="External"/><Relationship Id="rId13" Type="http://schemas.openxmlformats.org/officeDocument/2006/relationships/hyperlink" Target="https://agenciadeaduanapirazzoli-my.sharepoint.com/:b:/g/personal/mmorales_pirazzoli_cl/IQATwNq5o729RpgjB0TWhE04AS1oGbmyoVOa19xp-BbRSjs?e=wTei9p" TargetMode="External"/><Relationship Id="rId109" Type="http://schemas.openxmlformats.org/officeDocument/2006/relationships/hyperlink" Target="https://agenciadeaduanapirazzoli-my.sharepoint.com/:b:/g/personal/mmorales_pirazzoli_cl/IQBVHYRca0vUTpiYmgzdRscTAeNTFTJ1rwtLWWzSouD1dq4?e=ZvqIXD" TargetMode="External"/><Relationship Id="rId260" Type="http://schemas.openxmlformats.org/officeDocument/2006/relationships/hyperlink" Target="https://agenciadeaduanapirazzoli-my.sharepoint.com/:b:/g/personal/mmorales_pirazzoli_cl/IQDU17ZeGtsxSYH8QMy_wupgAQTBG7Iu9ndfQGh70fS3fO0?e=RMuxcf" TargetMode="External"/><Relationship Id="rId34" Type="http://schemas.openxmlformats.org/officeDocument/2006/relationships/hyperlink" Target="https://agenciadeaduanapirazzoli-my.sharepoint.com/:b:/g/personal/mmorales_pirazzoli_cl/IQCNrdo8lJZvRIgr7vCsS8BNAc321SSiFE_d2GFZCn5oUI4?e=q9FWpJ" TargetMode="External"/><Relationship Id="rId55" Type="http://schemas.openxmlformats.org/officeDocument/2006/relationships/hyperlink" Target="https://agenciadeaduanapirazzoli-my.sharepoint.com/:b:/g/personal/mmorales_pirazzoli_cl/IQAQDr71lPUVQJ6vDVyoi6wbAZeRoPKP6V9isPtDcbZXJvw?e=slt90d" TargetMode="External"/><Relationship Id="rId76" Type="http://schemas.openxmlformats.org/officeDocument/2006/relationships/hyperlink" Target="https://agenciadeaduanapirazzoli-my.sharepoint.com/:b:/g/personal/mmorales_pirazzoli_cl/IQAY-eCFU6WyTaN5vCbLjhEuAYvyUuzCZtvMuBdGxvkn0Us?e=DF0BSh" TargetMode="External"/><Relationship Id="rId97" Type="http://schemas.openxmlformats.org/officeDocument/2006/relationships/hyperlink" Target="https://agenciadeaduanapirazzoli-my.sharepoint.com/:b:/g/personal/mmorales_pirazzoli_cl/IQBk3CcXJvtpRIP531uh2h6cAZDjUv47YsQvZvwbiIoGm7A?e=Q6qv5T" TargetMode="External"/><Relationship Id="rId120" Type="http://schemas.openxmlformats.org/officeDocument/2006/relationships/hyperlink" Target="https://agenciadeaduanapirazzoli-my.sharepoint.com/:b:/g/personal/mmorales_pirazzoli_cl/IQBWjdHiNGr4SLVAJOA-zlXtAYnbIRmKrn3YSQP8Hy1wjVU?e=NXnL9z" TargetMode="External"/><Relationship Id="rId141" Type="http://schemas.openxmlformats.org/officeDocument/2006/relationships/hyperlink" Target="https://agenciadeaduanapirazzoli-my.sharepoint.com/:b:/g/personal/mmorales_pirazzoli_cl/IQBMi-UteyO5T4pSTo8QXPbLAa7HSYoPaY_1MIHP4TJn4Rs?e=chlP3l" TargetMode="External"/><Relationship Id="rId7" Type="http://schemas.openxmlformats.org/officeDocument/2006/relationships/hyperlink" Target="https://agenciadeaduanapirazzoli-my.sharepoint.com/:b:/g/personal/mmorales_pirazzoli_cl/IQBWrAek8hcaSbdmmejgTyFUAYho6DZHdsVFybFhwhxQKUI?e=q1BeqF" TargetMode="External"/><Relationship Id="rId162" Type="http://schemas.openxmlformats.org/officeDocument/2006/relationships/hyperlink" Target="https://agenciadeaduanapirazzoli-my.sharepoint.com/:b:/g/personal/mmorales_pirazzoli_cl/IQA-CXWpLPF6Qa1xqdfctLGpAZr_SMScbxoNNIfq3ZJCCo0?e=vyCC2w" TargetMode="External"/><Relationship Id="rId183" Type="http://schemas.openxmlformats.org/officeDocument/2006/relationships/hyperlink" Target="https://agenciadeaduanapirazzoli-my.sharepoint.com/:b:/g/personal/mmorales_pirazzoli_cl/IQCVrXfbD1h0S79-b2A0BzIKATIGxyL_iMtpLk-DDGWrXo8?e=aaqPyy" TargetMode="External"/><Relationship Id="rId218" Type="http://schemas.openxmlformats.org/officeDocument/2006/relationships/hyperlink" Target="https://agenciadeaduanapirazzoli-my.sharepoint.com/:b:/g/personal/mmorales_pirazzoli_cl/IQA4VxxMOm4kQZW6H5y1Tx85Ac6Iivr82c50DAJNl2iyzU4?e=1C5fGd" TargetMode="External"/><Relationship Id="rId239" Type="http://schemas.openxmlformats.org/officeDocument/2006/relationships/hyperlink" Target="https://agenciadeaduanapirazzoli-my.sharepoint.com/:b:/g/personal/mmorales_pirazzoli_cl/IQDXms5mzOxrTK7O80hsrqeaAcDzLAV1qn44DaZSnnMdT5U?e=TVVjuW" TargetMode="External"/><Relationship Id="rId250" Type="http://schemas.openxmlformats.org/officeDocument/2006/relationships/hyperlink" Target="https://agenciadeaduanapirazzoli-my.sharepoint.com/:b:/g/personal/mmorales_pirazzoli_cl/IQCtBStm6eErTqJ50rt-_ILkAXzbBASSJstlms_Lkls9R4A?e=ScwdsR" TargetMode="External"/><Relationship Id="rId24" Type="http://schemas.openxmlformats.org/officeDocument/2006/relationships/hyperlink" Target="https://agenciadeaduanapirazzoli-my.sharepoint.com/:b:/g/personal/mmorales_pirazzoli_cl/IQAvP9thgTWDTaXKKw-Vtex1AYTIeMQIk0kd865XEiwRhnY?e=52W79f" TargetMode="External"/><Relationship Id="rId45" Type="http://schemas.openxmlformats.org/officeDocument/2006/relationships/hyperlink" Target="https://agenciadeaduanapirazzoli-my.sharepoint.com/:b:/g/personal/mmorales_pirazzoli_cl/IQAbF-YkeaTDSZMKHCeFZ39AAS-FzKs4IzkgJ31x41NZu8k?e=4Phxvl" TargetMode="External"/><Relationship Id="rId66" Type="http://schemas.openxmlformats.org/officeDocument/2006/relationships/hyperlink" Target="https://agenciadeaduanapirazzoli-my.sharepoint.com/:b:/g/personal/mmorales_pirazzoli_cl/IQBQkoIsFjB7T6LfCHLX-8a1AfZtaHnpz8gMvNTfZDaKmiI?e=tUJ3fO" TargetMode="External"/><Relationship Id="rId87" Type="http://schemas.openxmlformats.org/officeDocument/2006/relationships/hyperlink" Target="https://agenciadeaduanapirazzoli-my.sharepoint.com/:b:/g/personal/mmorales_pirazzoli_cl/IQDv3UYgaLFDSJfsuM5f6A3xATtethd6EYww25bsTf3d1eA?e=B5E0F8" TargetMode="External"/><Relationship Id="rId110" Type="http://schemas.openxmlformats.org/officeDocument/2006/relationships/hyperlink" Target="https://agenciadeaduanapirazzoli-my.sharepoint.com/:b:/g/personal/mmorales_pirazzoli_cl/IQBOAUbenQgXTaLMiaZDG7UoARjdBiJ31Qs6lYxgvt35zvI?e=7U3t3l" TargetMode="External"/><Relationship Id="rId131" Type="http://schemas.openxmlformats.org/officeDocument/2006/relationships/hyperlink" Target="https://agenciadeaduanapirazzoli-my.sharepoint.com/:b:/g/personal/mmorales_pirazzoli_cl/IQDygKOyRE5ERK0RjI4B2_t3AVHdQIwo7UPfE7njvr5EMts?e=4yII2v" TargetMode="External"/><Relationship Id="rId152" Type="http://schemas.openxmlformats.org/officeDocument/2006/relationships/hyperlink" Target="https://agenciadeaduanapirazzoli-my.sharepoint.com/:b:/g/personal/mmorales_pirazzoli_cl/IQAIOc6dAWkVQoGmbSD8BRURAS4T7hF4XMGahgI0SVv7qro?e=FtLs7q" TargetMode="External"/><Relationship Id="rId173" Type="http://schemas.openxmlformats.org/officeDocument/2006/relationships/hyperlink" Target="https://agenciadeaduanapirazzoli-my.sharepoint.com/:b:/g/personal/mmorales_pirazzoli_cl/IQAkBCjUlgFYSrwReQxxr-ARAZIsmKJfqBdqkZcthVyvQCU?e=whPmiX" TargetMode="External"/><Relationship Id="rId194" Type="http://schemas.openxmlformats.org/officeDocument/2006/relationships/hyperlink" Target="https://agenciadeaduanapirazzoli-my.sharepoint.com/:b:/g/personal/mmorales_pirazzoli_cl/IQASW-V69KkCQZz6-7mZL7oQAVJxSK0Wm0VszX__wuMrXl8?e=0Jaixq" TargetMode="External"/><Relationship Id="rId208" Type="http://schemas.openxmlformats.org/officeDocument/2006/relationships/hyperlink" Target="https://agenciadeaduanapirazzoli-my.sharepoint.com/:b:/g/personal/mmorales_pirazzoli_cl/IQDjT5Q8rUoCRpouScbH5ReBASi1dOV8p-4CrhBS3wY3kP0?e=a93RRb" TargetMode="External"/><Relationship Id="rId229" Type="http://schemas.openxmlformats.org/officeDocument/2006/relationships/hyperlink" Target="https://agenciadeaduanapirazzoli-my.sharepoint.com/:b:/g/personal/mmorales_pirazzoli_cl/IQAs2SvYembqT5Dq-_KRhObMATTLctmDJy8vrp-WBqlsH_A?e=Vi4Afw" TargetMode="External"/><Relationship Id="rId240" Type="http://schemas.openxmlformats.org/officeDocument/2006/relationships/hyperlink" Target="https://agenciadeaduanapirazzoli-my.sharepoint.com/:b:/g/personal/mmorales_pirazzoli_cl/IQArs0L3l4U2RZhTjOaj57KgARTWWwIN5r-Pgj0SKFjQ0fs?e=Fge1Op" TargetMode="External"/><Relationship Id="rId261" Type="http://schemas.openxmlformats.org/officeDocument/2006/relationships/hyperlink" Target="https://agenciadeaduanapirazzoli-my.sharepoint.com/:b:/g/personal/mmorales_pirazzoli_cl/IQAyvXKdGgvVRZEvkBsmwaj3Aev0ggQb-Kb5rUeysuLaIhE?e=unhLBK" TargetMode="External"/><Relationship Id="rId14" Type="http://schemas.openxmlformats.org/officeDocument/2006/relationships/hyperlink" Target="https://agenciadeaduanapirazzoli-my.sharepoint.com/:b:/g/personal/mmorales_pirazzoli_cl/IQAfHnusUBNaTZ_cCwOJVOwUAeHWmQOp9BrQLSBKDuyOFBE?e=VMxDt9" TargetMode="External"/><Relationship Id="rId35" Type="http://schemas.openxmlformats.org/officeDocument/2006/relationships/hyperlink" Target="https://agenciadeaduanapirazzoli-my.sharepoint.com/:b:/g/personal/mmorales_pirazzoli_cl/IQBzTwwAoafEQLkF0KY_xAolAaUAaLjM0qu5eTqrJegH4rg?e=w1Vmff" TargetMode="External"/><Relationship Id="rId56" Type="http://schemas.openxmlformats.org/officeDocument/2006/relationships/hyperlink" Target="https://agenciadeaduanapirazzoli-my.sharepoint.com/:b:/g/personal/mmorales_pirazzoli_cl/IQD_kGAm2_aoRIGwKWiimpZcAU_cRdRtzTw15DWsHbsfvE8?e=SZh6cU" TargetMode="External"/><Relationship Id="rId77" Type="http://schemas.openxmlformats.org/officeDocument/2006/relationships/hyperlink" Target="https://agenciadeaduanapirazzoli-my.sharepoint.com/:b:/g/personal/mmorales_pirazzoli_cl/IQALyj4EW6XMRLtHHUwu3VKxAWWT2z9XxNKW2afPoJl_mUQ?e=lQeew5" TargetMode="External"/><Relationship Id="rId100" Type="http://schemas.openxmlformats.org/officeDocument/2006/relationships/hyperlink" Target="https://agenciadeaduanapirazzoli-my.sharepoint.com/:b:/g/personal/mmorales_pirazzoli_cl/IQC3bKfqXqEyR47QNovD65jCAfLS541s4FaByTrdxW2ErqY?e=E568mE" TargetMode="External"/><Relationship Id="rId8" Type="http://schemas.openxmlformats.org/officeDocument/2006/relationships/hyperlink" Target="https://agenciadeaduanapirazzoli-my.sharepoint.com/:b:/g/personal/mmorales_pirazzoli_cl/IQC6PdtCI2f5TqgB5g89ZEf5AXYqbAHUz2vm2C9hKtc2qdE?e=e9r2wq" TargetMode="External"/><Relationship Id="rId98" Type="http://schemas.openxmlformats.org/officeDocument/2006/relationships/hyperlink" Target="https://agenciadeaduanapirazzoli-my.sharepoint.com/:b:/g/personal/mmorales_pirazzoli_cl/IQBDhKliqhb7TKQPuCheGwB9ARh5Utm4FOmAehPAhmurivo?e=HPfyML" TargetMode="External"/><Relationship Id="rId121" Type="http://schemas.openxmlformats.org/officeDocument/2006/relationships/hyperlink" Target="https://agenciadeaduanapirazzoli-my.sharepoint.com/:b:/g/personal/mmorales_pirazzoli_cl/IQCqujHHVVDPT6-tUohdHS8yAcEiGmwMGLFzAa0xZMWFM7k?e=5fg7Pf" TargetMode="External"/><Relationship Id="rId142" Type="http://schemas.openxmlformats.org/officeDocument/2006/relationships/hyperlink" Target="https://agenciadeaduanapirazzoli-my.sharepoint.com/:b:/g/personal/mmorales_pirazzoli_cl/IQCOimbclpFRSp9QvSHiW44cAdCT3mutwGtGw5OL_BCrkGg?e=CJXu1p" TargetMode="External"/><Relationship Id="rId163" Type="http://schemas.openxmlformats.org/officeDocument/2006/relationships/hyperlink" Target="https://agenciadeaduanapirazzoli-my.sharepoint.com/:b:/g/personal/mmorales_pirazzoli_cl/IQCtENpUwpIrRLIrMWquCL3WAZyZ-AGwhbf2hr0q1HoXq-0?e=wfCq3A" TargetMode="External"/><Relationship Id="rId184" Type="http://schemas.openxmlformats.org/officeDocument/2006/relationships/hyperlink" Target="https://agenciadeaduanapirazzoli-my.sharepoint.com/:b:/g/personal/mmorales_pirazzoli_cl/IQBr6yC7s-bHRYsoeu2AFfVfAXKzrknxGr_bRn8qcMXQXH4?e=2SgNHr" TargetMode="External"/><Relationship Id="rId219" Type="http://schemas.openxmlformats.org/officeDocument/2006/relationships/hyperlink" Target="https://agenciadeaduanapirazzoli-my.sharepoint.com/:b:/g/personal/mmorales_pirazzoli_cl/IQC_SH-hoaH2RJWN2_TicqmnAbHZXbgkFirHeo4wyDReNPQ?e=xeYjWY" TargetMode="External"/><Relationship Id="rId230" Type="http://schemas.openxmlformats.org/officeDocument/2006/relationships/hyperlink" Target="https://agenciadeaduanapirazzoli-my.sharepoint.com/:b:/g/personal/mmorales_pirazzoli_cl/IQD1fszmzHLbT4up3dd4hYDoAaDHY3-ud26D5om5is0YYG0?e=1W5FSK" TargetMode="External"/><Relationship Id="rId251" Type="http://schemas.openxmlformats.org/officeDocument/2006/relationships/hyperlink" Target="https://agenciadeaduanapirazzoli-my.sharepoint.com/:b:/g/personal/mmorales_pirazzoli_cl/IQBCoNgitfWOTqteZagmg-rOAXlr8Fx9r9vz8e-QyPx5Nj0?e=cCO24K" TargetMode="External"/><Relationship Id="rId25" Type="http://schemas.openxmlformats.org/officeDocument/2006/relationships/hyperlink" Target="https://agenciadeaduanapirazzoli-my.sharepoint.com/:b:/g/personal/mmorales_pirazzoli_cl/IQB-xayCqIeITZMir-Wot0oBATlTWjWgYPT6wT8yBXoX0fk?e=a7WI74" TargetMode="External"/><Relationship Id="rId46" Type="http://schemas.openxmlformats.org/officeDocument/2006/relationships/hyperlink" Target="https://agenciadeaduanapirazzoli-my.sharepoint.com/:b:/g/personal/mmorales_pirazzoli_cl/IQBGQN0NsAKqT7jQBJTb9c6QAWiU1xkCeqqEZLkBHpO_7q4?e=v2vZLC" TargetMode="External"/><Relationship Id="rId67" Type="http://schemas.openxmlformats.org/officeDocument/2006/relationships/hyperlink" Target="https://agenciadeaduanapirazzoli-my.sharepoint.com/:b:/g/personal/mmorales_pirazzoli_cl/IQABrj6xadZJTo2iFCffuWqZAY5a2UjYPIGiPyj0BcInIkA?e=mfz9mY" TargetMode="External"/><Relationship Id="rId88" Type="http://schemas.openxmlformats.org/officeDocument/2006/relationships/hyperlink" Target="https://agenciadeaduanapirazzoli-my.sharepoint.com/:b:/g/personal/mmorales_pirazzoli_cl/IQCli2ESe1XGTIHIrDlxJaOIAUcP-F-hY0ieYE_hTDk9BcU?e=M2BRli" TargetMode="External"/><Relationship Id="rId111" Type="http://schemas.openxmlformats.org/officeDocument/2006/relationships/hyperlink" Target="https://agenciadeaduanapirazzoli-my.sharepoint.com/:b:/g/personal/mmorales_pirazzoli_cl/IQDBhC1jeV-aS76Jg3rxSWfsAV7-HVkNFaRyq-B6Aow7ivY?e=mzj6NX" TargetMode="External"/><Relationship Id="rId132" Type="http://schemas.openxmlformats.org/officeDocument/2006/relationships/hyperlink" Target="https://agenciadeaduanapirazzoli-my.sharepoint.com/:b:/g/personal/mmorales_pirazzoli_cl/IQAFIZdrO-VdQ5I6H_Ci0OhhAcPB0hw7upemwyl_NNulrYo?e=uzobUP" TargetMode="External"/><Relationship Id="rId153" Type="http://schemas.openxmlformats.org/officeDocument/2006/relationships/hyperlink" Target="https://agenciadeaduanapirazzoli-my.sharepoint.com/:b:/g/personal/mmorales_pirazzoli_cl/IQA-xIRXPn73QJlyi1zJzjIRAWEPboCgSSFO4L3J_lDnIDs?e=RDX7up" TargetMode="External"/><Relationship Id="rId174" Type="http://schemas.openxmlformats.org/officeDocument/2006/relationships/hyperlink" Target="https://agenciadeaduanapirazzoli-my.sharepoint.com/:b:/g/personal/mmorales_pirazzoli_cl/IQDHTOUehybUQJRCKEM2XZLVAdiWX1PTGwSimSDpRIzsQB8?e=6Elewc" TargetMode="External"/><Relationship Id="rId195" Type="http://schemas.openxmlformats.org/officeDocument/2006/relationships/hyperlink" Target="https://agenciadeaduanapirazzoli-my.sharepoint.com/:b:/g/personal/mmorales_pirazzoli_cl/IQBwoR0eBmyuRLIJnFh7E923AVm82vJx45W0uE6XQgRT9YY?e=BVcRlV" TargetMode="External"/><Relationship Id="rId209" Type="http://schemas.openxmlformats.org/officeDocument/2006/relationships/hyperlink" Target="https://agenciadeaduanapirazzoli-my.sharepoint.com/:b:/g/personal/mmorales_pirazzoli_cl/IQDLEr6dWvHtSKBz_vPiuleqAVz_aDCtka1h_PSmTQOdnjo?e=2pgBgJ" TargetMode="External"/><Relationship Id="rId220" Type="http://schemas.openxmlformats.org/officeDocument/2006/relationships/hyperlink" Target="https://agenciadeaduanapirazzoli-my.sharepoint.com/:b:/g/personal/mmorales_pirazzoli_cl/IQDHQkKqNCYcRo36lkB40O_hAQKNYyvz62XYqPqQEEJUhSo?e=FCqyQo" TargetMode="External"/><Relationship Id="rId241" Type="http://schemas.openxmlformats.org/officeDocument/2006/relationships/hyperlink" Target="https://agenciadeaduanapirazzoli-my.sharepoint.com/:b:/g/personal/mmorales_pirazzoli_cl/IQAgC9P-EXLDSbnC8sIhni5eAUAki9sGd01rczD3THXj4GA?e=L755rG" TargetMode="External"/><Relationship Id="rId15" Type="http://schemas.openxmlformats.org/officeDocument/2006/relationships/hyperlink" Target="https://agenciadeaduanapirazzoli-my.sharepoint.com/:b:/g/personal/mmorales_pirazzoli_cl/IQBQuG-pMAUqQoSEyZ2AP5EZAVnMLWFrj0hTT-Ya9k10hvA?e=30HKcI" TargetMode="External"/><Relationship Id="rId36" Type="http://schemas.openxmlformats.org/officeDocument/2006/relationships/hyperlink" Target="https://agenciadeaduanapirazzoli-my.sharepoint.com/:b:/g/personal/mmorales_pirazzoli_cl/IQCYsZY5t4nbQpTK4y8ycj34AQghVR2o_LdKbaFA0v0kS7s?e=JeHF81" TargetMode="External"/><Relationship Id="rId57" Type="http://schemas.openxmlformats.org/officeDocument/2006/relationships/hyperlink" Target="https://agenciadeaduanapirazzoli-my.sharepoint.com/:b:/g/personal/mmorales_pirazzoli_cl/IQD5Hw2qIULfTaHBfoij8HHgAQT14PL04uusOX2LF_PbRdU?e=Be7YwE" TargetMode="External"/><Relationship Id="rId262" Type="http://schemas.openxmlformats.org/officeDocument/2006/relationships/hyperlink" Target="https://agenciadeaduanapirazzoli-my.sharepoint.com/:b:/g/personal/mmorales_pirazzoli_cl/IQC3X-K-D9ONQpl8pOPF3OCrARgc88ifPnAbF4LfTpangvA?e=o0ypLN" TargetMode="External"/><Relationship Id="rId78" Type="http://schemas.openxmlformats.org/officeDocument/2006/relationships/hyperlink" Target="https://agenciadeaduanapirazzoli-my.sharepoint.com/:b:/g/personal/mmorales_pirazzoli_cl/IQDpQBeX5nzcQL81XaGYhi2MAbBZFf64gK1y5kh3xFQq5V8?e=bTMnfE" TargetMode="External"/><Relationship Id="rId99" Type="http://schemas.openxmlformats.org/officeDocument/2006/relationships/hyperlink" Target="https://agenciadeaduanapirazzoli-my.sharepoint.com/:b:/g/personal/mmorales_pirazzoli_cl/IQBCBvjQkvxNRqmllvl3Rms9Aa2JnKH2bEgjo0b5FTeO9EA?e=wKEaOw" TargetMode="External"/><Relationship Id="rId101" Type="http://schemas.openxmlformats.org/officeDocument/2006/relationships/hyperlink" Target="https://agenciadeaduanapirazzoli-my.sharepoint.com/:b:/g/personal/mmorales_pirazzoli_cl/IQDB_v-s1Pk4QpI_87XubvSsAWOCjeuT7ZUm3o8e45TPUZ4?e=eqMjWp" TargetMode="External"/><Relationship Id="rId122" Type="http://schemas.openxmlformats.org/officeDocument/2006/relationships/hyperlink" Target="https://agenciadeaduanapirazzoli-my.sharepoint.com/:b:/g/personal/mmorales_pirazzoli_cl/IQBPTx4ZNPq2TZkfexDXpZVgAX31CF4Us-o8Z-fkMq0Hcko?e=WvH67J" TargetMode="External"/><Relationship Id="rId143" Type="http://schemas.openxmlformats.org/officeDocument/2006/relationships/hyperlink" Target="https://agenciadeaduanapirazzoli-my.sharepoint.com/:b:/g/personal/mmorales_pirazzoli_cl/IQCGWEROSwYpT7DB-BOwd4nJAeknN4pzGvuI3Y99_9Vhpq0?e=SBViZu" TargetMode="External"/><Relationship Id="rId164" Type="http://schemas.openxmlformats.org/officeDocument/2006/relationships/hyperlink" Target="https://agenciadeaduanapirazzoli-my.sharepoint.com/:b:/g/personal/mmorales_pirazzoli_cl/IQBdH7t7Me45T4wVlDgAfeDbAQVbTrLwCFQlSvB6B365Iw4?e=VCplM3" TargetMode="External"/><Relationship Id="rId185" Type="http://schemas.openxmlformats.org/officeDocument/2006/relationships/hyperlink" Target="https://agenciadeaduanapirazzoli-my.sharepoint.com/:b:/g/personal/mmorales_pirazzoli_cl/IQCwO-x7GqR7SqAzHSzo5XlDAUawmYevjBN21H_M8hLCNuA?e=TrjQJe" TargetMode="External"/><Relationship Id="rId9" Type="http://schemas.openxmlformats.org/officeDocument/2006/relationships/hyperlink" Target="https://agenciadeaduanapirazzoli-my.sharepoint.com/:b:/g/personal/mmorales_pirazzoli_cl/IQCRAHoV1wL9Spwnn-aD-z_2AUduPtoW7JyO0VHZTHfRUG0?e=ddZs4T" TargetMode="External"/><Relationship Id="rId210" Type="http://schemas.openxmlformats.org/officeDocument/2006/relationships/hyperlink" Target="https://agenciadeaduanapirazzoli-my.sharepoint.com/:b:/g/personal/mmorales_pirazzoli_cl/IQDKi_RspWpJS5koTYFV9MkPAW5bo_20jFugUWywuhjXXYk?e=3EW83W" TargetMode="External"/><Relationship Id="rId26" Type="http://schemas.openxmlformats.org/officeDocument/2006/relationships/hyperlink" Target="https://agenciadeaduanapirazzoli-my.sharepoint.com/:b:/g/personal/mmorales_pirazzoli_cl/IQCVC_k_kWmjTqQPD-K4Wc5IAULbUyWaQCIsgyhgAi3r5d0?e=JtBTey" TargetMode="External"/><Relationship Id="rId231" Type="http://schemas.openxmlformats.org/officeDocument/2006/relationships/hyperlink" Target="https://agenciadeaduanapirazzoli-my.sharepoint.com/:b:/g/personal/mmorales_pirazzoli_cl/IQCIGOVc8pjeT4vzz_L22bGPAcUQicmyqKJ2m8jHR8qs-Io?e=WgfcTm" TargetMode="External"/><Relationship Id="rId252" Type="http://schemas.openxmlformats.org/officeDocument/2006/relationships/hyperlink" Target="https://agenciadeaduanapirazzoli-my.sharepoint.com/:b:/g/personal/mmorales_pirazzoli_cl/IQCLl6QYzJ29S6Yf_QYWs-QpAScW8cIlJcaukai4MBqCO1A?e=ppZgfI" TargetMode="External"/><Relationship Id="rId47" Type="http://schemas.openxmlformats.org/officeDocument/2006/relationships/hyperlink" Target="https://agenciadeaduanapirazzoli-my.sharepoint.com/:b:/g/personal/mmorales_pirazzoli_cl/IQB22NwB2BmhT71HL6njkwsaAb51cJmozj_7hVeV4QatpFQ?e=2jQUme" TargetMode="External"/><Relationship Id="rId68" Type="http://schemas.openxmlformats.org/officeDocument/2006/relationships/hyperlink" Target="https://agenciadeaduanapirazzoli-my.sharepoint.com/:b:/g/personal/mmorales_pirazzoli_cl/IQBwSCY8MqxtRKpkOG4g5xzaAd4jmSwjXib__lB4sLNEetk?e=xXAe4d" TargetMode="External"/><Relationship Id="rId89" Type="http://schemas.openxmlformats.org/officeDocument/2006/relationships/hyperlink" Target="https://agenciadeaduanapirazzoli-my.sharepoint.com/:b:/g/personal/mmorales_pirazzoli_cl/IQAlpPTnJw1cToM_odqpG9C0AY4rK71v96G-Udn_EMVCMw4?e=c44sUr" TargetMode="External"/><Relationship Id="rId112" Type="http://schemas.openxmlformats.org/officeDocument/2006/relationships/hyperlink" Target="https://agenciadeaduanapirazzoli-my.sharepoint.com/:b:/g/personal/mmorales_pirazzoli_cl/IQAKYYA1DhsbSbz1EfnoXO_SAQBooDtCCCUs0mk5jDRjmjY?e=S9fu0i" TargetMode="External"/><Relationship Id="rId133" Type="http://schemas.openxmlformats.org/officeDocument/2006/relationships/hyperlink" Target="https://agenciadeaduanapirazzoli-my.sharepoint.com/:b:/g/personal/mmorales_pirazzoli_cl/IQATChxFRffDQ6O8yvykV-_ZAYfQjX_6nEjHxKrt_lsi36Q?e=ycusqP" TargetMode="External"/><Relationship Id="rId154" Type="http://schemas.openxmlformats.org/officeDocument/2006/relationships/hyperlink" Target="https://agenciadeaduanapirazzoli-my.sharepoint.com/:b:/g/personal/mmorales_pirazzoli_cl/IQC0pRJiH3slSrnYAGbEnzK8AStxKtacw8tUrQmlE1drVbE?e=hUjq3i" TargetMode="External"/><Relationship Id="rId175" Type="http://schemas.openxmlformats.org/officeDocument/2006/relationships/hyperlink" Target="https://agenciadeaduanapirazzoli-my.sharepoint.com/:b:/g/personal/mmorales_pirazzoli_cl/IQBKsEdhAgaMSbWJh8UkM4jBAUUi4pTfdVQIRYKFzouN09k?e=mzfvbV" TargetMode="External"/><Relationship Id="rId196" Type="http://schemas.openxmlformats.org/officeDocument/2006/relationships/hyperlink" Target="https://agenciadeaduanapirazzoli-my.sharepoint.com/:b:/g/personal/mmorales_pirazzoli_cl/IQAQoRSZf86wRIMxOu0Wot9xASOwGbW-uPpglOPSD4XOBMc?e=OcrecO" TargetMode="External"/><Relationship Id="rId200" Type="http://schemas.openxmlformats.org/officeDocument/2006/relationships/hyperlink" Target="https://agenciadeaduanapirazzoli-my.sharepoint.com/:b:/g/personal/mmorales_pirazzoli_cl/IQDxUDIzSw5sSoXFkbBGMqv1AWjfwWcnV5-eA53vNoSHeMI?e=L5vZqD" TargetMode="External"/><Relationship Id="rId16" Type="http://schemas.openxmlformats.org/officeDocument/2006/relationships/hyperlink" Target="https://agenciadeaduanapirazzoli-my.sharepoint.com/:b:/g/personal/mmorales_pirazzoli_cl/IQBWAz6pZ-lvRYZvhF90TMCPAaLpBPdpV6gi7qcAzsH_B-4?e=hH6ChG" TargetMode="External"/><Relationship Id="rId221" Type="http://schemas.openxmlformats.org/officeDocument/2006/relationships/hyperlink" Target="https://agenciadeaduanapirazzoli-my.sharepoint.com/:b:/g/personal/mmorales_pirazzoli_cl/IQD3rBcgpM2KTYLGvQ2AHZzOAaMkK1QXtEFg7_zfmMEX93Q?e=GeSzAl" TargetMode="External"/><Relationship Id="rId242" Type="http://schemas.openxmlformats.org/officeDocument/2006/relationships/hyperlink" Target="https://agenciadeaduanapirazzoli-my.sharepoint.com/:b:/g/personal/mmorales_pirazzoli_cl/IQBEr4gSpiu6SKFIu9At4-S8ARCmXOTz-B5y-1P6cCI0Ofo?e=DPW1kV" TargetMode="External"/><Relationship Id="rId263" Type="http://schemas.openxmlformats.org/officeDocument/2006/relationships/hyperlink" Target="https://agenciadeaduanapirazzoli-my.sharepoint.com/:b:/g/personal/mmorales_pirazzoli_cl/IQBKINRg_rwOTLpC6UygYhB3AZAx6zMC8D3kRIjrD8wGUM0?e=iXP92c" TargetMode="External"/><Relationship Id="rId37" Type="http://schemas.openxmlformats.org/officeDocument/2006/relationships/hyperlink" Target="https://agenciadeaduanapirazzoli-my.sharepoint.com/:b:/g/personal/mmorales_pirazzoli_cl/IQA0zURE8ne2TaHtRiZZwXeSASU4DyB_5kbyoULvNW4gUkU?e=ZYBEde" TargetMode="External"/><Relationship Id="rId58" Type="http://schemas.openxmlformats.org/officeDocument/2006/relationships/hyperlink" Target="https://agenciadeaduanapirazzoli-my.sharepoint.com/:b:/g/personal/mmorales_pirazzoli_cl/IQD3qG_0pK19TpmuNaMI2q0CAStqhXLd8nLnJj7bTNQYNxE?e=AE7FlH" TargetMode="External"/><Relationship Id="rId79" Type="http://schemas.openxmlformats.org/officeDocument/2006/relationships/hyperlink" Target="https://agenciadeaduanapirazzoli-my.sharepoint.com/:b:/g/personal/mmorales_pirazzoli_cl/IQCy5lnGrqWHQ6fMOVb-_tilASlvqQ2oFL5Q4aNUuTpIkvo?e=Nkrpj6" TargetMode="External"/><Relationship Id="rId102" Type="http://schemas.openxmlformats.org/officeDocument/2006/relationships/hyperlink" Target="https://agenciadeaduanapirazzoli-my.sharepoint.com/:b:/g/personal/mmorales_pirazzoli_cl/IQD61ocMQ-XlTJc0TCDbXDB6AYLJxzikqB3Ano-Eo1bsGD0?e=rNfS12" TargetMode="External"/><Relationship Id="rId123" Type="http://schemas.openxmlformats.org/officeDocument/2006/relationships/hyperlink" Target="https://agenciadeaduanapirazzoli-my.sharepoint.com/:b:/g/personal/mmorales_pirazzoli_cl/IQCwqmApJs2LRJYnR3aQ-4c5Ad0OOkbr9bXYhKikvP8fT_c?e=lp0t2g" TargetMode="External"/><Relationship Id="rId144" Type="http://schemas.openxmlformats.org/officeDocument/2006/relationships/hyperlink" Target="https://agenciadeaduanapirazzoli-my.sharepoint.com/:b:/g/personal/mmorales_pirazzoli_cl/IQDTyiH8kaayQJQMXj7b-1OOAZBOl8Iz1FWkYBydxki3cUM?e=8ZZkTk" TargetMode="External"/><Relationship Id="rId90" Type="http://schemas.openxmlformats.org/officeDocument/2006/relationships/hyperlink" Target="https://agenciadeaduanapirazzoli-my.sharepoint.com/:b:/g/personal/mmorales_pirazzoli_cl/IQBgDoQwXqL6Sofg5vb8s4B8AcRsR_vS1qvpBD_k92C9R4I?e=FkhrUo" TargetMode="External"/><Relationship Id="rId165" Type="http://schemas.openxmlformats.org/officeDocument/2006/relationships/hyperlink" Target="https://agenciadeaduanapirazzoli-my.sharepoint.com/:b:/g/personal/mmorales_pirazzoli_cl/IQDZRv8A2KqfRLJo-obzfOb4AagjA8KcqEkvNbp2SIc6N2Q?e=3hFfZ3" TargetMode="External"/><Relationship Id="rId186" Type="http://schemas.openxmlformats.org/officeDocument/2006/relationships/hyperlink" Target="https://agenciadeaduanapirazzoli-my.sharepoint.com/:b:/g/personal/mmorales_pirazzoli_cl/IQBZxcMsWxLCRbK7gBZklYNaAdnR3qXhW2VS1ii4-bB4D5Q?e=sN3zO7" TargetMode="External"/><Relationship Id="rId211" Type="http://schemas.openxmlformats.org/officeDocument/2006/relationships/hyperlink" Target="https://agenciadeaduanapirazzoli-my.sharepoint.com/:b:/g/personal/mmorales_pirazzoli_cl/IQDpSesl1Y12Tpb4YxJHJA1fATGGEJ9IDbB-WISNfzFUFeM?e=qmKdRm" TargetMode="External"/><Relationship Id="rId232" Type="http://schemas.openxmlformats.org/officeDocument/2006/relationships/hyperlink" Target="https://agenciadeaduanapirazzoli-my.sharepoint.com/:b:/g/personal/mmorales_pirazzoli_cl/IQBK5tfZKLcRToCWQO0kFXj0AdSc5W_8a63MfhCNIc65Hjc?e=BnPvtR" TargetMode="External"/><Relationship Id="rId253" Type="http://schemas.openxmlformats.org/officeDocument/2006/relationships/hyperlink" Target="https://agenciadeaduanapirazzoli-my.sharepoint.com/:b:/g/personal/mmorales_pirazzoli_cl/IQB2DPmZsrFbTptViB2izf63AQ0PcaoKUVsrQsdMVHvjcJA?e=kLLX8M" TargetMode="External"/><Relationship Id="rId27" Type="http://schemas.openxmlformats.org/officeDocument/2006/relationships/hyperlink" Target="https://agenciadeaduanapirazzoli-my.sharepoint.com/:b:/g/personal/mmorales_pirazzoli_cl/IQDV9rZF5bfEQIMc6Cnjsq5kAZopQ7T1wzLD-d6FjcvXS9I?e=bReGUT" TargetMode="External"/><Relationship Id="rId48" Type="http://schemas.openxmlformats.org/officeDocument/2006/relationships/hyperlink" Target="https://agenciadeaduanapirazzoli-my.sharepoint.com/:b:/g/personal/mmorales_pirazzoli_cl/IQA7UQ9mFbMwTqBKMw-UnJPKAY-MDpQa3WlC8tsL93yA-X0?e=2gm0bL" TargetMode="External"/><Relationship Id="rId69" Type="http://schemas.openxmlformats.org/officeDocument/2006/relationships/hyperlink" Target="https://agenciadeaduanapirazzoli-my.sharepoint.com/:b:/g/personal/mmorales_pirazzoli_cl/IQAgY9Sd45f5SJq-fd-5Zs1TAarWFMf-ALxt8KN363ojz7Q?e=KyNl2c" TargetMode="External"/><Relationship Id="rId113" Type="http://schemas.openxmlformats.org/officeDocument/2006/relationships/hyperlink" Target="https://agenciadeaduanapirazzoli-my.sharepoint.com/:b:/g/personal/mmorales_pirazzoli_cl/IQApIrXBI2CWTZMHl-_Slfj5ASaqQL3ZvCrY3vVqs7YorkE?e=2QEfET" TargetMode="External"/><Relationship Id="rId134" Type="http://schemas.openxmlformats.org/officeDocument/2006/relationships/hyperlink" Target="https://agenciadeaduanapirazzoli-my.sharepoint.com/:b:/g/personal/mmorales_pirazzoli_cl/IQBRCSIm_GVDQrMKM26AkvCKASZ3uXqQa418grvlQJIkEV0?e=gf0br5" TargetMode="External"/><Relationship Id="rId80" Type="http://schemas.openxmlformats.org/officeDocument/2006/relationships/hyperlink" Target="https://agenciadeaduanapirazzoli-my.sharepoint.com/:b:/g/personal/mmorales_pirazzoli_cl/IQAnVTh5HaOXTpVlQ1A3XHvmAewXr9CPHJaWplU-S-eBvlA?e=ASsqyd" TargetMode="External"/><Relationship Id="rId155" Type="http://schemas.openxmlformats.org/officeDocument/2006/relationships/hyperlink" Target="https://agenciadeaduanapirazzoli-my.sharepoint.com/:b:/g/personal/mmorales_pirazzoli_cl/IQAB-vF79kQSR7yp-PAho10hAdnzzaKNA1rWJTsrPIRPrGY?e=dUofXz" TargetMode="External"/><Relationship Id="rId176" Type="http://schemas.openxmlformats.org/officeDocument/2006/relationships/hyperlink" Target="https://agenciadeaduanapirazzoli-my.sharepoint.com/:b:/g/personal/mmorales_pirazzoli_cl/IQA5LLN5zUsQQ4q-6JfTCuAnAXDf0MgqPB9AY9V8u6mQ49g?e=I6pjLc" TargetMode="External"/><Relationship Id="rId197" Type="http://schemas.openxmlformats.org/officeDocument/2006/relationships/hyperlink" Target="https://agenciadeaduanapirazzoli-my.sharepoint.com/:b:/g/personal/mmorales_pirazzoli_cl/IQCfH1t23vBHSrlc9h7_2EqGASS8dZIxPLGw2wHGgsC-aXw?e=TL1jon" TargetMode="External"/><Relationship Id="rId201" Type="http://schemas.openxmlformats.org/officeDocument/2006/relationships/hyperlink" Target="https://agenciadeaduanapirazzoli-my.sharepoint.com/:b:/g/personal/mmorales_pirazzoli_cl/IQBAF-i1yTCdTbHeVMGViyRFAdRFOizYP6E5fDvWLQSrbnM?e=61SFdO" TargetMode="External"/><Relationship Id="rId222" Type="http://schemas.openxmlformats.org/officeDocument/2006/relationships/hyperlink" Target="https://agenciadeaduanapirazzoli-my.sharepoint.com/:b:/g/personal/mmorales_pirazzoli_cl/IQAT0v40xaYaR5ke7MGdcDqCAQ2M1-G-sRi4BWIMpi7sjU8?e=iOWBwp" TargetMode="External"/><Relationship Id="rId243" Type="http://schemas.openxmlformats.org/officeDocument/2006/relationships/hyperlink" Target="https://agenciadeaduanapirazzoli-my.sharepoint.com/:b:/g/personal/mmorales_pirazzoli_cl/IQB75EgU-CqiRJOX1vrjialsATW0RsqT2cDFT3dfFhbnLPU?e=dRBLfh" TargetMode="External"/><Relationship Id="rId264" Type="http://schemas.openxmlformats.org/officeDocument/2006/relationships/hyperlink" Target="https://agenciadeaduanapirazzoli-my.sharepoint.com/:b:/g/personal/mmorales_pirazzoli_cl/IQBczKrT8SwTQ4xTM_Q1m1hGAbkHRubo31gSkWcSmkJ01U8?e=gMrqpd" TargetMode="External"/><Relationship Id="rId17" Type="http://schemas.openxmlformats.org/officeDocument/2006/relationships/hyperlink" Target="https://agenciadeaduanapirazzoli-my.sharepoint.com/:b:/g/personal/mmorales_pirazzoli_cl/IQDZs4GKLp2fQado45F4Fxy5Aa7OPHl_02le3gpvfqQWmSo?e=IlJPSr" TargetMode="External"/><Relationship Id="rId38" Type="http://schemas.openxmlformats.org/officeDocument/2006/relationships/hyperlink" Target="https://agenciadeaduanapirazzoli-my.sharepoint.com/:b:/g/personal/mmorales_pirazzoli_cl/IQB53PU7p4zTTp3NzRBhA4xHAbSLZ02-21v_Aml_BFJOXqY?e=hAagQC" TargetMode="External"/><Relationship Id="rId59" Type="http://schemas.openxmlformats.org/officeDocument/2006/relationships/hyperlink" Target="https://agenciadeaduanapirazzoli-my.sharepoint.com/:b:/g/personal/mmorales_pirazzoli_cl/IQBM6Le9_VgaTJty1RxOrBnvAYyEEXXypSgMpHbyOs0FajE?e=IckfIq" TargetMode="External"/><Relationship Id="rId103" Type="http://schemas.openxmlformats.org/officeDocument/2006/relationships/hyperlink" Target="https://agenciadeaduanapirazzoli-my.sharepoint.com/:b:/g/personal/mmorales_pirazzoli_cl/IQButXBS2PR9RJhpwVnT5d6eAeZnEMwvM-h_CFh4v-IGwKU?e=tC3c4r" TargetMode="External"/><Relationship Id="rId124" Type="http://schemas.openxmlformats.org/officeDocument/2006/relationships/hyperlink" Target="https://agenciadeaduanapirazzoli-my.sharepoint.com/:b:/g/personal/mmorales_pirazzoli_cl/IQBcmseH9pYvS62HJjpA2cXJAd9eaCa1aJV7RWCGKMhap0Y?e=TikIcT" TargetMode="External"/><Relationship Id="rId70" Type="http://schemas.openxmlformats.org/officeDocument/2006/relationships/hyperlink" Target="https://agenciadeaduanapirazzoli-my.sharepoint.com/:b:/g/personal/mmorales_pirazzoli_cl/IQC4Negn-QHdSKkZYorObLGOAVAP56t0wo7aX1K2tqbxOc8?e=DEnC4J" TargetMode="External"/><Relationship Id="rId91" Type="http://schemas.openxmlformats.org/officeDocument/2006/relationships/hyperlink" Target="https://agenciadeaduanapirazzoli-my.sharepoint.com/:b:/g/personal/mmorales_pirazzoli_cl/IQDb9W2O7Ce_RpOihQTp8L3-AYgHB5Ui-o_6O069BCzbt74?e=d2R4sP" TargetMode="External"/><Relationship Id="rId145" Type="http://schemas.openxmlformats.org/officeDocument/2006/relationships/hyperlink" Target="https://agenciadeaduanapirazzoli-my.sharepoint.com/:b:/g/personal/mmorales_pirazzoli_cl/IQCAuUXT805fQaGiuqQuFolTAewXEERvQKG0cAYZ_lAlz2Y?e=xZiHtd" TargetMode="External"/><Relationship Id="rId166" Type="http://schemas.openxmlformats.org/officeDocument/2006/relationships/hyperlink" Target="https://agenciadeaduanapirazzoli-my.sharepoint.com/:b:/g/personal/mmorales_pirazzoli_cl/IQC5Dcrg33ZoR5yaToQwPuRhAXr8x9tvL_QCBphLsTEpmGE?e=P6AHAP" TargetMode="External"/><Relationship Id="rId187" Type="http://schemas.openxmlformats.org/officeDocument/2006/relationships/hyperlink" Target="https://agenciadeaduanapirazzoli-my.sharepoint.com/:b:/g/personal/mmorales_pirazzoli_cl/IQC3-e2Jy1IhSLVkhIZusE5rAbUBHXB7H1OAJUQtckSdcYc?e=d2E1Dz" TargetMode="External"/><Relationship Id="rId1" Type="http://schemas.openxmlformats.org/officeDocument/2006/relationships/hyperlink" Target="https://agenciadeaduanapirazzoli-my.sharepoint.com/:b:/g/personal/mmorales_pirazzoli_cl/IQDUHPOni-f1T4o31UFfBd_YAeQ2MQ02qmkdSSfHmsuJiZI?e=C1rUBg" TargetMode="External"/><Relationship Id="rId212" Type="http://schemas.openxmlformats.org/officeDocument/2006/relationships/hyperlink" Target="https://agenciadeaduanapirazzoli-my.sharepoint.com/:b:/g/personal/mmorales_pirazzoli_cl/IQBSbH3QMSEiRIqCG_Gi7qk7AVfzqV6Cl2tNUxIPrcR8OHk?e=G7DKUr" TargetMode="External"/><Relationship Id="rId233" Type="http://schemas.openxmlformats.org/officeDocument/2006/relationships/hyperlink" Target="https://agenciadeaduanapirazzoli-my.sharepoint.com/:b:/g/personal/mmorales_pirazzoli_cl/IQBU87bFj6GDR7wu6tLGWkmWASrvceNtYqJIjmrW35c3MsU?e=yja6N8" TargetMode="External"/><Relationship Id="rId254" Type="http://schemas.openxmlformats.org/officeDocument/2006/relationships/hyperlink" Target="https://agenciadeaduanapirazzoli-my.sharepoint.com/:b:/g/personal/mmorales_pirazzoli_cl/IQBnVwKdiIcMT7TBbbU5PY3IAf0gh8PYlH0o1wD1qS8kJO8?e=bXjtXu" TargetMode="External"/><Relationship Id="rId28" Type="http://schemas.openxmlformats.org/officeDocument/2006/relationships/hyperlink" Target="https://agenciadeaduanapirazzoli-my.sharepoint.com/:b:/g/personal/mmorales_pirazzoli_cl/IQCI8VRy1bFATaW8DhQLXpm0AWzO00pdd2ZrOCpjiwpebYk?e=NvTFw2" TargetMode="External"/><Relationship Id="rId49" Type="http://schemas.openxmlformats.org/officeDocument/2006/relationships/hyperlink" Target="https://agenciadeaduanapirazzoli-my.sharepoint.com/:b:/g/personal/mmorales_pirazzoli_cl/IQBx-mPgGb0OTr7AzdjhjJtLAbxukwZnQ-FgvfThY8Q6Kcs?e=6soqGc" TargetMode="External"/><Relationship Id="rId114" Type="http://schemas.openxmlformats.org/officeDocument/2006/relationships/hyperlink" Target="https://agenciadeaduanapirazzoli-my.sharepoint.com/:b:/g/personal/mmorales_pirazzoli_cl/IQDC1ym1D43FRqL7MGejZF_6AYGiqiOdxpu81VZHG676eTs?e=IK0dUV" TargetMode="External"/><Relationship Id="rId60" Type="http://schemas.openxmlformats.org/officeDocument/2006/relationships/hyperlink" Target="https://agenciadeaduanapirazzoli-my.sharepoint.com/:b:/g/personal/mmorales_pirazzoli_cl/IQDQXLwm_Z_wTpvkm2vi6rYVAcctrnJV7LqpAmyLgWlI0Lk?e=ieDYj7" TargetMode="External"/><Relationship Id="rId81" Type="http://schemas.openxmlformats.org/officeDocument/2006/relationships/hyperlink" Target="https://agenciadeaduanapirazzoli-my.sharepoint.com/:b:/g/personal/mmorales_pirazzoli_cl/IQCcT5QUFMSSQ6YqPBx0_M7rAe5TOX2Et062QkgDC20jHRw?e=hVf11Z" TargetMode="External"/><Relationship Id="rId135" Type="http://schemas.openxmlformats.org/officeDocument/2006/relationships/hyperlink" Target="https://agenciadeaduanapirazzoli-my.sharepoint.com/:b:/g/personal/mmorales_pirazzoli_cl/IQDTLr3yPjU8SochY1DwtJ_RAcPgnAyH67aCMQ_BxXRPM-s?e=7gIdRa" TargetMode="External"/><Relationship Id="rId156" Type="http://schemas.openxmlformats.org/officeDocument/2006/relationships/hyperlink" Target="https://agenciadeaduanapirazzoli-my.sharepoint.com/:b:/g/personal/mmorales_pirazzoli_cl/IQAvUIVxaBf0RZ4dzAeMFP9AAY_mrlILxFC3P796uUaS_rg?e=elTOoF" TargetMode="External"/><Relationship Id="rId177" Type="http://schemas.openxmlformats.org/officeDocument/2006/relationships/hyperlink" Target="https://agenciadeaduanapirazzoli-my.sharepoint.com/:b:/g/personal/mmorales_pirazzoli_cl/IQB_VZ3-ODHBTr6Bka_ecyfvAUo7cV_faN5rJYmvWABA4s4?e=PpjyeD" TargetMode="External"/><Relationship Id="rId198" Type="http://schemas.openxmlformats.org/officeDocument/2006/relationships/hyperlink" Target="https://agenciadeaduanapirazzoli-my.sharepoint.com/:b:/g/personal/mmorales_pirazzoli_cl/IQDcQ1I9u7tZTLqCR47E3Hf8AQ974P7yNw0Ezzu3EJgPeQM?e=IF0JJ8" TargetMode="External"/><Relationship Id="rId202" Type="http://schemas.openxmlformats.org/officeDocument/2006/relationships/hyperlink" Target="https://agenciadeaduanapirazzoli-my.sharepoint.com/:b:/g/personal/mmorales_pirazzoli_cl/IQAje4Q7ny6PR54v0McJgA6_AQ4_CRpCxhxPX2_UTskEidE?e=RlkQea" TargetMode="External"/><Relationship Id="rId223" Type="http://schemas.openxmlformats.org/officeDocument/2006/relationships/hyperlink" Target="https://agenciadeaduanapirazzoli-my.sharepoint.com/:b:/g/personal/mmorales_pirazzoli_cl/IQBt22xCXGyKS7kAEUcfQKu9ASTUrmE_aigKIaxJhzIeW2E?e=fDhycz" TargetMode="External"/><Relationship Id="rId244" Type="http://schemas.openxmlformats.org/officeDocument/2006/relationships/hyperlink" Target="https://agenciadeaduanapirazzoli-my.sharepoint.com/:b:/g/personal/mmorales_pirazzoli_cl/IQDFMc2OxGmEQZWo5N2ixmn8AR9wtlsbOjN-0rMs8AImveE?e=2Q6Qsd" TargetMode="External"/><Relationship Id="rId18" Type="http://schemas.openxmlformats.org/officeDocument/2006/relationships/hyperlink" Target="https://agenciadeaduanapirazzoli-my.sharepoint.com/:b:/g/personal/mmorales_pirazzoli_cl/IQC7x6hZJAhwQIZL0-ebDkoQAXbU09hN0-3nVeQ0hcs_gdw?e=lRqh53" TargetMode="External"/><Relationship Id="rId39" Type="http://schemas.openxmlformats.org/officeDocument/2006/relationships/hyperlink" Target="https://agenciadeaduanapirazzoli-my.sharepoint.com/:b:/g/personal/mmorales_pirazzoli_cl/IQDhchmjj9XLRZ7KvynxZAQ7ARbx7emBC5Bt1kEOKVtFnxo?e=jbAyfy" TargetMode="External"/><Relationship Id="rId265" Type="http://schemas.openxmlformats.org/officeDocument/2006/relationships/vmlDrawing" Target="../drawings/vmlDrawing1.vml"/><Relationship Id="rId50" Type="http://schemas.openxmlformats.org/officeDocument/2006/relationships/hyperlink" Target="https://agenciadeaduanapirazzoli-my.sharepoint.com/:b:/g/personal/mmorales_pirazzoli_cl/IQAXJKNq2RrDQKhiS4ur1GhuASMVoFvJWX_LfbX09cU-fwk?e=7g2Jzj" TargetMode="External"/><Relationship Id="rId104" Type="http://schemas.openxmlformats.org/officeDocument/2006/relationships/hyperlink" Target="https://agenciadeaduanapirazzoli-my.sharepoint.com/:b:/g/personal/mmorales_pirazzoli_cl/IQAgd-fXueH4RJ8R2Kfpsj83AYMXFmw1bW_MZPJ6fbVGUvE?e=aHJbJn" TargetMode="External"/><Relationship Id="rId125" Type="http://schemas.openxmlformats.org/officeDocument/2006/relationships/hyperlink" Target="https://agenciadeaduanapirazzoli-my.sharepoint.com/:b:/g/personal/mmorales_pirazzoli_cl/IQAofk1dxvanSKcTRJvJ-jk1AdFAF_QsEeZkhiZayXHja34?e=lGmapQ" TargetMode="External"/><Relationship Id="rId146" Type="http://schemas.openxmlformats.org/officeDocument/2006/relationships/hyperlink" Target="https://agenciadeaduanapirazzoli-my.sharepoint.com/:b:/g/personal/mmorales_pirazzoli_cl/IQApGaY9cXr8SpyN27gfmNHlAXfhKKxNOiMVVhI-4R6ohqA?e=BC5Zqr" TargetMode="External"/><Relationship Id="rId167" Type="http://schemas.openxmlformats.org/officeDocument/2006/relationships/hyperlink" Target="https://agenciadeaduanapirazzoli-my.sharepoint.com/:b:/g/personal/mmorales_pirazzoli_cl/IQCMxELCzj5NS4QL6cQb7FccAU8qmNaD9Kk7Faq7iZRvbvY?e=mVpXMg" TargetMode="External"/><Relationship Id="rId188" Type="http://schemas.openxmlformats.org/officeDocument/2006/relationships/hyperlink" Target="https://agenciadeaduanapirazzoli-my.sharepoint.com/:b:/g/personal/mmorales_pirazzoli_cl/IQC5FXC7J_yMRboS0PN1s_VIASvOUZIM3GviLCYjNWglI_U?e=wdvNtg" TargetMode="External"/><Relationship Id="rId71" Type="http://schemas.openxmlformats.org/officeDocument/2006/relationships/hyperlink" Target="https://agenciadeaduanapirazzoli-my.sharepoint.com/:b:/g/personal/mmorales_pirazzoli_cl/IQASdNUtJcPVSIyiYtFq0gBaAcCPyi1JpJf090uk6dPMbZc?e=1idJKQ" TargetMode="External"/><Relationship Id="rId92" Type="http://schemas.openxmlformats.org/officeDocument/2006/relationships/hyperlink" Target="https://agenciadeaduanapirazzoli-my.sharepoint.com/:b:/g/personal/mmorales_pirazzoli_cl/IQBalDVWetSeSLU9F3ftQUIPAWaBaCr_iGYGap7-yUIzxvU?e=sP4SQn" TargetMode="External"/><Relationship Id="rId213" Type="http://schemas.openxmlformats.org/officeDocument/2006/relationships/hyperlink" Target="https://agenciadeaduanapirazzoli-my.sharepoint.com/:b:/g/personal/mmorales_pirazzoli_cl/IQDLbR-A8GPHQq1uXRppEsB7ATmXeJ8SBhhupVa2HK-M8B0?e=KFB9rJ" TargetMode="External"/><Relationship Id="rId234" Type="http://schemas.openxmlformats.org/officeDocument/2006/relationships/hyperlink" Target="https://agenciadeaduanapirazzoli-my.sharepoint.com/:b:/g/personal/mmorales_pirazzoli_cl/IQDtGE7eLtuQQ4d5bjSWa_eYAZiEify0ZVm9v38cXzPb2pU?e=Isb6xB" TargetMode="External"/><Relationship Id="rId2" Type="http://schemas.openxmlformats.org/officeDocument/2006/relationships/hyperlink" Target="https://agenciadeaduanapirazzoli-my.sharepoint.com/:b:/g/personal/mmorales_pirazzoli_cl/IQCOIVyBxBNkR4GBdmnYHRGeAVlG74AweYi38-oUf0sviZ8?e=ffbEmz" TargetMode="External"/><Relationship Id="rId29" Type="http://schemas.openxmlformats.org/officeDocument/2006/relationships/hyperlink" Target="https://agenciadeaduanapirazzoli-my.sharepoint.com/:b:/g/personal/mmorales_pirazzoli_cl/IQAgbUonAxVeQZ3cKodlA5KvARMHpgUWfFuyJwXGs1HVy5g?e=PAFbkz" TargetMode="External"/><Relationship Id="rId255" Type="http://schemas.openxmlformats.org/officeDocument/2006/relationships/hyperlink" Target="https://agenciadeaduanapirazzoli-my.sharepoint.com/:b:/g/personal/mmorales_pirazzoli_cl/IQA8U4PgUDy1Ra_XM8rDbIJ1AfVjlS5KLLQetK18ZBMhff0?e=RpZSmx" TargetMode="External"/><Relationship Id="rId40" Type="http://schemas.openxmlformats.org/officeDocument/2006/relationships/hyperlink" Target="https://agenciadeaduanapirazzoli-my.sharepoint.com/:b:/g/personal/mmorales_pirazzoli_cl/IQBwOZ7r3eZ8T65w544cc4PEAYjlTOvPlMJGcxAvDv6AcTY?e=eonjnO" TargetMode="External"/><Relationship Id="rId115" Type="http://schemas.openxmlformats.org/officeDocument/2006/relationships/hyperlink" Target="https://agenciadeaduanapirazzoli-my.sharepoint.com/:b:/g/personal/mmorales_pirazzoli_cl/IQBUE5iFWsdZSoMjXBrQeS4KAW54EkssGg4ClJGGVD8Mm_Y?e=olN74K" TargetMode="External"/><Relationship Id="rId136" Type="http://schemas.openxmlformats.org/officeDocument/2006/relationships/hyperlink" Target="https://agenciadeaduanapirazzoli-my.sharepoint.com/:b:/g/personal/mmorales_pirazzoli_cl/IQA-FeysQ0GRRa0KNXa8bUo9Aenj5uDu90vqr8szD71TGXI?e=RdikGe" TargetMode="External"/><Relationship Id="rId157" Type="http://schemas.openxmlformats.org/officeDocument/2006/relationships/hyperlink" Target="https://agenciadeaduanapirazzoli-my.sharepoint.com/:b:/g/personal/mmorales_pirazzoli_cl/IQBshy5fQGhyQbeGGPNbGkiZAbQdTbfshKR6ZgNA0AX1Q7M?e=OcmGch" TargetMode="External"/><Relationship Id="rId178" Type="http://schemas.openxmlformats.org/officeDocument/2006/relationships/hyperlink" Target="https://agenciadeaduanapirazzoli-my.sharepoint.com/:b:/g/personal/mmorales_pirazzoli_cl/IQBQD9DLwkPcRrZ_aF55M0ylAaAes4tUBuFYikgHaFIzMuo?e=AD6Iy2" TargetMode="External"/><Relationship Id="rId61" Type="http://schemas.openxmlformats.org/officeDocument/2006/relationships/hyperlink" Target="https://agenciadeaduanapirazzoli-my.sharepoint.com/:b:/g/personal/mmorales_pirazzoli_cl/IQCovjAK7dg7QrEDhlPo_5pdAYUjh5X03EgtpNigOrCi5Y4?e=hPltH7" TargetMode="External"/><Relationship Id="rId82" Type="http://schemas.openxmlformats.org/officeDocument/2006/relationships/hyperlink" Target="https://agenciadeaduanapirazzoli-my.sharepoint.com/:b:/g/personal/mmorales_pirazzoli_cl/IQCtLadyozzyRaXTAMNDadQDAWv-fcF9KIgOOKLUpQFGUm0?e=Gkyaro" TargetMode="External"/><Relationship Id="rId199" Type="http://schemas.openxmlformats.org/officeDocument/2006/relationships/hyperlink" Target="https://agenciadeaduanapirazzoli-my.sharepoint.com/:b:/g/personal/mmorales_pirazzoli_cl/IQALFEV0iMRGRbx9hgz_tP5CAatazFz16qKJ3z3-D5KegIg?e=dcxYVr" TargetMode="External"/><Relationship Id="rId203" Type="http://schemas.openxmlformats.org/officeDocument/2006/relationships/hyperlink" Target="https://agenciadeaduanapirazzoli-my.sharepoint.com/:b:/g/personal/mmorales_pirazzoli_cl/IQBrt6xL4X34SpXfuXBkS8auAQHm31AYkPOOcCum9cRld3c?e=0Sx8Qj" TargetMode="External"/><Relationship Id="rId19" Type="http://schemas.openxmlformats.org/officeDocument/2006/relationships/hyperlink" Target="https://agenciadeaduanapirazzoli-my.sharepoint.com/:b:/g/personal/mmorales_pirazzoli_cl/IQBgSN8zrR4VSJRVQHRbpyyjAZQ6xKNAXG1pJzfdiUJP0eU?e=95HfbI" TargetMode="External"/><Relationship Id="rId224" Type="http://schemas.openxmlformats.org/officeDocument/2006/relationships/hyperlink" Target="https://agenciadeaduanapirazzoli-my.sharepoint.com/:b:/g/personal/mmorales_pirazzoli_cl/IQCs_RK7-09WSIx6aZKDWV0sARTLP6-oO-YNzLbZbutkPvk?e=s075PF" TargetMode="External"/><Relationship Id="rId245" Type="http://schemas.openxmlformats.org/officeDocument/2006/relationships/hyperlink" Target="https://agenciadeaduanapirazzoli-my.sharepoint.com/:b:/g/personal/mmorales_pirazzoli_cl/IQCb4OhNDMa5RZ-59MlwEASgAQpcXFlGKlBF0qVFYpUOuxk?e=yundZP" TargetMode="External"/><Relationship Id="rId266" Type="http://schemas.openxmlformats.org/officeDocument/2006/relationships/comments" Target="../comments1.xml"/><Relationship Id="rId30" Type="http://schemas.openxmlformats.org/officeDocument/2006/relationships/hyperlink" Target="https://agenciadeaduanapirazzoli-my.sharepoint.com/:b:/g/personal/mmorales_pirazzoli_cl/IQDouOrYD6SxQ7h3YoWZcvaxAXvAwb8oIq9rvtsMgTDpprI?e=RRylY5" TargetMode="External"/><Relationship Id="rId105" Type="http://schemas.openxmlformats.org/officeDocument/2006/relationships/hyperlink" Target="https://agenciadeaduanapirazzoli-my.sharepoint.com/:b:/g/personal/mmorales_pirazzoli_cl/IQCRylei8qmpRLxBR4eoAXLgAcREJOr9IGEqx78A1LHIWio?e=tUnVfh" TargetMode="External"/><Relationship Id="rId126" Type="http://schemas.openxmlformats.org/officeDocument/2006/relationships/hyperlink" Target="https://agenciadeaduanapirazzoli-my.sharepoint.com/:b:/g/personal/mmorales_pirazzoli_cl/IQA_U4dVEIEqQrw5cJGYFkSAASWSV7DyxpgPT9SpeaH7fL0?e=zZG8xs" TargetMode="External"/><Relationship Id="rId147" Type="http://schemas.openxmlformats.org/officeDocument/2006/relationships/hyperlink" Target="https://agenciadeaduanapirazzoli-my.sharepoint.com/:b:/g/personal/mmorales_pirazzoli_cl/IQDAXLZ0yl5SS559tsRYH2cDAb9_CCMhs3aho5Lc3qbIqR8?e=orHKrf" TargetMode="External"/><Relationship Id="rId168" Type="http://schemas.openxmlformats.org/officeDocument/2006/relationships/hyperlink" Target="https://agenciadeaduanapirazzoli-my.sharepoint.com/:b:/g/personal/mmorales_pirazzoli_cl/IQDGqFnR46cGR7kDUycQZ4SCAWYaNwXBylq_kCeB9bKCDFk?e=uQbbNS" TargetMode="External"/><Relationship Id="rId51" Type="http://schemas.openxmlformats.org/officeDocument/2006/relationships/hyperlink" Target="https://agenciadeaduanapirazzoli-my.sharepoint.com/:b:/g/personal/mmorales_pirazzoli_cl/IQCdv31XtOu3QaIQSvidz50bAcqejHtwcm4A5yy8DwzCvmo?e=b2MlEi" TargetMode="External"/><Relationship Id="rId72" Type="http://schemas.openxmlformats.org/officeDocument/2006/relationships/hyperlink" Target="https://agenciadeaduanapirazzoli-my.sharepoint.com/:b:/g/personal/mmorales_pirazzoli_cl/IQCyiOBWqWiCRZjohsiWZlPQAbjNWHsBNZgZrONs1oseIQI?e=FUAx2L" TargetMode="External"/><Relationship Id="rId93" Type="http://schemas.openxmlformats.org/officeDocument/2006/relationships/hyperlink" Target="https://agenciadeaduanapirazzoli-my.sharepoint.com/:b:/g/personal/mmorales_pirazzoli_cl/IQABhYUwNW8VT7fXexDh3KVAASUSS7F2PcuhK7eeN8ZUp9w?e=ShLQzW" TargetMode="External"/><Relationship Id="rId189" Type="http://schemas.openxmlformats.org/officeDocument/2006/relationships/hyperlink" Target="https://agenciadeaduanapirazzoli-my.sharepoint.com/:b:/g/personal/mmorales_pirazzoli_cl/IQCFV5VaXWZrQJG7LHygTPS0AW4WZN6ZanY9ZSMvE0bPZu8?e=Qx650M" TargetMode="External"/><Relationship Id="rId3" Type="http://schemas.openxmlformats.org/officeDocument/2006/relationships/hyperlink" Target="https://agenciadeaduanapirazzoli-my.sharepoint.com/:b:/g/personal/mmorales_pirazzoli_cl/IQC73OmChEgGTLRk8GwDsNF6Aco6xJeIc3uiguLDcQQzEe8?e=HIIl1C" TargetMode="External"/><Relationship Id="rId214" Type="http://schemas.openxmlformats.org/officeDocument/2006/relationships/hyperlink" Target="https://agenciadeaduanapirazzoli-my.sharepoint.com/:b:/g/personal/mmorales_pirazzoli_cl/IQBal9-fD012QaKmLQ9m0JguAfRbwbw66LaS08G2WtXcVYk?e=mnXbVc" TargetMode="External"/><Relationship Id="rId235" Type="http://schemas.openxmlformats.org/officeDocument/2006/relationships/hyperlink" Target="https://agenciadeaduanapirazzoli-my.sharepoint.com/:b:/g/personal/mmorales_pirazzoli_cl/IQAxKykGPq0xS6NVN-YK10pZAbuTOpJy6ACsTrizRFRsjiY?e=1Yrp7d" TargetMode="External"/><Relationship Id="rId256" Type="http://schemas.openxmlformats.org/officeDocument/2006/relationships/hyperlink" Target="https://agenciadeaduanapirazzoli-my.sharepoint.com/:b:/g/personal/mmorales_pirazzoli_cl/IQCNj8wdq_dzQJc5T0YUN8Z3AY1JGt4XJTVII4Q6XXPNU-I?e=xG5xGA" TargetMode="External"/><Relationship Id="rId116" Type="http://schemas.openxmlformats.org/officeDocument/2006/relationships/hyperlink" Target="https://agenciadeaduanapirazzoli-my.sharepoint.com/:b:/g/personal/mmorales_pirazzoli_cl/IQB-KcM-2nzORq2CGHGkGi1bAfEC8-0MKDUSt_UQUdE1_hw?e=VZarxD" TargetMode="External"/><Relationship Id="rId137" Type="http://schemas.openxmlformats.org/officeDocument/2006/relationships/hyperlink" Target="https://agenciadeaduanapirazzoli-my.sharepoint.com/:b:/g/personal/mmorales_pirazzoli_cl/IQBpoG57OnAvQp7sRj-Jq01aAe_DmVMw85uDyv8nLq_IvLo?e=2og1z2" TargetMode="External"/><Relationship Id="rId158" Type="http://schemas.openxmlformats.org/officeDocument/2006/relationships/hyperlink" Target="https://agenciadeaduanapirazzoli-my.sharepoint.com/:b:/g/personal/mmorales_pirazzoli_cl/IQB-MPkJ0OA1RbyD8wA89ACCAaJsnR-JxPMAJClY_YOQ26Q?e=fW2egn" TargetMode="External"/><Relationship Id="rId20" Type="http://schemas.openxmlformats.org/officeDocument/2006/relationships/hyperlink" Target="https://agenciadeaduanapirazzoli-my.sharepoint.com/:b:/g/personal/mmorales_pirazzoli_cl/IQCXsHF4Kn6BQoU6pg-UrIktATkf0nTGFHUQcXeOx9suDlE?e=9ANicW" TargetMode="External"/><Relationship Id="rId41" Type="http://schemas.openxmlformats.org/officeDocument/2006/relationships/hyperlink" Target="https://agenciadeaduanapirazzoli-my.sharepoint.com/:b:/g/personal/mmorales_pirazzoli_cl/IQCXdD1jaJNQTqrFgNlAFowzAYj3xjfMb3DHH1RTKQhJaY4?e=9hsAdP" TargetMode="External"/><Relationship Id="rId62" Type="http://schemas.openxmlformats.org/officeDocument/2006/relationships/hyperlink" Target="https://agenciadeaduanapirazzoli-my.sharepoint.com/:b:/g/personal/mmorales_pirazzoli_cl/IQDfrgVfs6ZnRp8KlQZi-UokAT14Tl-d5vO0KVtr8vvzfLo?e=HeouFw" TargetMode="External"/><Relationship Id="rId83" Type="http://schemas.openxmlformats.org/officeDocument/2006/relationships/hyperlink" Target="https://agenciadeaduanapirazzoli-my.sharepoint.com/:b:/g/personal/mmorales_pirazzoli_cl/IQBbQ8_uAqYpS7Z1k34QLp7KAZcX-2ddZGdUOdmSUuVTAdE?e=f6Qe95" TargetMode="External"/><Relationship Id="rId179" Type="http://schemas.openxmlformats.org/officeDocument/2006/relationships/hyperlink" Target="https://agenciadeaduanapirazzoli-my.sharepoint.com/:b:/g/personal/mmorales_pirazzoli_cl/IQCIMN69JNfRS7PJJe7xl5WVATOelmGeiMsMAKrAd6ONTIo?e=qJDhBO" TargetMode="External"/><Relationship Id="rId190" Type="http://schemas.openxmlformats.org/officeDocument/2006/relationships/hyperlink" Target="https://agenciadeaduanapirazzoli-my.sharepoint.com/:b:/g/personal/mmorales_pirazzoli_cl/IQAI2ZiIX0mXSqzoomQbqJQCAb41qQXuxuVme_APLj9cQAw?e=2WaMAx" TargetMode="External"/><Relationship Id="rId204" Type="http://schemas.openxmlformats.org/officeDocument/2006/relationships/hyperlink" Target="https://agenciadeaduanapirazzoli-my.sharepoint.com/:b:/g/personal/mmorales_pirazzoli_cl/IQDkFzDIO7rvSqimVEXLu6R9ASpTXtbiipP265NG9-uzxv8?e=QIV4av" TargetMode="External"/><Relationship Id="rId225" Type="http://schemas.openxmlformats.org/officeDocument/2006/relationships/hyperlink" Target="https://agenciadeaduanapirazzoli-my.sharepoint.com/:b:/g/personal/mmorales_pirazzoli_cl/IQC5IaxETIceR7eygdzPa0q_AWLEAQYzSqGysJx0b43tp98?e=TVWQDf" TargetMode="External"/><Relationship Id="rId246" Type="http://schemas.openxmlformats.org/officeDocument/2006/relationships/hyperlink" Target="https://agenciadeaduanapirazzoli-my.sharepoint.com/:b:/g/personal/mmorales_pirazzoli_cl/IQDHligZcU81Q5_J3Zg_dwohAc1usyvWqGIsCsYwkEyywjw?e=pGgSnl" TargetMode="External"/><Relationship Id="rId106" Type="http://schemas.openxmlformats.org/officeDocument/2006/relationships/hyperlink" Target="https://agenciadeaduanapirazzoli-my.sharepoint.com/:b:/g/personal/mmorales_pirazzoli_cl/IQChNbpD8n77SJQ9cauPo_7YAVUPFjTg9Z5C6ECb8YhNaN8?e=UUvwfq" TargetMode="External"/><Relationship Id="rId127" Type="http://schemas.openxmlformats.org/officeDocument/2006/relationships/hyperlink" Target="https://agenciadeaduanapirazzoli-my.sharepoint.com/:b:/g/personal/mmorales_pirazzoli_cl/IQBaIn1lx4HYT5kK-VHcS-B-AWS87taOMqAgeHEzRDWaqUo?e=wU0an9" TargetMode="External"/><Relationship Id="rId10" Type="http://schemas.openxmlformats.org/officeDocument/2006/relationships/hyperlink" Target="https://agenciadeaduanapirazzoli-my.sharepoint.com/:b:/g/personal/mmorales_pirazzoli_cl/IQD3wEfw0w0ET4T9s2nWesLwAa3WHOJXr4ZinUCSROOZc10?e=cVXZfm" TargetMode="External"/><Relationship Id="rId31" Type="http://schemas.openxmlformats.org/officeDocument/2006/relationships/hyperlink" Target="https://agenciadeaduanapirazzoli-my.sharepoint.com/:b:/g/personal/mmorales_pirazzoli_cl/IQCWc-f4bEf1QrzYAlpnBCm2ARIMElTB0B1LQHjvk_86KU0?e=3Rw7vH" TargetMode="External"/><Relationship Id="rId52" Type="http://schemas.openxmlformats.org/officeDocument/2006/relationships/hyperlink" Target="https://agenciadeaduanapirazzoli-my.sharepoint.com/:b:/g/personal/mmorales_pirazzoli_cl/IQDIELqmORgKSIBsBoFm8I_5AT3WHHLxrNXsGl2QDcnN9Lw?e=KRJnGt" TargetMode="External"/><Relationship Id="rId73" Type="http://schemas.openxmlformats.org/officeDocument/2006/relationships/hyperlink" Target="https://agenciadeaduanapirazzoli-my.sharepoint.com/:b:/g/personal/mmorales_pirazzoli_cl/IQA0nSt4ckb9RKzBwtcUtqf5AbkRvGQ_HSYXntqwCILJFZI?e=vsK8pf" TargetMode="External"/><Relationship Id="rId94" Type="http://schemas.openxmlformats.org/officeDocument/2006/relationships/hyperlink" Target="https://agenciadeaduanapirazzoli-my.sharepoint.com/:b:/g/personal/mmorales_pirazzoli_cl/IQAuWHXj6PAzT6LFJs__n9ceAVjizPlV50ZHhFtXKcriAZY?e=OOrwOc" TargetMode="External"/><Relationship Id="rId148" Type="http://schemas.openxmlformats.org/officeDocument/2006/relationships/hyperlink" Target="https://agenciadeaduanapirazzoli-my.sharepoint.com/:b:/g/personal/mmorales_pirazzoli_cl/IQDQQaI5p9wmSYxDIKzWggSVAQ3YuduHcVtGwxaB2hc5kQA?e=0fyneo" TargetMode="External"/><Relationship Id="rId169" Type="http://schemas.openxmlformats.org/officeDocument/2006/relationships/hyperlink" Target="https://agenciadeaduanapirazzoli-my.sharepoint.com/:b:/g/personal/mmorales_pirazzoli_cl/IQDuRL-P8gbWR5IY4nkNWdIQAZRDGpLKq_KKs8qukbKMk8k?e=TSEBWI" TargetMode="External"/><Relationship Id="rId4" Type="http://schemas.openxmlformats.org/officeDocument/2006/relationships/hyperlink" Target="https://agenciadeaduanapirazzoli-my.sharepoint.com/:b:/g/personal/mmorales_pirazzoli_cl/IQD4NfLqodWjR4nhKnuMZkKlATpTyGahfG2cEwl8jfcfTVU?e=GNsepx" TargetMode="External"/><Relationship Id="rId180" Type="http://schemas.openxmlformats.org/officeDocument/2006/relationships/hyperlink" Target="https://agenciadeaduanapirazzoli-my.sharepoint.com/:b:/g/personal/mmorales_pirazzoli_cl/IQB7ZooUrnYcT63x_RAv8GHmAVWXK_-6EOn1JTy7AWlpHAs?e=kobyvF" TargetMode="External"/><Relationship Id="rId215" Type="http://schemas.openxmlformats.org/officeDocument/2006/relationships/hyperlink" Target="https://agenciadeaduanapirazzoli-my.sharepoint.com/:b:/g/personal/mmorales_pirazzoli_cl/IQAnpcOWq4F7RL8y0kO1kbKLAVcqzo3U9h13H5oUAsoijTI?e=LbAy7K" TargetMode="External"/><Relationship Id="rId236" Type="http://schemas.openxmlformats.org/officeDocument/2006/relationships/hyperlink" Target="https://agenciadeaduanapirazzoli-my.sharepoint.com/:b:/g/personal/mmorales_pirazzoli_cl/IQBlxSiO-SYVQ72WEnaHQRfEAd74IHplC88b-wXcakfzFTM?e=ZOCfA6" TargetMode="External"/><Relationship Id="rId257" Type="http://schemas.openxmlformats.org/officeDocument/2006/relationships/hyperlink" Target="https://agenciadeaduanapirazzoli-my.sharepoint.com/:b:/g/personal/mmorales_pirazzoli_cl/IQCPK-LDUTwhS7jJmsDeKlpUAfL9BeTVoEjlXZhDJCUzkhg?e=6OtSS7" TargetMode="External"/><Relationship Id="rId42" Type="http://schemas.openxmlformats.org/officeDocument/2006/relationships/hyperlink" Target="https://agenciadeaduanapirazzoli-my.sharepoint.com/:b:/g/personal/mmorales_pirazzoli_cl/IQBc65r2qlNmSrrGCE-ZuD2NAZHqGEZbWERzymDrzkJCNoM?e=dK43Y6" TargetMode="External"/><Relationship Id="rId84" Type="http://schemas.openxmlformats.org/officeDocument/2006/relationships/hyperlink" Target="https://agenciadeaduanapirazzoli-my.sharepoint.com/:b:/g/personal/mmorales_pirazzoli_cl/IQC3RLMNwGFpSqS-uemI7PUbAcs1nfVTAFyzQ_7fJ0T0Pr0?e=SWccKF" TargetMode="External"/><Relationship Id="rId138" Type="http://schemas.openxmlformats.org/officeDocument/2006/relationships/hyperlink" Target="https://agenciadeaduanapirazzoli-my.sharepoint.com/:b:/g/personal/mmorales_pirazzoli_cl/IQCf337XdqH5QbWGVwPohQzUAcSbMsVCiL6vITQ2nTpecAk?e=ZFFJiX" TargetMode="External"/><Relationship Id="rId191" Type="http://schemas.openxmlformats.org/officeDocument/2006/relationships/hyperlink" Target="https://agenciadeaduanapirazzoli-my.sharepoint.com/:b:/g/personal/mmorales_pirazzoli_cl/IQDoUjmuwhQlQr_vsLJWe-dcAcF82aTmVKXNIcKa93ec2bU?e=M2Tdr7" TargetMode="External"/><Relationship Id="rId205" Type="http://schemas.openxmlformats.org/officeDocument/2006/relationships/hyperlink" Target="https://agenciadeaduanapirazzoli-my.sharepoint.com/:b:/g/personal/mmorales_pirazzoli_cl/IQBAv4Bw6PpbRJ-HrvO84J-qARnrOvesSSTUuZBhiKtaKjU?e=2tEBgE" TargetMode="External"/><Relationship Id="rId247" Type="http://schemas.openxmlformats.org/officeDocument/2006/relationships/hyperlink" Target="https://agenciadeaduanapirazzoli-my.sharepoint.com/:b:/g/personal/mmorales_pirazzoli_cl/IQC13-iZgbJfQ7bHznHk-rb7AaNBIDuhOsqsi04OPbyg2LY?e=FeTTOs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agenciadeaduanapirazzoli-my.sharepoint.com/:b:/g/personal/mmorales_pirazzoli_cl/IQDhZpWGzHDkS7s0Yy6bOhDiAUwNAUVaYPflGYY0kThmlyY?e=EEMxa3" TargetMode="External"/><Relationship Id="rId3" Type="http://schemas.openxmlformats.org/officeDocument/2006/relationships/hyperlink" Target="https://agenciadeaduanapirazzoli-my.sharepoint.com/:b:/g/personal/mmorales_pirazzoli_cl/IQDlfBIJnS37QYDrY8CS_WJjAf8lI7GFtRWaYdc-1y_ejVo?e=N6ZE7X" TargetMode="External"/><Relationship Id="rId7" Type="http://schemas.openxmlformats.org/officeDocument/2006/relationships/hyperlink" Target="https://agenciadeaduanapirazzoli-my.sharepoint.com/:b:/g/personal/mmorales_pirazzoli_cl/IQCN7O3Y79EvR52WRwvymuC0AUWalxJ-IPNAoxgtxf2WmMY?e=M3rLOA" TargetMode="External"/><Relationship Id="rId12" Type="http://schemas.openxmlformats.org/officeDocument/2006/relationships/comments" Target="../comments2.xml"/><Relationship Id="rId2" Type="http://schemas.openxmlformats.org/officeDocument/2006/relationships/hyperlink" Target="https://agenciadeaduanapirazzoli-my.sharepoint.com/:b:/g/personal/mmorales_pirazzoli_cl/IQADkxQYgzEKQrdiZXN6OHdEAd-zx3fs8Kh3rUSf81Lcm98?e=FrDeIf" TargetMode="External"/><Relationship Id="rId1" Type="http://schemas.openxmlformats.org/officeDocument/2006/relationships/hyperlink" Target="https://agenciadeaduanapirazzoli-my.sharepoint.com/:b:/g/personal/mmorales_pirazzoli_cl/IQBimKHx64lXQ4fHflJkcv2oAQTisFWhmnhgXtV_rBZ5wo8?e=zOruwL" TargetMode="External"/><Relationship Id="rId6" Type="http://schemas.openxmlformats.org/officeDocument/2006/relationships/hyperlink" Target="https://agenciadeaduanapirazzoli-my.sharepoint.com/:b:/g/personal/mmorales_pirazzoli_cl/IQBB03jQGOqhRZTkdnJWo8MTAUL6ozCriVDJKzPBPTLjA6A?e=PisvJp" TargetMode="External"/><Relationship Id="rId11" Type="http://schemas.openxmlformats.org/officeDocument/2006/relationships/vmlDrawing" Target="../drawings/vmlDrawing2.vml"/><Relationship Id="rId5" Type="http://schemas.openxmlformats.org/officeDocument/2006/relationships/hyperlink" Target="https://agenciadeaduanapirazzoli-my.sharepoint.com/:b:/g/personal/mmorales_pirazzoli_cl/IQAbpNjudzRURYxgK4XDtEkRAQBVCY1pPOzPdWxsMInMYZw?e=dOBzRL" TargetMode="External"/><Relationship Id="rId10" Type="http://schemas.openxmlformats.org/officeDocument/2006/relationships/hyperlink" Target="https://agenciadeaduanapirazzoli-my.sharepoint.com/:b:/g/personal/mmorales_pirazzoli_cl/IQBB03jQGOqhRZTkdnJWo8MTAUL6ozCriVDJKzPBPTLjA6A?e=vnfU5g" TargetMode="External"/><Relationship Id="rId4" Type="http://schemas.openxmlformats.org/officeDocument/2006/relationships/hyperlink" Target="https://agenciadeaduanapirazzoli-my.sharepoint.com/:b:/g/personal/mmorales_pirazzoli_cl/IQAAKxelsOKxSIBpCa7LDoTGAaaPnEWJCmr_19wN7NzVq70?e=76CgVF" TargetMode="External"/><Relationship Id="rId9" Type="http://schemas.openxmlformats.org/officeDocument/2006/relationships/hyperlink" Target="https://agenciadeaduanapirazzoli-my.sharepoint.com/:b:/g/personal/mmorales_pirazzoli_cl/IQCnq-fELazmS4HVH0_1fko6ATT_sWF_YyT3G1PEm2BE1b8?e=83DOBa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hyperlink" Target="https://agenciadeaduanapirazzoli-my.sharepoint.com/:b:/g/personal/mmorales_pirazzoli_cl/IQB0FDVRRvWRQJzMr3E0CnSHAVO36S247LG0AMjokqBdb1U?e=Nbrwde" TargetMode="External"/><Relationship Id="rId1" Type="http://schemas.openxmlformats.org/officeDocument/2006/relationships/hyperlink" Target="https://agenciadeaduanapirazzoli-my.sharepoint.com/:b:/g/personal/mmorales_pirazzoli_cl/IQB0FDVRRvWRQJzMr3E0CnSHAVO36S247LG0AMjokqBdb1U?e=Nbrwde" TargetMode="External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agenciadeaduanapirazzoli-my.sharepoint.com/:b:/g/personal/mmorales_pirazzoli_cl/IQDsA0Wb16DARasZCSXZFtlqAXUjU_BUIVFD85QbNGJrAro?e=zHq9qy" TargetMode="External"/><Relationship Id="rId299" Type="http://schemas.openxmlformats.org/officeDocument/2006/relationships/hyperlink" Target="https://agenciadeaduanapirazzoli-my.sharepoint.com/:b:/g/personal/mmorales_pirazzoli_cl/IQDKBsZZhbfmT59EoPsrAaJHAdImLEyGoJTwd-Ye8_6xrNo?e=01AMSx" TargetMode="External"/><Relationship Id="rId21" Type="http://schemas.openxmlformats.org/officeDocument/2006/relationships/hyperlink" Target="https://agenciadeaduanapirazzoli-my.sharepoint.com/:b:/g/personal/mmorales_pirazzoli_cl/IQA_jNso5zo6RZolPtITON2fAVUTKUYpbAp0YLXJj3AtOWU?e=OGAhAk" TargetMode="External"/><Relationship Id="rId63" Type="http://schemas.openxmlformats.org/officeDocument/2006/relationships/hyperlink" Target="https://agenciadeaduanapirazzoli-my.sharepoint.com/:b:/g/personal/mmorales_pirazzoli_cl/IQD6gfoCF_3fSbu_0wkxoSC7AdkXfSHyV5nvBezhbJ9Yp-c?e=iCVo9i" TargetMode="External"/><Relationship Id="rId159" Type="http://schemas.openxmlformats.org/officeDocument/2006/relationships/hyperlink" Target="https://agenciadeaduanapirazzoli-my.sharepoint.com/:b:/g/personal/mmorales_pirazzoli_cl/IQAMFS8Mont-RZWfVgfxiZUdAVqEv7SjvWo_FjCI0GHPJ1Y?e=wNLEkh" TargetMode="External"/><Relationship Id="rId170" Type="http://schemas.openxmlformats.org/officeDocument/2006/relationships/hyperlink" Target="https://agenciadeaduanapirazzoli-my.sharepoint.com/:b:/g/personal/mmorales_pirazzoli_cl/IQAyJxwnGSALSYHJRMUkrR8xAV73ySEACPM8TQ5uchele-U?e=l0WeBa" TargetMode="External"/><Relationship Id="rId226" Type="http://schemas.openxmlformats.org/officeDocument/2006/relationships/hyperlink" Target="https://agenciadeaduanapirazzoli-my.sharepoint.com/:b:/g/personal/mmorales_pirazzoli_cl/IQAR09D5d-rrTJcD8n1eZdxOAcp1m-k7EIdh-9BTqvUOlZ8?e=8kfayE" TargetMode="External"/><Relationship Id="rId268" Type="http://schemas.openxmlformats.org/officeDocument/2006/relationships/hyperlink" Target="https://agenciadeaduanapirazzoli-my.sharepoint.com/:b:/g/personal/mmorales_pirazzoli_cl/IQBY0BRDE7jKTLGPXs8kOBkWAW4POUcaNdhCicMFJCyov7o?e=wGgnQi" TargetMode="External"/><Relationship Id="rId32" Type="http://schemas.openxmlformats.org/officeDocument/2006/relationships/hyperlink" Target="https://agenciadeaduanapirazzoli-my.sharepoint.com/:b:/g/personal/mmorales_pirazzoli_cl/IQBSgYu4qQa-Rpk4A-S37fy3AYEWOqlg7O4tChK9rirCF2c?e=znZfqE" TargetMode="External"/><Relationship Id="rId74" Type="http://schemas.openxmlformats.org/officeDocument/2006/relationships/hyperlink" Target="https://agenciadeaduanapirazzoli-my.sharepoint.com/:b:/g/personal/mmorales_pirazzoli_cl/IQDDwk-AO_YXSa7VVjvT5ZNWAa58BeKkRjtWao0kcyVOQXU?e=a9dNcB" TargetMode="External"/><Relationship Id="rId128" Type="http://schemas.openxmlformats.org/officeDocument/2006/relationships/hyperlink" Target="https://agenciadeaduanapirazzoli-my.sharepoint.com/:b:/g/personal/mmorales_pirazzoli_cl/IQCpyRQl4OrOTpm7-e1_RoUkAam9wrUIl0b32eaXICsx7Q0?e=lJyyAF" TargetMode="External"/><Relationship Id="rId5" Type="http://schemas.openxmlformats.org/officeDocument/2006/relationships/hyperlink" Target="https://agenciadeaduanapirazzoli-my.sharepoint.com/:b:/g/personal/mmorales_pirazzoli_cl/IQCb3JKg-auuTYLk8Ed50931AeMD6ef6bm4zppqzHCpDE9M?e=8w7ucm" TargetMode="External"/><Relationship Id="rId181" Type="http://schemas.openxmlformats.org/officeDocument/2006/relationships/hyperlink" Target="https://agenciadeaduanapirazzoli-my.sharepoint.com/:b:/g/personal/mmorales_pirazzoli_cl/IQCvf4Vyt4m7Rr6nnt4CdSfDAY5lFpZjOfguc62HWKBifQs?e=nl4AZ5" TargetMode="External"/><Relationship Id="rId237" Type="http://schemas.openxmlformats.org/officeDocument/2006/relationships/hyperlink" Target="https://agenciadeaduanapirazzoli-my.sharepoint.com/:b:/g/personal/mmorales_pirazzoli_cl/IQDx7TXoxuGfR7SUsaU7R1quAczQo8kteSHDRBm27h-pyVE?e=87x7g2" TargetMode="External"/><Relationship Id="rId279" Type="http://schemas.openxmlformats.org/officeDocument/2006/relationships/hyperlink" Target="https://agenciadeaduanapirazzoli-my.sharepoint.com/:b:/g/personal/mmorales_pirazzoli_cl/IQDvGg9zD7sDQpIBKKoOCI8BARMKH8IcGPNNhknLYqEue0U?e=Y0XOYR" TargetMode="External"/><Relationship Id="rId43" Type="http://schemas.openxmlformats.org/officeDocument/2006/relationships/hyperlink" Target="https://agenciadeaduanapirazzoli-my.sharepoint.com/:b:/g/personal/mmorales_pirazzoli_cl/IQDNjhM0yo1BRbq21E68xvVjAbld08Xd3FHdL0uKELUPqag?e=yNldcD" TargetMode="External"/><Relationship Id="rId139" Type="http://schemas.openxmlformats.org/officeDocument/2006/relationships/hyperlink" Target="https://agenciadeaduanapirazzoli-my.sharepoint.com/:b:/g/personal/mmorales_pirazzoli_cl/IQAxwMuq-bdsQanaeIrWymM-AeJ1Ogas-bNAdc1tY_c5CHA?e=VDlWIt" TargetMode="External"/><Relationship Id="rId290" Type="http://schemas.openxmlformats.org/officeDocument/2006/relationships/hyperlink" Target="https://agenciadeaduanapirazzoli-my.sharepoint.com/:b:/g/personal/mmorales_pirazzoli_cl/IQCly7MJCM3DR6NrSmLxoaQ7ATap9tRSfI1nioP0ASOGG1Q?e=zdC8pV" TargetMode="External"/><Relationship Id="rId304" Type="http://schemas.openxmlformats.org/officeDocument/2006/relationships/hyperlink" Target="https://agenciadeaduanapirazzoli-my.sharepoint.com/:b:/g/personal/mmorales_pirazzoli_cl/IQBq1Ue76TIcRo8VRLJyxEjQAYKihHL6uWnVSmDSFJ8kZF4?e=aNCVCz" TargetMode="External"/><Relationship Id="rId85" Type="http://schemas.openxmlformats.org/officeDocument/2006/relationships/hyperlink" Target="https://agenciadeaduanapirazzoli-my.sharepoint.com/:b:/g/personal/mmorales_pirazzoli_cl/IQBI6JghBe9fSKC5Ti-y2r9pAVfXU51qrlCS7cx_vU0UucA?e=QzArUH" TargetMode="External"/><Relationship Id="rId150" Type="http://schemas.openxmlformats.org/officeDocument/2006/relationships/hyperlink" Target="https://agenciadeaduanapirazzoli-my.sharepoint.com/:b:/g/personal/mmorales_pirazzoli_cl/IQBVAAc2QLIsS4XDya9G3s8sAbOS3DCkCint5MToi7fzORs?e=ez6h1r" TargetMode="External"/><Relationship Id="rId192" Type="http://schemas.openxmlformats.org/officeDocument/2006/relationships/hyperlink" Target="https://agenciadeaduanapirazzoli-my.sharepoint.com/:b:/g/personal/mmorales_pirazzoli_cl/IQBOYT6us2WeTIpK2vAy35Y3ARf_Rgoixplaq6zugnQDEqk?e=7iq2VQ" TargetMode="External"/><Relationship Id="rId206" Type="http://schemas.openxmlformats.org/officeDocument/2006/relationships/hyperlink" Target="https://agenciadeaduanapirazzoli-my.sharepoint.com/:b:/g/personal/mmorales_pirazzoli_cl/IQBjAhmvmaieR6m21mD1tTUjAYHwjmVEqvhgTekN7fcUfUA?e=lxKWOi" TargetMode="External"/><Relationship Id="rId248" Type="http://schemas.openxmlformats.org/officeDocument/2006/relationships/hyperlink" Target="https://agenciadeaduanapirazzoli-my.sharepoint.com/:b:/g/personal/mmorales_pirazzoli_cl/IQAQhMAeJ75oSrcLEbu_AdZsAf2l7rPY17jR7JaaFhSks3M?e=lQGJBc" TargetMode="External"/><Relationship Id="rId12" Type="http://schemas.openxmlformats.org/officeDocument/2006/relationships/hyperlink" Target="https://agenciadeaduanapirazzoli-my.sharepoint.com/:b:/g/personal/mmorales_pirazzoli_cl/IQBFNXrkLZAgSaM1O1c5OVqzAbXSY9u3pF9M7KG5mXMr-NA?e=wZtWeD" TargetMode="External"/><Relationship Id="rId108" Type="http://schemas.openxmlformats.org/officeDocument/2006/relationships/hyperlink" Target="https://agenciadeaduanapirazzoli-my.sharepoint.com/:b:/g/personal/mmorales_pirazzoli_cl/IQCK8FtPW2EuTp_68p8UTi_hAXb4gM79b7onK-BeVVUlXCc?e=uoQNpn" TargetMode="External"/><Relationship Id="rId315" Type="http://schemas.openxmlformats.org/officeDocument/2006/relationships/hyperlink" Target="https://agenciadeaduanapirazzoli-my.sharepoint.com/:b:/g/personal/mmorales_pirazzoli_cl/IQDZz2W81zJ5R4mjnhyG0rIvAQOgiv8EPJv0f0D4efZtIwk?e=JHjO4B" TargetMode="External"/><Relationship Id="rId54" Type="http://schemas.openxmlformats.org/officeDocument/2006/relationships/hyperlink" Target="https://agenciadeaduanapirazzoli-my.sharepoint.com/:b:/g/personal/mmorales_pirazzoli_cl/IQBmwu_P9XpsSI7u8ZTRFirDAWGvhCkI_heOCOKcQvTUQEs?e=Kquvf2" TargetMode="External"/><Relationship Id="rId96" Type="http://schemas.openxmlformats.org/officeDocument/2006/relationships/hyperlink" Target="https://agenciadeaduanapirazzoli-my.sharepoint.com/:b:/g/personal/mmorales_pirazzoli_cl/IQC4s-ldZjl4TYVjGrB1BkMzAQMXnYAdRJdYIarXOiVfXZQ?e=rYVUfr" TargetMode="External"/><Relationship Id="rId161" Type="http://schemas.openxmlformats.org/officeDocument/2006/relationships/hyperlink" Target="https://agenciadeaduanapirazzoli-my.sharepoint.com/:b:/g/personal/mmorales_pirazzoli_cl/IQABmx68YvM6QoYAwBjCuolNAX6ScOQoofMd5w_jgw-7OXA?e=crVaeh" TargetMode="External"/><Relationship Id="rId217" Type="http://schemas.openxmlformats.org/officeDocument/2006/relationships/hyperlink" Target="https://agenciadeaduanapirazzoli-my.sharepoint.com/:b:/g/personal/mmorales_pirazzoli_cl/IQARyt3KJn2RR5VZfYUs3u9pAYIRCmKXWNhML_kYOZ-dUjw?e=5Xp7oD" TargetMode="External"/><Relationship Id="rId259" Type="http://schemas.openxmlformats.org/officeDocument/2006/relationships/hyperlink" Target="https://agenciadeaduanapirazzoli-my.sharepoint.com/:b:/g/personal/mmorales_pirazzoli_cl/IQAcfJDut7yATZ2BqjtePWYmARL9Jba7ViA3AIlwrHqX03U?e=vtdppk" TargetMode="External"/><Relationship Id="rId23" Type="http://schemas.openxmlformats.org/officeDocument/2006/relationships/hyperlink" Target="https://agenciadeaduanapirazzoli-my.sharepoint.com/:b:/g/personal/mmorales_pirazzoli_cl/IQAaG1t6Y8L7SJEOIQb6NXVRASiiotiH4vxPkGB7Rp5msNM?e=PQi8zm" TargetMode="External"/><Relationship Id="rId119" Type="http://schemas.openxmlformats.org/officeDocument/2006/relationships/hyperlink" Target="https://agenciadeaduanapirazzoli-my.sharepoint.com/:b:/g/personal/mmorales_pirazzoli_cl/IQBYCWxqLvfiRLMmmahaCPNxAQFxS5Nvc5gkw07DeQ-gXOI?e=3OB8Hq" TargetMode="External"/><Relationship Id="rId270" Type="http://schemas.openxmlformats.org/officeDocument/2006/relationships/hyperlink" Target="https://agenciadeaduanapirazzoli-my.sharepoint.com/:b:/g/personal/mmorales_pirazzoli_cl/IQBKsLPZC1jaSrqfC-v5M7MBAcVcPHMyxSVb_9TfQZU81bU?e=twbpLI" TargetMode="External"/><Relationship Id="rId65" Type="http://schemas.openxmlformats.org/officeDocument/2006/relationships/hyperlink" Target="https://agenciadeaduanapirazzoli-my.sharepoint.com/:b:/g/personal/mmorales_pirazzoli_cl/IQCDIyS-HIywQr6a5TryHnoiAZ-DsrQc0ep08eqqP90jKPA?e=Bo3tAK" TargetMode="External"/><Relationship Id="rId130" Type="http://schemas.openxmlformats.org/officeDocument/2006/relationships/hyperlink" Target="https://agenciadeaduanapirazzoli-my.sharepoint.com/:b:/g/personal/mmorales_pirazzoli_cl/IQAJvrC0m3_uQ4Dc0x2NIzYgARrDW9Bsmzceel_KZwfQeHI?e=PWuGOR" TargetMode="External"/><Relationship Id="rId172" Type="http://schemas.openxmlformats.org/officeDocument/2006/relationships/hyperlink" Target="https://agenciadeaduanapirazzoli-my.sharepoint.com/:b:/g/personal/mmorales_pirazzoli_cl/IQBsdUH_acbQSIhIDZyBq2_RAXUAdBtKFQpVLiPi9QWh_lo?e=kFjyyu" TargetMode="External"/><Relationship Id="rId228" Type="http://schemas.openxmlformats.org/officeDocument/2006/relationships/hyperlink" Target="https://agenciadeaduanapirazzoli-my.sharepoint.com/:b:/g/personal/mmorales_pirazzoli_cl/IQB6uvnk6Qg4SpDxw25F2QtKAa9B6RKUNtRj32pzvt60GH0?e=psRFER" TargetMode="External"/><Relationship Id="rId13" Type="http://schemas.openxmlformats.org/officeDocument/2006/relationships/hyperlink" Target="https://agenciadeaduanapirazzoli-my.sharepoint.com/:b:/g/personal/mmorales_pirazzoli_cl/IQDfZgf7s5VcSqT99pVjdItBAbWgRGiuv0EtiB_hMYDVybs?e=vvORMW" TargetMode="External"/><Relationship Id="rId109" Type="http://schemas.openxmlformats.org/officeDocument/2006/relationships/hyperlink" Target="https://agenciadeaduanapirazzoli-my.sharepoint.com/:b:/g/personal/mmorales_pirazzoli_cl/IQAd0cClctfCQp5U8yvoZKGwAc4BwZBbX21fiqyGDRRSUio?e=1oZSe8" TargetMode="External"/><Relationship Id="rId260" Type="http://schemas.openxmlformats.org/officeDocument/2006/relationships/hyperlink" Target="https://agenciadeaduanapirazzoli-my.sharepoint.com/:b:/g/personal/mmorales_pirazzoli_cl/IQASznuH1hB4SoCPu1D24owQAQSPQPkeIK7Ia7DBloqfKH0?e=t0Cmi6" TargetMode="External"/><Relationship Id="rId281" Type="http://schemas.openxmlformats.org/officeDocument/2006/relationships/hyperlink" Target="https://agenciadeaduanapirazzoli-my.sharepoint.com/:b:/g/personal/mmorales_pirazzoli_cl/IQD_R-LeqVKLQ5p48pWh9zEQAd_STzIGMD9j_0iWEaZnnYA?e=EuHjZN" TargetMode="External"/><Relationship Id="rId316" Type="http://schemas.openxmlformats.org/officeDocument/2006/relationships/hyperlink" Target="https://agenciadeaduanapirazzoli-my.sharepoint.com/:b:/g/personal/mmorales_pirazzoli_cl/IQC87kaEfbomSIvzqTawxFziAcJ0qeDZlKLQLKfozxFzShI?e=Mfb8aR" TargetMode="External"/><Relationship Id="rId34" Type="http://schemas.openxmlformats.org/officeDocument/2006/relationships/hyperlink" Target="https://agenciadeaduanapirazzoli-my.sharepoint.com/:b:/g/personal/mmorales_pirazzoli_cl/IQAHc8r5qfYhQIbfwEyJr8ZCAbIp-1nkEMZWaIp1QHNlWg8?e=tzqqOh" TargetMode="External"/><Relationship Id="rId55" Type="http://schemas.openxmlformats.org/officeDocument/2006/relationships/hyperlink" Target="https://agenciadeaduanapirazzoli-my.sharepoint.com/:b:/g/personal/mmorales_pirazzoli_cl/IQA5tq33CUlXRIkLyr5C0H1SAYvGhzj1V0bxGv8mrEhqYmI?e=hwQCs7" TargetMode="External"/><Relationship Id="rId76" Type="http://schemas.openxmlformats.org/officeDocument/2006/relationships/hyperlink" Target="https://agenciadeaduanapirazzoli-my.sharepoint.com/:b:/g/personal/mmorales_pirazzoli_cl/IQBeGqv2D-z6R7Ih38OnWi_4AePs6if7E9x3C1nnaipuSZ8?e=Hd7MyC" TargetMode="External"/><Relationship Id="rId97" Type="http://schemas.openxmlformats.org/officeDocument/2006/relationships/hyperlink" Target="https://agenciadeaduanapirazzoli-my.sharepoint.com/:b:/g/personal/mmorales_pirazzoli_cl/IQAy3merSdQmTblXk64gisWdASqPOsFNoPveXwIabvc_Hsw?e=0kGi4O" TargetMode="External"/><Relationship Id="rId120" Type="http://schemas.openxmlformats.org/officeDocument/2006/relationships/hyperlink" Target="https://agenciadeaduanapirazzoli-my.sharepoint.com/:b:/g/personal/mmorales_pirazzoli_cl/IQDS8LYbaPRxRaPLpETPW0IZAdhqqxpMtL2GZ-VtmCjz-3U?e=rBgbOi" TargetMode="External"/><Relationship Id="rId141" Type="http://schemas.openxmlformats.org/officeDocument/2006/relationships/hyperlink" Target="https://agenciadeaduanapirazzoli-my.sharepoint.com/:b:/g/personal/mmorales_pirazzoli_cl/IQCsr9u5zhe5QIKlpsETjDVdAZTxEh0qiEP64Y3rcTr6pDg?e=R1Ilwo" TargetMode="External"/><Relationship Id="rId7" Type="http://schemas.openxmlformats.org/officeDocument/2006/relationships/hyperlink" Target="https://agenciadeaduanapirazzoli-my.sharepoint.com/:b:/g/personal/mmorales_pirazzoli_cl/IQAxiE7CR9EcRKl0VVokQwR-Acdc4LL_KyuUoAXdA6AVT68?e=uw5hPr" TargetMode="External"/><Relationship Id="rId162" Type="http://schemas.openxmlformats.org/officeDocument/2006/relationships/hyperlink" Target="https://agenciadeaduanapirazzoli-my.sharepoint.com/:b:/g/personal/mmorales_pirazzoli_cl/IQBJ9HDclR6QSrVlpdv7N_0LAfHIark2su9xJno1jgFmBmc?e=4RSS7h" TargetMode="External"/><Relationship Id="rId183" Type="http://schemas.openxmlformats.org/officeDocument/2006/relationships/hyperlink" Target="https://agenciadeaduanapirazzoli-my.sharepoint.com/:b:/g/personal/mmorales_pirazzoli_cl/IQAGXI5cR4cUTJoL5pph_yJgAZhrPAM1MGUTth05K0HUiZY?e=Dp3bcz" TargetMode="External"/><Relationship Id="rId218" Type="http://schemas.openxmlformats.org/officeDocument/2006/relationships/hyperlink" Target="https://agenciadeaduanapirazzoli-my.sharepoint.com/:b:/g/personal/mmorales_pirazzoli_cl/IQAkOWH8Q4kIS5A-MrA2g8wIAZlAIfw3Sz6o1duEGMd82Ts?e=gR2swW" TargetMode="External"/><Relationship Id="rId239" Type="http://schemas.openxmlformats.org/officeDocument/2006/relationships/hyperlink" Target="https://agenciadeaduanapirazzoli-my.sharepoint.com/:b:/g/personal/mmorales_pirazzoli_cl/IQASC6oZQ5BMRJLJSvb_g4XSAX7cQSdkVN31mqFJN_2tXwY?e=od0oNe" TargetMode="External"/><Relationship Id="rId250" Type="http://schemas.openxmlformats.org/officeDocument/2006/relationships/hyperlink" Target="https://agenciadeaduanapirazzoli-my.sharepoint.com/:b:/g/personal/mmorales_pirazzoli_cl/IQAa0MuIh7WNQIRwS_i553EVAfKs729pNvybzbfZE6cSIoo?e=5RuQAf" TargetMode="External"/><Relationship Id="rId271" Type="http://schemas.openxmlformats.org/officeDocument/2006/relationships/hyperlink" Target="https://agenciadeaduanapirazzoli-my.sharepoint.com/:b:/g/personal/mmorales_pirazzoli_cl/IQCPHse542y_TokCe7xiSefHAWkUfRa4onQ52jpfvU3RdiY?e=0J0XAC" TargetMode="External"/><Relationship Id="rId292" Type="http://schemas.openxmlformats.org/officeDocument/2006/relationships/hyperlink" Target="https://agenciadeaduanapirazzoli-my.sharepoint.com/:b:/g/personal/mmorales_pirazzoli_cl/IQBrgK8t7CiISJvVlRg40TelAcYPxiDdWXlcK25WEtL5P4k?e=rQUaRo" TargetMode="External"/><Relationship Id="rId306" Type="http://schemas.openxmlformats.org/officeDocument/2006/relationships/hyperlink" Target="https://agenciadeaduanapirazzoli-my.sharepoint.com/:b:/g/personal/mmorales_pirazzoli_cl/IQBXFSldEeInQo2avbxRwEPdARg0POUXqVQ2kEopN9N5xbQ?e=2rN6e8" TargetMode="External"/><Relationship Id="rId24" Type="http://schemas.openxmlformats.org/officeDocument/2006/relationships/hyperlink" Target="https://agenciadeaduanapirazzoli-my.sharepoint.com/:b:/g/personal/mmorales_pirazzoli_cl/IQCqm0uAlSOCTo6Ubv62TuiGASoCtltO-sm1__XPpKrO5Y8?e=Cnsvjn" TargetMode="External"/><Relationship Id="rId45" Type="http://schemas.openxmlformats.org/officeDocument/2006/relationships/hyperlink" Target="https://agenciadeaduanapirazzoli-my.sharepoint.com/:b:/g/personal/mmorales_pirazzoli_cl/IQBP7GSIJ6NsRapcC932vY1PARH6aqnrta8sfU5nfWCV3vM?e=hEgtZi" TargetMode="External"/><Relationship Id="rId66" Type="http://schemas.openxmlformats.org/officeDocument/2006/relationships/hyperlink" Target="https://agenciadeaduanapirazzoli-my.sharepoint.com/:b:/g/personal/mmorales_pirazzoli_cl/IQA7mhEtFJywS5c2dWrNRDKOAeDB-QWBAHrD6Kd8Z-9LIVo?e=5fKMqP" TargetMode="External"/><Relationship Id="rId87" Type="http://schemas.openxmlformats.org/officeDocument/2006/relationships/hyperlink" Target="https://agenciadeaduanapirazzoli-my.sharepoint.com/:b:/g/personal/mmorales_pirazzoli_cl/IQB20fMo9iCjTb8K-hpgO8qUARMJwcui-J0qwz8PTVa8o4w?e=lKdf9h" TargetMode="External"/><Relationship Id="rId110" Type="http://schemas.openxmlformats.org/officeDocument/2006/relationships/hyperlink" Target="https://agenciadeaduanapirazzoli-my.sharepoint.com/:b:/g/personal/mmorales_pirazzoli_cl/IQAV91EvL8W9S5ah_mUqvNOkAX2U68ya1nhmqha4Osn3P9k?e=3tbMyt" TargetMode="External"/><Relationship Id="rId131" Type="http://schemas.openxmlformats.org/officeDocument/2006/relationships/hyperlink" Target="https://agenciadeaduanapirazzoli-my.sharepoint.com/:b:/g/personal/mmorales_pirazzoli_cl/IQANzHREdTRSSKIH42dRTjjmAb_vL6Qo3dWVr5v_HfVthuo?e=LHcf0F" TargetMode="External"/><Relationship Id="rId152" Type="http://schemas.openxmlformats.org/officeDocument/2006/relationships/hyperlink" Target="https://agenciadeaduanapirazzoli-my.sharepoint.com/:b:/g/personal/mmorales_pirazzoli_cl/IQA65HB06-egSYc_ED8TLbr4AQdpHKr8PfPKCj7Xur-2_rY?e=4YXSHJ" TargetMode="External"/><Relationship Id="rId173" Type="http://schemas.openxmlformats.org/officeDocument/2006/relationships/hyperlink" Target="https://agenciadeaduanapirazzoli-my.sharepoint.com/:b:/g/personal/mmorales_pirazzoli_cl/IQBArbszFKxASoUAFfAn52mnAR6I3MXqZLfBsBaIk8SNuZc?e=dafg61" TargetMode="External"/><Relationship Id="rId194" Type="http://schemas.openxmlformats.org/officeDocument/2006/relationships/hyperlink" Target="https://agenciadeaduanapirazzoli-my.sharepoint.com/:b:/g/personal/mmorales_pirazzoli_cl/IQDCor1fCBLCQKPNo7frqt0ZAYH_Tiy3zAU8OHrBOwQbDz8?e=8ogiDp" TargetMode="External"/><Relationship Id="rId208" Type="http://schemas.openxmlformats.org/officeDocument/2006/relationships/hyperlink" Target="https://agenciadeaduanapirazzoli-my.sharepoint.com/:b:/g/personal/mmorales_pirazzoli_cl/IQDVK0PvLZ5jTYhPsKJXcKBGAZt6zmbg0VisoSLKqcA-DRc?e=LVLIiz" TargetMode="External"/><Relationship Id="rId229" Type="http://schemas.openxmlformats.org/officeDocument/2006/relationships/hyperlink" Target="https://agenciadeaduanapirazzoli-my.sharepoint.com/:b:/g/personal/mmorales_pirazzoli_cl/IQA9572ZXjNER6ugZaCrUuQXAZ0RYGYlfjZEXPO1S6xYoVk?e=1zqeEp" TargetMode="External"/><Relationship Id="rId240" Type="http://schemas.openxmlformats.org/officeDocument/2006/relationships/hyperlink" Target="https://agenciadeaduanapirazzoli-my.sharepoint.com/:b:/g/personal/mmorales_pirazzoli_cl/IQC54vP6_CMkRbXX1ssYOogTAZlMVFLUXjZeCILeR4YeCc4?e=bhUtJj" TargetMode="External"/><Relationship Id="rId261" Type="http://schemas.openxmlformats.org/officeDocument/2006/relationships/hyperlink" Target="https://agenciadeaduanapirazzoli-my.sharepoint.com/:b:/g/personal/mmorales_pirazzoli_cl/IQC3E2ZCb41RRZCmHXgmFUrzATWOUu14BbnRg283lTPgCY4?e=cS9Ax8" TargetMode="External"/><Relationship Id="rId14" Type="http://schemas.openxmlformats.org/officeDocument/2006/relationships/hyperlink" Target="https://agenciadeaduanapirazzoli-my.sharepoint.com/:b:/g/personal/mmorales_pirazzoli_cl/IQAMEuyV0rZmQ5lCP_jvZgYhAYQLDxz73568ZCQd1RMaIh8?e=kVC3Pw" TargetMode="External"/><Relationship Id="rId35" Type="http://schemas.openxmlformats.org/officeDocument/2006/relationships/hyperlink" Target="https://agenciadeaduanapirazzoli-my.sharepoint.com/:b:/g/personal/mmorales_pirazzoli_cl/IQAvEx3wMakHTrCDrGfj0QulAfb8e8JN32twUIYLXjYXH8A?e=SgL7Am" TargetMode="External"/><Relationship Id="rId56" Type="http://schemas.openxmlformats.org/officeDocument/2006/relationships/hyperlink" Target="https://agenciadeaduanapirazzoli-my.sharepoint.com/:b:/g/personal/mmorales_pirazzoli_cl/IQDevh8xTDlsRKNUJGNPJgHWAXxdGbX8Tw_PgQGuqntrjQ0?e=mRNagl" TargetMode="External"/><Relationship Id="rId77" Type="http://schemas.openxmlformats.org/officeDocument/2006/relationships/hyperlink" Target="https://agenciadeaduanapirazzoli-my.sharepoint.com/:b:/g/personal/mmorales_pirazzoli_cl/IQCfQ5Udva0HSaQAlwaBSs0nAW5pUS3Fn-JoJWgTUxCyKVs?e=SwnPjX" TargetMode="External"/><Relationship Id="rId100" Type="http://schemas.openxmlformats.org/officeDocument/2006/relationships/hyperlink" Target="https://agenciadeaduanapirazzoli-my.sharepoint.com/:b:/g/personal/mmorales_pirazzoli_cl/IQBOpBHZ-ZxPRbsVtI8HIaf0AfamE7MJUQVeyzLyXyF10yo?e=HzEa5a" TargetMode="External"/><Relationship Id="rId282" Type="http://schemas.openxmlformats.org/officeDocument/2006/relationships/hyperlink" Target="https://agenciadeaduanapirazzoli-my.sharepoint.com/:b:/g/personal/mmorales_pirazzoli_cl/IQCm5rUrLWEST4Yb9Sg-tX4PAUZcsAb5yw4c0w0klNNKUhw?e=z2yqKd" TargetMode="External"/><Relationship Id="rId317" Type="http://schemas.openxmlformats.org/officeDocument/2006/relationships/table" Target="../tables/table1.xml"/><Relationship Id="rId8" Type="http://schemas.openxmlformats.org/officeDocument/2006/relationships/hyperlink" Target="https://agenciadeaduanapirazzoli-my.sharepoint.com/:b:/g/personal/mmorales_pirazzoli_cl/IQDAHJ_oGHDSS6zfk3O8TxdjAVvOnodLhEozk5hOKHcXfY8?e=lMEgqJ" TargetMode="External"/><Relationship Id="rId98" Type="http://schemas.openxmlformats.org/officeDocument/2006/relationships/hyperlink" Target="https://agenciadeaduanapirazzoli-my.sharepoint.com/:b:/g/personal/mmorales_pirazzoli_cl/IQAGif4yc549RLDkX8bUwn_jAewaeiGjYvOkxtl785HaEdA?e=i5VAA8" TargetMode="External"/><Relationship Id="rId121" Type="http://schemas.openxmlformats.org/officeDocument/2006/relationships/hyperlink" Target="https://agenciadeaduanapirazzoli-my.sharepoint.com/:b:/g/personal/mmorales_pirazzoli_cl/IQAo1krnZ9r8T50b61DBtEWTAYqg48aCt7zPnXFZN8IefAs?e=8s5z0u" TargetMode="External"/><Relationship Id="rId142" Type="http://schemas.openxmlformats.org/officeDocument/2006/relationships/hyperlink" Target="https://agenciadeaduanapirazzoli-my.sharepoint.com/:b:/g/personal/mmorales_pirazzoli_cl/IQClPVtpf4_NRYbadBuom2ypAWejvdwk2wwrp_lWnCKdtVo?e=c5gJaC" TargetMode="External"/><Relationship Id="rId163" Type="http://schemas.openxmlformats.org/officeDocument/2006/relationships/hyperlink" Target="https://agenciadeaduanapirazzoli-my.sharepoint.com/:b:/g/personal/mmorales_pirazzoli_cl/IQC9CxfecyV-TKnzBd48AdFMAb_JaRXQZHWvdDOKMstKga4?e=ThpXJb" TargetMode="External"/><Relationship Id="rId184" Type="http://schemas.openxmlformats.org/officeDocument/2006/relationships/hyperlink" Target="https://agenciadeaduanapirazzoli-my.sharepoint.com/:b:/g/personal/mmorales_pirazzoli_cl/IQBKwTBKB7GoSYbtDfrAcEUPAek22o4NXkqjjT7XomvTYHE?e=ApywnV" TargetMode="External"/><Relationship Id="rId219" Type="http://schemas.openxmlformats.org/officeDocument/2006/relationships/hyperlink" Target="https://agenciadeaduanapirazzoli-my.sharepoint.com/:b:/g/personal/mmorales_pirazzoli_cl/IQDRqy6P9V-HSbCOtz9uI8wMAfW79ZN8UFhQVe1X4yJaNFM?e=PkvrvN" TargetMode="External"/><Relationship Id="rId230" Type="http://schemas.openxmlformats.org/officeDocument/2006/relationships/hyperlink" Target="https://agenciadeaduanapirazzoli-my.sharepoint.com/:b:/g/personal/mmorales_pirazzoli_cl/IQAdbYP99u6qTJAUy3aseGv3AZlnMr_dJQxWJsk0jB6tp5U?e=AAdLyD" TargetMode="External"/><Relationship Id="rId251" Type="http://schemas.openxmlformats.org/officeDocument/2006/relationships/hyperlink" Target="https://agenciadeaduanapirazzoli-my.sharepoint.com/:b:/g/personal/mmorales_pirazzoli_cl/IQCJ_tXy1MnsRJRLkUxIOGibAatXJ3uF42hNU4oRTzIODrA?e=S1P2Hc" TargetMode="External"/><Relationship Id="rId25" Type="http://schemas.openxmlformats.org/officeDocument/2006/relationships/hyperlink" Target="https://agenciadeaduanapirazzoli-my.sharepoint.com/:b:/g/personal/mmorales_pirazzoli_cl/IQB7oo8UhMzcS56QJBa2o1k2AfrcWPCdfGNTsc3cWtJwV4w?e=8UOVyH" TargetMode="External"/><Relationship Id="rId46" Type="http://schemas.openxmlformats.org/officeDocument/2006/relationships/hyperlink" Target="https://agenciadeaduanapirazzoli-my.sharepoint.com/:b:/g/personal/mmorales_pirazzoli_cl/IQCrZlN1dRZ1RbUCaPNoKglmATlDzveV0tcuW1wCJXIg8rE?e=fpOqv3" TargetMode="External"/><Relationship Id="rId67" Type="http://schemas.openxmlformats.org/officeDocument/2006/relationships/hyperlink" Target="https://agenciadeaduanapirazzoli-my.sharepoint.com/:b:/g/personal/mmorales_pirazzoli_cl/IQAJD7AG4Hv2TafQtyCZjY-LAewe-W5MdD6AMh_AE4Xcd60?e=AbaSeE" TargetMode="External"/><Relationship Id="rId272" Type="http://schemas.openxmlformats.org/officeDocument/2006/relationships/hyperlink" Target="https://agenciadeaduanapirazzoli-my.sharepoint.com/:b:/g/personal/mmorales_pirazzoli_cl/IQBcO8tdKIkZQ5EJKHcaqStfAY-8SVFVqobAs18xuNyqPbc?e=3wy19s" TargetMode="External"/><Relationship Id="rId293" Type="http://schemas.openxmlformats.org/officeDocument/2006/relationships/hyperlink" Target="https://agenciadeaduanapirazzoli-my.sharepoint.com/:b:/g/personal/mmorales_pirazzoli_cl/IQACa7OAdc-rT67_OTBZw6lCASImos6Go4ItPNsxPZxYjSU?e=J3SBMV" TargetMode="External"/><Relationship Id="rId307" Type="http://schemas.openxmlformats.org/officeDocument/2006/relationships/hyperlink" Target="https://agenciadeaduanapirazzoli-my.sharepoint.com/:b:/g/personal/mmorales_pirazzoli_cl/IQCTfSPTdJwIQ4dI1WNUrFttAWZK1pDnIlqDUlYvKTrZGPw?e=Y5Hiav" TargetMode="External"/><Relationship Id="rId88" Type="http://schemas.openxmlformats.org/officeDocument/2006/relationships/hyperlink" Target="https://agenciadeaduanapirazzoli-my.sharepoint.com/:b:/g/personal/mmorales_pirazzoli_cl/IQAxpa2gZ0cIQZFvPP421ZWvARCZe9CmSsOqab3LsuZNn-o?e=sif2Pc" TargetMode="External"/><Relationship Id="rId111" Type="http://schemas.openxmlformats.org/officeDocument/2006/relationships/hyperlink" Target="https://agenciadeaduanapirazzoli-my.sharepoint.com/:b:/g/personal/mmorales_pirazzoli_cl/IQBdPUSK4V5oQJhKGrKSovGVAZ2jgggtGC8xBMWfVYN8ttk?e=YrykVg" TargetMode="External"/><Relationship Id="rId132" Type="http://schemas.openxmlformats.org/officeDocument/2006/relationships/hyperlink" Target="https://agenciadeaduanapirazzoli-my.sharepoint.com/:b:/g/personal/mmorales_pirazzoli_cl/IQBV7t1YxGESSbizUFS7Z7F_ARLbruCvh227KC_Nva3o4mY?e=bUXkzS" TargetMode="External"/><Relationship Id="rId153" Type="http://schemas.openxmlformats.org/officeDocument/2006/relationships/hyperlink" Target="https://agenciadeaduanapirazzoli-my.sharepoint.com/:b:/g/personal/mmorales_pirazzoli_cl/IQBjHL25PgDVQ5M0Gc-8GAJeAe7k_1KMMLdQAH0hOrMX0IU?e=rS2fpr" TargetMode="External"/><Relationship Id="rId174" Type="http://schemas.openxmlformats.org/officeDocument/2006/relationships/hyperlink" Target="https://agenciadeaduanapirazzoli-my.sharepoint.com/:b:/g/personal/mmorales_pirazzoli_cl/IQAuP4ZLL09pQZpbzFd-P9tMAVGwqzbs-g6BLFBYNPir4t8?e=d06jDx" TargetMode="External"/><Relationship Id="rId195" Type="http://schemas.openxmlformats.org/officeDocument/2006/relationships/hyperlink" Target="https://agenciadeaduanapirazzoli-my.sharepoint.com/:b:/g/personal/mmorales_pirazzoli_cl/IQBXPCS-tsofTqgx6f2jCjycAa-WdnzkRfr34miX5dlc1_E?e=gpm5ww" TargetMode="External"/><Relationship Id="rId209" Type="http://schemas.openxmlformats.org/officeDocument/2006/relationships/hyperlink" Target="https://agenciadeaduanapirazzoli-my.sharepoint.com/:b:/g/personal/mmorales_pirazzoli_cl/IQC6A1Nm3cSzT6VMck5YCGcZAf5Tw9mTGxhssrFiNy88rlE?e=v6evaA" TargetMode="External"/><Relationship Id="rId220" Type="http://schemas.openxmlformats.org/officeDocument/2006/relationships/hyperlink" Target="https://agenciadeaduanapirazzoli-my.sharepoint.com/:b:/g/personal/mmorales_pirazzoli_cl/IQA8nG4CTCCHSZbBl915ijVYAetTBRYj2HOcYRxY0LbjsLw?e=4AMbqG" TargetMode="External"/><Relationship Id="rId241" Type="http://schemas.openxmlformats.org/officeDocument/2006/relationships/hyperlink" Target="https://agenciadeaduanapirazzoli-my.sharepoint.com/:b:/g/personal/mmorales_pirazzoli_cl/IQDOpMU_rJA9TaMnSo85qNm0AUMUKjkVFjr4nOmqSscka7I?e=61pctW" TargetMode="External"/><Relationship Id="rId15" Type="http://schemas.openxmlformats.org/officeDocument/2006/relationships/hyperlink" Target="https://agenciadeaduanapirazzoli-my.sharepoint.com/:b:/g/personal/mmorales_pirazzoli_cl/IQBOAoPR8PGBRIsFV_RTwQhkATGK4RpCiGi9ovLiasPvyZc?e=ymx8Us" TargetMode="External"/><Relationship Id="rId36" Type="http://schemas.openxmlformats.org/officeDocument/2006/relationships/hyperlink" Target="https://agenciadeaduanapirazzoli-my.sharepoint.com/:b:/g/personal/mmorales_pirazzoli_cl/IQDn3BPEmk9YRpC4yr4jIKgRAWSUMQLNAOninLZUmmLnFgo?e=B8ww9z" TargetMode="External"/><Relationship Id="rId57" Type="http://schemas.openxmlformats.org/officeDocument/2006/relationships/hyperlink" Target="https://agenciadeaduanapirazzoli-my.sharepoint.com/:b:/g/personal/mmorales_pirazzoli_cl/IQDNTsmEIyjiRKzal7Df7UlEAZGR9JEi8UCQ0KvZs0vwt44?e=TOXcJ2" TargetMode="External"/><Relationship Id="rId262" Type="http://schemas.openxmlformats.org/officeDocument/2006/relationships/hyperlink" Target="https://agenciadeaduanapirazzoli-my.sharepoint.com/:b:/g/personal/mmorales_pirazzoli_cl/IQDdDddV4UvkRK-ZTsdAktr_AbdsRTEAKhSKjEjFdqEZwu8?e=RXG7Vl" TargetMode="External"/><Relationship Id="rId283" Type="http://schemas.openxmlformats.org/officeDocument/2006/relationships/hyperlink" Target="https://agenciadeaduanapirazzoli-my.sharepoint.com/:b:/g/personal/mmorales_pirazzoli_cl/IQDZ6fhaPtChT6jUGbkIvp0ZAdtzsKmABDfwenNLox531JA?e=gmFBLr" TargetMode="External"/><Relationship Id="rId78" Type="http://schemas.openxmlformats.org/officeDocument/2006/relationships/hyperlink" Target="https://agenciadeaduanapirazzoli-my.sharepoint.com/:b:/g/personal/mmorales_pirazzoli_cl/IQA1JfsTVYjwRb63aTujmF6NARjPqC0_9T03RbUtkNMhcYc?e=kQQct3" TargetMode="External"/><Relationship Id="rId99" Type="http://schemas.openxmlformats.org/officeDocument/2006/relationships/hyperlink" Target="https://agenciadeaduanapirazzoli-my.sharepoint.com/:b:/g/personal/mmorales_pirazzoli_cl/IQAXz3XKsG5iSIKRD40iASqDARTeiyuWzCstIxzHWd5nW9k?e=8S2vVv" TargetMode="External"/><Relationship Id="rId101" Type="http://schemas.openxmlformats.org/officeDocument/2006/relationships/hyperlink" Target="https://agenciadeaduanapirazzoli-my.sharepoint.com/:b:/g/personal/mmorales_pirazzoli_cl/IQC1Skpc8LduT6wCLjsbf1gGAaAzGiRVFGlkSiJC-wEeRAI?e=GqBNZh" TargetMode="External"/><Relationship Id="rId122" Type="http://schemas.openxmlformats.org/officeDocument/2006/relationships/hyperlink" Target="https://agenciadeaduanapirazzoli-my.sharepoint.com/:b:/g/personal/mmorales_pirazzoli_cl/IQAo1krnZ9r8T50b61DBtEWTAYqg48aCt7zPnXFZN8IefAs?e=emui7D" TargetMode="External"/><Relationship Id="rId143" Type="http://schemas.openxmlformats.org/officeDocument/2006/relationships/hyperlink" Target="https://agenciadeaduanapirazzoli-my.sharepoint.com/:b:/g/personal/mmorales_pirazzoli_cl/IQB7fzR1wMRASKVEtDNFX10OAdgAFmvP0RWTzZ9_BcetTUE?e=yYQ5Oh" TargetMode="External"/><Relationship Id="rId164" Type="http://schemas.openxmlformats.org/officeDocument/2006/relationships/hyperlink" Target="https://agenciadeaduanapirazzoli-my.sharepoint.com/:b:/g/personal/mmorales_pirazzoli_cl/IQCtRTuruQYvSq3X1px_9jf8AeBv80e8cUhRc8xuz07e-X4?e=GM1rnw" TargetMode="External"/><Relationship Id="rId185" Type="http://schemas.openxmlformats.org/officeDocument/2006/relationships/hyperlink" Target="https://agenciadeaduanapirazzoli-my.sharepoint.com/:b:/g/personal/mmorales_pirazzoli_cl/IQBeGwSk0oEGSak_fC4WlFiYAfnR7o5YLLOe6DmWH-euMp8?e=Atzr5V" TargetMode="External"/><Relationship Id="rId9" Type="http://schemas.openxmlformats.org/officeDocument/2006/relationships/hyperlink" Target="https://agenciadeaduanapirazzoli-my.sharepoint.com/:b:/g/personal/mmorales_pirazzoli_cl/IQDDLfg9K-FQT52QjcZ8767fAe1BMvStntZcZhJOOg92eLs?e=p9byaL" TargetMode="External"/><Relationship Id="rId210" Type="http://schemas.openxmlformats.org/officeDocument/2006/relationships/hyperlink" Target="https://agenciadeaduanapirazzoli-my.sharepoint.com/:b:/g/personal/mmorales_pirazzoli_cl/IQDeVfFsnVSAR6MSvHmHH0uOAQ5sQ4mnBGPkVGLC-yJokn0?e=hD8s6k" TargetMode="External"/><Relationship Id="rId26" Type="http://schemas.openxmlformats.org/officeDocument/2006/relationships/hyperlink" Target="https://agenciadeaduanapirazzoli-my.sharepoint.com/:b:/g/personal/mmorales_pirazzoli_cl/IQBEKHnrG_2fQac2M_iLKpkWAXzVURSGqG9B20j1Iqnf3f0?e=Bp06uS" TargetMode="External"/><Relationship Id="rId231" Type="http://schemas.openxmlformats.org/officeDocument/2006/relationships/hyperlink" Target="https://agenciadeaduanapirazzoli-my.sharepoint.com/:b:/g/personal/mmorales_pirazzoli_cl/IQDJxEiSQR3AT45Npy9ag2gIAU8HGmb71MdRMTvZudVEEQg?e=2v27B3" TargetMode="External"/><Relationship Id="rId252" Type="http://schemas.openxmlformats.org/officeDocument/2006/relationships/hyperlink" Target="https://agenciadeaduanapirazzoli-my.sharepoint.com/:b:/g/personal/mmorales_pirazzoli_cl/IQAlFr1Q_MIVSYNz4R3ih7YSAcAdnaIEmBol3EhgkrU44Lk?e=WbB9pn" TargetMode="External"/><Relationship Id="rId273" Type="http://schemas.openxmlformats.org/officeDocument/2006/relationships/hyperlink" Target="https://agenciadeaduanapirazzoli-my.sharepoint.com/:b:/g/personal/mmorales_pirazzoli_cl/IQA-qyfeEhfeRpUdg-GRXTl6AaSwNkI-zfzMq4KXt5zHuqI?e=zesNLy" TargetMode="External"/><Relationship Id="rId294" Type="http://schemas.openxmlformats.org/officeDocument/2006/relationships/hyperlink" Target="https://agenciadeaduanapirazzoli-my.sharepoint.com/:b:/g/personal/mmorales_pirazzoli_cl/IQCA1gkWAj45TJancHzOlRVPATue5J5hckxEgn29nDUhtxc?e=43XML4" TargetMode="External"/><Relationship Id="rId308" Type="http://schemas.openxmlformats.org/officeDocument/2006/relationships/hyperlink" Target="https://agenciadeaduanapirazzoli-my.sharepoint.com/:b:/g/personal/mmorales_pirazzoli_cl/IQBWj8DLWfSrR5Botew-hPVRAehap7sRqkcWrQBBiWwBNy0?e=miShm0" TargetMode="External"/><Relationship Id="rId47" Type="http://schemas.openxmlformats.org/officeDocument/2006/relationships/hyperlink" Target="https://agenciadeaduanapirazzoli-my.sharepoint.com/:b:/g/personal/mmorales_pirazzoli_cl/IQBvovQ-m10VTJIb0GtUznD0AdxbIjKGwjd29P0N0-bS6bQ?e=zc35of" TargetMode="External"/><Relationship Id="rId68" Type="http://schemas.openxmlformats.org/officeDocument/2006/relationships/hyperlink" Target="https://agenciadeaduanapirazzoli-my.sharepoint.com/:b:/g/personal/mmorales_pirazzoli_cl/IQA3gUuhxD9TTagwMjOwO-hQAQtXWnQ9t7pbTYlPpek8aGA?e=aehA4f" TargetMode="External"/><Relationship Id="rId89" Type="http://schemas.openxmlformats.org/officeDocument/2006/relationships/hyperlink" Target="https://agenciadeaduanapirazzoli-my.sharepoint.com/:b:/g/personal/mmorales_pirazzoli_cl/IQDRMOYW0HITQKLrII_PQ2gsAYB23l34Z4a4b-1DZsWIc8Y?e=fFakNY" TargetMode="External"/><Relationship Id="rId112" Type="http://schemas.openxmlformats.org/officeDocument/2006/relationships/hyperlink" Target="https://agenciadeaduanapirazzoli-my.sharepoint.com/:b:/g/personal/mmorales_pirazzoli_cl/IQAs3PDp2l0FRqGDPPmxmFwWAbrAK1d6yIM8xJpJ_tVdR8c?e=e99tO2" TargetMode="External"/><Relationship Id="rId133" Type="http://schemas.openxmlformats.org/officeDocument/2006/relationships/hyperlink" Target="https://agenciadeaduanapirazzoli-my.sharepoint.com/:b:/g/personal/mmorales_pirazzoli_cl/IQDIKuflQBkmQqIjWdffRntWAVD0hDymz9cBDhGR0hBRpKg?e=dYlw21" TargetMode="External"/><Relationship Id="rId154" Type="http://schemas.openxmlformats.org/officeDocument/2006/relationships/hyperlink" Target="https://agenciadeaduanapirazzoli-my.sharepoint.com/:b:/g/personal/mmorales_pirazzoli_cl/IQBPiykML_YYTboan2sj_zULAcAWWZUC4GJFeZs_N0O9WoQ?e=Axsfxi" TargetMode="External"/><Relationship Id="rId175" Type="http://schemas.openxmlformats.org/officeDocument/2006/relationships/hyperlink" Target="https://agenciadeaduanapirazzoli-my.sharepoint.com/:b:/g/personal/mmorales_pirazzoli_cl/IQDXeUyT6lJOQpyoVcYEN231ATMgh_Ea7sDC37Ryx0PMEvU?e=3v4NIH" TargetMode="External"/><Relationship Id="rId196" Type="http://schemas.openxmlformats.org/officeDocument/2006/relationships/hyperlink" Target="https://agenciadeaduanapirazzoli-my.sharepoint.com/:b:/g/personal/mmorales_pirazzoli_cl/IQCcJmYd_byWRIG2OUnE1ylSATS8JVzjpnRr-_5FDKm7n30?e=exBNaV" TargetMode="External"/><Relationship Id="rId200" Type="http://schemas.openxmlformats.org/officeDocument/2006/relationships/hyperlink" Target="https://agenciadeaduanapirazzoli-my.sharepoint.com/:b:/g/personal/mmorales_pirazzoli_cl/IQDb21PAob2eRrGVmm85GuRxASfE0g8EqeAyc8-Br9ZWxKU?e=ISf0te" TargetMode="External"/><Relationship Id="rId16" Type="http://schemas.openxmlformats.org/officeDocument/2006/relationships/hyperlink" Target="https://agenciadeaduanapirazzoli-my.sharepoint.com/:b:/g/personal/mmorales_pirazzoli_cl/IQAKCfRnWwi3Sbgudi5kwuEnAQQyPTWnWPgZlQecb5jfblM?e=Hx6OM0" TargetMode="External"/><Relationship Id="rId221" Type="http://schemas.openxmlformats.org/officeDocument/2006/relationships/hyperlink" Target="https://agenciadeaduanapirazzoli-my.sharepoint.com/:b:/g/personal/mmorales_pirazzoli_cl/IQCXfu60WTYySIGii3QTQbNdAYxL_qC3rTwdgAyQQincy7I?e=0df6HS" TargetMode="External"/><Relationship Id="rId242" Type="http://schemas.openxmlformats.org/officeDocument/2006/relationships/hyperlink" Target="https://agenciadeaduanapirazzoli-my.sharepoint.com/:b:/g/personal/mmorales_pirazzoli_cl/IQCBHesKUY8JR49JOKwM3izUAYZTIF_aBJ_qDVO3hUFPi6s?e=RkLG65" TargetMode="External"/><Relationship Id="rId263" Type="http://schemas.openxmlformats.org/officeDocument/2006/relationships/hyperlink" Target="https://agenciadeaduanapirazzoli-my.sharepoint.com/:b:/g/personal/mmorales_pirazzoli_cl/IQDrHvypRBuhR6puTB238YNdAb4sy8CniQt4vd_IoDxBFkc?e=AthoAh" TargetMode="External"/><Relationship Id="rId284" Type="http://schemas.openxmlformats.org/officeDocument/2006/relationships/hyperlink" Target="https://agenciadeaduanapirazzoli-my.sharepoint.com/:b:/g/personal/mmorales_pirazzoli_cl/IQDWqTrTRG3QT7m2Y32EAZjDAaqsEaS2_MyTcsun6OrBlFs?e=toWLUV" TargetMode="External"/><Relationship Id="rId37" Type="http://schemas.openxmlformats.org/officeDocument/2006/relationships/hyperlink" Target="https://agenciadeaduanapirazzoli-my.sharepoint.com/:b:/g/personal/mmorales_pirazzoli_cl/IQCibAiHhGwITImJLJrts1ftAWKAqvYY1PMpYLg2-DYRfos?e=8NmIBI" TargetMode="External"/><Relationship Id="rId58" Type="http://schemas.openxmlformats.org/officeDocument/2006/relationships/hyperlink" Target="https://agenciadeaduanapirazzoli-my.sharepoint.com/:b:/g/personal/mmorales_pirazzoli_cl/IQC0ylkroZS_TLcKaB6Z05iOARpeLuoE3VSMfnbIfoxB-Pw?e=Gw1CKf" TargetMode="External"/><Relationship Id="rId79" Type="http://schemas.openxmlformats.org/officeDocument/2006/relationships/hyperlink" Target="https://agenciadeaduanapirazzoli-my.sharepoint.com/:b:/g/personal/mmorales_pirazzoli_cl/IQBHlisPm45GT5DAE5pRnRyNAUfIOWdQOxCdL-jJUjGRPA0?e=M5pUH6" TargetMode="External"/><Relationship Id="rId102" Type="http://schemas.openxmlformats.org/officeDocument/2006/relationships/hyperlink" Target="https://agenciadeaduanapirazzoli-my.sharepoint.com/:b:/g/personal/mmorales_pirazzoli_cl/IQAl6bl51L6sTbx5rMP9zmUwAfSnnhF9aqozX4Z3pEUkA6s?e=PAzbno" TargetMode="External"/><Relationship Id="rId123" Type="http://schemas.openxmlformats.org/officeDocument/2006/relationships/hyperlink" Target="https://agenciadeaduanapirazzoli-my.sharepoint.com/:b:/g/personal/mmorales_pirazzoli_cl/IQA6IKUbVFL3S45K3vM8_2RSAToMUVKsJshUefNDHCvaRVc?e=aSBjt6" TargetMode="External"/><Relationship Id="rId144" Type="http://schemas.openxmlformats.org/officeDocument/2006/relationships/hyperlink" Target="https://agenciadeaduanapirazzoli-my.sharepoint.com/:b:/g/personal/mmorales_pirazzoli_cl/IQBLt0Ep8kSDTYOp8_IBclt9AQ7G2QyzHcnAGEEVUlbc--w?e=KPNzEQ" TargetMode="External"/><Relationship Id="rId90" Type="http://schemas.openxmlformats.org/officeDocument/2006/relationships/hyperlink" Target="https://agenciadeaduanapirazzoli-my.sharepoint.com/:b:/g/personal/mmorales_pirazzoli_cl/IQD-Hh-6taqsS6OnB447GaF-AdMOsslilT01DoKN0qCpN88?e=lnvz05" TargetMode="External"/><Relationship Id="rId165" Type="http://schemas.openxmlformats.org/officeDocument/2006/relationships/hyperlink" Target="https://agenciadeaduanapirazzoli-my.sharepoint.com/:b:/g/personal/mmorales_pirazzoli_cl/IQDF9kUmorGiQpiCsfZOAxn8AZ61gVugBLkeI7AO7HZ3VvA?e=r0XujE" TargetMode="External"/><Relationship Id="rId186" Type="http://schemas.openxmlformats.org/officeDocument/2006/relationships/hyperlink" Target="https://agenciadeaduanapirazzoli-my.sharepoint.com/:b:/g/personal/mmorales_pirazzoli_cl/IQBAGdnFE4j-QoqPzJt1ICssAfTAiZ46V-CpncBppzHcfsE?e=dHx98y" TargetMode="External"/><Relationship Id="rId211" Type="http://schemas.openxmlformats.org/officeDocument/2006/relationships/hyperlink" Target="https://agenciadeaduanapirazzoli-my.sharepoint.com/:b:/g/personal/mmorales_pirazzoli_cl/IQDlIGsidbehRat--wJT3lCEAceZi3jv2YgmlfC1x9VUqJs?e=26Bqc3" TargetMode="External"/><Relationship Id="rId232" Type="http://schemas.openxmlformats.org/officeDocument/2006/relationships/hyperlink" Target="https://agenciadeaduanapirazzoli-my.sharepoint.com/:b:/g/personal/mmorales_pirazzoli_cl/IQBk76T_V5GEQKozneGVw2IHAcUhRMsGiAU6gR6CLHCEnPM?e=2V3PaW" TargetMode="External"/><Relationship Id="rId253" Type="http://schemas.openxmlformats.org/officeDocument/2006/relationships/hyperlink" Target="https://agenciadeaduanapirazzoli-my.sharepoint.com/:b:/g/personal/mmorales_pirazzoli_cl/IQAN-4VPXKdpRpur_7Kwd_D5AeW4yuu36mXe2BKKK08lMYo?e=H8bw6Z" TargetMode="External"/><Relationship Id="rId274" Type="http://schemas.openxmlformats.org/officeDocument/2006/relationships/hyperlink" Target="https://agenciadeaduanapirazzoli-my.sharepoint.com/:b:/g/personal/mmorales_pirazzoli_cl/IQAqTCfMNDhISJP_BqedsuS0AWhoRP4AXCd_7wDMzRr1Hpg?e=LsakCv" TargetMode="External"/><Relationship Id="rId295" Type="http://schemas.openxmlformats.org/officeDocument/2006/relationships/hyperlink" Target="https://agenciadeaduanapirazzoli-my.sharepoint.com/:b:/g/personal/mmorales_pirazzoli_cl/IQAH_oc2gJHWSIKDFDiNV86fAQ-2JPdm6wUlsfHXTNe6QAQ?e=iL5KHT" TargetMode="External"/><Relationship Id="rId309" Type="http://schemas.openxmlformats.org/officeDocument/2006/relationships/hyperlink" Target="https://agenciadeaduanapirazzoli-my.sharepoint.com/:b:/g/personal/mmorales_pirazzoli_cl/IQDadcQbvyCcSr3g0YlV7IvDAYWzD2_cl3wMeiK1jdlBeRA?e=dvf6At" TargetMode="External"/><Relationship Id="rId27" Type="http://schemas.openxmlformats.org/officeDocument/2006/relationships/hyperlink" Target="https://agenciadeaduanapirazzoli-my.sharepoint.com/:b:/g/personal/mmorales_pirazzoli_cl/IQBKQQie-YHxRL69eCnIB1irAUA6aOR7K1K1mby1feDdtGk?e=UU0YoM" TargetMode="External"/><Relationship Id="rId48" Type="http://schemas.openxmlformats.org/officeDocument/2006/relationships/hyperlink" Target="https://agenciadeaduanapirazzoli-my.sharepoint.com/:b:/g/personal/mmorales_pirazzoli_cl/IQD9vICWpqWcQZhyDXf8mtMVAf5lKEKyuse19d7hbc89rRA?e=h7sJcp" TargetMode="External"/><Relationship Id="rId69" Type="http://schemas.openxmlformats.org/officeDocument/2006/relationships/hyperlink" Target="https://agenciadeaduanapirazzoli-my.sharepoint.com/:b:/g/personal/mmorales_pirazzoli_cl/IQApFZyLTXHgQYRUYhzf4F9cARPQxR7YYBWyQEYNL7Ijjdw?e=0IVebK" TargetMode="External"/><Relationship Id="rId113" Type="http://schemas.openxmlformats.org/officeDocument/2006/relationships/hyperlink" Target="https://agenciadeaduanapirazzoli-my.sharepoint.com/:b:/g/personal/mmorales_pirazzoli_cl/IQCZt6U6rzNWRbwodCpTM_-YARO_20VdJBkw6M6iEPNiero?e=L5qqfl" TargetMode="External"/><Relationship Id="rId134" Type="http://schemas.openxmlformats.org/officeDocument/2006/relationships/hyperlink" Target="https://agenciadeaduanapirazzoli-my.sharepoint.com/:b:/g/personal/mmorales_pirazzoli_cl/IQAs28B-U2PqQqZbaRGh6FwxAdPKPmCl1XdubfyW7rJoAZQ?e=0B9gN9" TargetMode="External"/><Relationship Id="rId80" Type="http://schemas.openxmlformats.org/officeDocument/2006/relationships/hyperlink" Target="https://agenciadeaduanapirazzoli-my.sharepoint.com/:b:/g/personal/mmorales_pirazzoli_cl/IQD21eJscsCDSqwrz6wSGnpEAS7WNe-0irW97a3QDQr3c88?e=PcjFC1" TargetMode="External"/><Relationship Id="rId155" Type="http://schemas.openxmlformats.org/officeDocument/2006/relationships/hyperlink" Target="https://agenciadeaduanapirazzoli-my.sharepoint.com/:b:/g/personal/mmorales_pirazzoli_cl/IQDj_egqr9dSQrY19fMfrgNxAdPAg6DQuoAnbapRj3v8fwM?e=7C0UZg" TargetMode="External"/><Relationship Id="rId176" Type="http://schemas.openxmlformats.org/officeDocument/2006/relationships/hyperlink" Target="https://agenciadeaduanapirazzoli-my.sharepoint.com/:b:/g/personal/mmorales_pirazzoli_cl/IQD1K5t3GbpESr01iTB-BE8gAcQ1TrYdL46giujc3rk_aBs?e=Mu2gsG" TargetMode="External"/><Relationship Id="rId197" Type="http://schemas.openxmlformats.org/officeDocument/2006/relationships/hyperlink" Target="https://agenciadeaduanapirazzoli-my.sharepoint.com/:b:/g/personal/mmorales_pirazzoli_cl/IQDAAf0P1SiORo-5FfD-wdaoARe0sX4-jtLBuKb74__GzTg?e=RMX656" TargetMode="External"/><Relationship Id="rId201" Type="http://schemas.openxmlformats.org/officeDocument/2006/relationships/hyperlink" Target="https://agenciadeaduanapirazzoli-my.sharepoint.com/:b:/g/personal/mmorales_pirazzoli_cl/IQB7KIfmf4EpR4GgQI6ClonDAQWKgNa2GPbvjWwUhZN0FHc?e=04aytV" TargetMode="External"/><Relationship Id="rId222" Type="http://schemas.openxmlformats.org/officeDocument/2006/relationships/hyperlink" Target="https://agenciadeaduanapirazzoli-my.sharepoint.com/:b:/g/personal/mmorales_pirazzoli_cl/IQASW9MDiz39QoVRv2Z9OeEDAQOhU3H9zSBeT_lFRl5NMiw?e=iYkgJ5" TargetMode="External"/><Relationship Id="rId243" Type="http://schemas.openxmlformats.org/officeDocument/2006/relationships/hyperlink" Target="https://agenciadeaduanapirazzoli-my.sharepoint.com/:b:/g/personal/mmorales_pirazzoli_cl/IQB8lwaEFT15Sah7DBLdE1K8AaVemr_hgsNQtrmp4s2-SKU?e=GUBrsx" TargetMode="External"/><Relationship Id="rId264" Type="http://schemas.openxmlformats.org/officeDocument/2006/relationships/hyperlink" Target="https://agenciadeaduanapirazzoli-my.sharepoint.com/:b:/g/personal/mmorales_pirazzoli_cl/IQDlSq1wwvc0R6-Ug3iT1i-bAcCreSV2ed3hDCb0ytzIkLg?e=MSPc0E" TargetMode="External"/><Relationship Id="rId285" Type="http://schemas.openxmlformats.org/officeDocument/2006/relationships/hyperlink" Target="https://agenciadeaduanapirazzoli-my.sharepoint.com/:b:/g/personal/mmorales_pirazzoli_cl/IQBbD-Ckvr9XR4xy7vyY6kYUATXE76RQGDu6GfLfjlVhrUQ?e=8skUer" TargetMode="External"/><Relationship Id="rId17" Type="http://schemas.openxmlformats.org/officeDocument/2006/relationships/hyperlink" Target="https://agenciadeaduanapirazzoli-my.sharepoint.com/:b:/g/personal/mmorales_pirazzoli_cl/IQBhlDh4GuiRRb2g9rVqkLXjARULUCaVIox-HjZdQQMKgug?e=1UBQgd" TargetMode="External"/><Relationship Id="rId38" Type="http://schemas.openxmlformats.org/officeDocument/2006/relationships/hyperlink" Target="https://agenciadeaduanapirazzoli-my.sharepoint.com/:b:/g/personal/mmorales_pirazzoli_cl/IQCMjdstmH4MTZJ2rWc54ItLAY-66Lu8dJq2F699LStzG-w?e=YeN2o4" TargetMode="External"/><Relationship Id="rId59" Type="http://schemas.openxmlformats.org/officeDocument/2006/relationships/hyperlink" Target="https://agenciadeaduanapirazzoli-my.sharepoint.com/:b:/g/personal/mmorales_pirazzoli_cl/IQAdyNfDtdpDQLd2da4RLkXkAfpZb4iqp3i8VkSLDnirf2g?e=LuP2da" TargetMode="External"/><Relationship Id="rId103" Type="http://schemas.openxmlformats.org/officeDocument/2006/relationships/hyperlink" Target="https://agenciadeaduanapirazzoli-my.sharepoint.com/:b:/g/personal/mmorales_pirazzoli_cl/IQBAR_1QWphRR4vBnGDKa5SiAdpf73ZbjpnHobDFGQ3r96c?e=FAtaUL" TargetMode="External"/><Relationship Id="rId124" Type="http://schemas.openxmlformats.org/officeDocument/2006/relationships/hyperlink" Target="https://agenciadeaduanapirazzoli-my.sharepoint.com/:b:/g/personal/mmorales_pirazzoli_cl/IQA7eOFFlM7FS7OIIU6hteeRAfYpe33Qdk_mUxqMAqQHfxU?e=KydGYO" TargetMode="External"/><Relationship Id="rId310" Type="http://schemas.openxmlformats.org/officeDocument/2006/relationships/hyperlink" Target="https://agenciadeaduanapirazzoli-my.sharepoint.com/:b:/g/personal/mmorales_pirazzoli_cl/IQCQ5Ez4zkZJSbqmyfPxyULbAc7f01b9JZuNs2qJwEN4XXU?e=iaU65C" TargetMode="External"/><Relationship Id="rId70" Type="http://schemas.openxmlformats.org/officeDocument/2006/relationships/hyperlink" Target="https://agenciadeaduanapirazzoli-my.sharepoint.com/:b:/g/personal/mmorales_pirazzoli_cl/IQAT2ZP-yGD0RKrWli4OsL9-AfY3Sq-xN51pp4w2Ve6qNnw?e=Zhg9hk" TargetMode="External"/><Relationship Id="rId91" Type="http://schemas.openxmlformats.org/officeDocument/2006/relationships/hyperlink" Target="https://agenciadeaduanapirazzoli-my.sharepoint.com/:b:/g/personal/mmorales_pirazzoli_cl/IQDVzzgeW6hjSoxbs8nxjJrtARARVCoCPmNYEo-Py9u25WA?e=88VZ7q" TargetMode="External"/><Relationship Id="rId145" Type="http://schemas.openxmlformats.org/officeDocument/2006/relationships/hyperlink" Target="https://agenciadeaduanapirazzoli-my.sharepoint.com/:b:/g/personal/mmorales_pirazzoli_cl/IQBXRUX4ETouQ6Bbl6RC9E3hAcdXlOV0kK4dWxyMk0p3PmU?e=EpuGz1" TargetMode="External"/><Relationship Id="rId166" Type="http://schemas.openxmlformats.org/officeDocument/2006/relationships/hyperlink" Target="https://agenciadeaduanapirazzoli-my.sharepoint.com/:b:/g/personal/mmorales_pirazzoli_cl/IQANvdpx1WiZT6pFjUSpH5VVAdkn23f_i_tDJXesw5bmbqE?e=feopvL" TargetMode="External"/><Relationship Id="rId187" Type="http://schemas.openxmlformats.org/officeDocument/2006/relationships/hyperlink" Target="https://agenciadeaduanapirazzoli-my.sharepoint.com/:b:/g/personal/mmorales_pirazzoli_cl/IQAitgsQFRV1Q4sDJ-eMjtdkAVcZ8jOT41zVaavjnuxwyT8?e=L7HA8T" TargetMode="External"/><Relationship Id="rId1" Type="http://schemas.openxmlformats.org/officeDocument/2006/relationships/hyperlink" Target="https://agenciadeaduanapirazzoli-my.sharepoint.com/:b:/g/personal/mmorales_pirazzoli_cl/IQCjD5Fo0r_MSp93WmcQUi8UAdymkRxuOWnq-yO9wthSpoo?e=UMOfnR" TargetMode="External"/><Relationship Id="rId212" Type="http://schemas.openxmlformats.org/officeDocument/2006/relationships/hyperlink" Target="https://agenciadeaduanapirazzoli-my.sharepoint.com/:b:/g/personal/mmorales_pirazzoli_cl/IQD0mUGlVe-bTYbhldXWsXQgAX1Q8wH1jctx8GUIBrYwN-8?e=7O6a97" TargetMode="External"/><Relationship Id="rId233" Type="http://schemas.openxmlformats.org/officeDocument/2006/relationships/hyperlink" Target="https://agenciadeaduanapirazzoli-my.sharepoint.com/:b:/g/personal/mmorales_pirazzoli_cl/IQDbGpPbVPUhTb0JEf6iBMnrAXuU0nJm_eP-YV0rIokNCn4?e=SN9AdM" TargetMode="External"/><Relationship Id="rId254" Type="http://schemas.openxmlformats.org/officeDocument/2006/relationships/hyperlink" Target="https://agenciadeaduanapirazzoli-my.sharepoint.com/:b:/g/personal/mmorales_pirazzoli_cl/IQBObMmpjmGNRIpt7g8Rqhc0AQc_9Ci2fbyxpOxD5GJ4W5E?e=LmLODj" TargetMode="External"/><Relationship Id="rId28" Type="http://schemas.openxmlformats.org/officeDocument/2006/relationships/hyperlink" Target="https://agenciadeaduanapirazzoli-my.sharepoint.com/:b:/g/personal/mmorales_pirazzoli_cl/IQDQH9WOoWScSaMaOeCnAx2JATv4ntrS6ovfC1BRuQJ5eak?e=jPXhbm" TargetMode="External"/><Relationship Id="rId49" Type="http://schemas.openxmlformats.org/officeDocument/2006/relationships/hyperlink" Target="https://agenciadeaduanapirazzoli-my.sharepoint.com/:b:/g/personal/mmorales_pirazzoli_cl/IQD3g00LiPoGTZRGyXwdPtcJAbHGMJQL_9TQkYx-U3BZlFw?e=G5bZHl" TargetMode="External"/><Relationship Id="rId114" Type="http://schemas.openxmlformats.org/officeDocument/2006/relationships/hyperlink" Target="https://agenciadeaduanapirazzoli-my.sharepoint.com/:b:/g/personal/mmorales_pirazzoli_cl/IQDaJ912prg7SI7bmxvo7EBOAYrJ7AOKfUyhmGE56V4-uZY?e=GkoctA" TargetMode="External"/><Relationship Id="rId275" Type="http://schemas.openxmlformats.org/officeDocument/2006/relationships/hyperlink" Target="https://agenciadeaduanapirazzoli-my.sharepoint.com/:b:/g/personal/mmorales_pirazzoli_cl/IQD0eT8pNEUGT5WiEGIRwdsmARY5LsSxrLNPw9vSYkCp7qM?e=Hb0y25" TargetMode="External"/><Relationship Id="rId296" Type="http://schemas.openxmlformats.org/officeDocument/2006/relationships/hyperlink" Target="https://agenciadeaduanapirazzoli-my.sharepoint.com/:b:/g/personal/mmorales_pirazzoli_cl/IQBnbI-L2WHgSY-GkotWnipRAbEwDeSvGEiwVQ3m4UEgY1I?e=S9p1Jr" TargetMode="External"/><Relationship Id="rId300" Type="http://schemas.openxmlformats.org/officeDocument/2006/relationships/hyperlink" Target="https://agenciadeaduanapirazzoli-my.sharepoint.com/:b:/g/personal/mmorales_pirazzoli_cl/IQAXwnPNWcZrT71jAs6VDFveAS2qYJhn684EzUmoU8LmB_U?e=dhZTft" TargetMode="External"/><Relationship Id="rId60" Type="http://schemas.openxmlformats.org/officeDocument/2006/relationships/hyperlink" Target="https://agenciadeaduanapirazzoli-my.sharepoint.com/:b:/g/personal/mmorales_pirazzoli_cl/IQBP9aFJPZr8Qq4rRa8q3dY_AeuDBf0rW3HWKnVAQBdoObc?e=BowA2X" TargetMode="External"/><Relationship Id="rId81" Type="http://schemas.openxmlformats.org/officeDocument/2006/relationships/hyperlink" Target="https://agenciadeaduanapirazzoli-my.sharepoint.com/:b:/g/personal/mmorales_pirazzoli_cl/IQDmm5pYRsu1QKHtsQL0_8n_ATudut-Ou6lvvqEzucUrQe4?e=o7ZW2Y" TargetMode="External"/><Relationship Id="rId135" Type="http://schemas.openxmlformats.org/officeDocument/2006/relationships/hyperlink" Target="https://agenciadeaduanapirazzoli-my.sharepoint.com/:b:/g/personal/mmorales_pirazzoli_cl/IQBV7t1YxGESSbizUFS7Z7F_ARLbruCvh227KC_Nva3o4mY?e=bUXkzS" TargetMode="External"/><Relationship Id="rId156" Type="http://schemas.openxmlformats.org/officeDocument/2006/relationships/hyperlink" Target="https://agenciadeaduanapirazzoli-my.sharepoint.com/:b:/g/personal/mmorales_pirazzoli_cl/IQDvhALSMJl5T4dc6PK0FNY0AUk_kdra-icYqtFAd7xDfiU?e=EVe5PF" TargetMode="External"/><Relationship Id="rId177" Type="http://schemas.openxmlformats.org/officeDocument/2006/relationships/hyperlink" Target="https://agenciadeaduanapirazzoli-my.sharepoint.com/:b:/g/personal/mmorales_pirazzoli_cl/IQC3wDgsBzx-QqbgZzh7dZvnAewpdqUwrFERHqHjHyND694?e=QsLTpR" TargetMode="External"/><Relationship Id="rId198" Type="http://schemas.openxmlformats.org/officeDocument/2006/relationships/hyperlink" Target="https://agenciadeaduanapirazzoli-my.sharepoint.com/:b:/g/personal/mmorales_pirazzoli_cl/IQA-R0APwOZSSpqA0WaGn7dGAbkYZJcXmEVQbH42_K1Zvww?e=h648XU" TargetMode="External"/><Relationship Id="rId202" Type="http://schemas.openxmlformats.org/officeDocument/2006/relationships/hyperlink" Target="https://agenciadeaduanapirazzoli-my.sharepoint.com/:b:/g/personal/mmorales_pirazzoli_cl/IQCH9DZ6i66fT6CT6FIJCj_TAZKn8P5usUFbPyqD87-NaaM?e=O4lhUC" TargetMode="External"/><Relationship Id="rId223" Type="http://schemas.openxmlformats.org/officeDocument/2006/relationships/hyperlink" Target="https://agenciadeaduanapirazzoli-my.sharepoint.com/:b:/g/personal/mmorales_pirazzoli_cl/IQA__XDQzHwHQKWrR3rG9dPlASECPOGfFyMZ_WXdnJ6jq64?e=ipvbrM" TargetMode="External"/><Relationship Id="rId244" Type="http://schemas.openxmlformats.org/officeDocument/2006/relationships/hyperlink" Target="https://agenciadeaduanapirazzoli-my.sharepoint.com/:b:/g/personal/mmorales_pirazzoli_cl/IQDdjEwkcKQRRpaQFjvI08OnAaE5C5WvtalAuSOBM9rEjYc?e=AmFEYK" TargetMode="External"/><Relationship Id="rId18" Type="http://schemas.openxmlformats.org/officeDocument/2006/relationships/hyperlink" Target="https://agenciadeaduanapirazzoli-my.sharepoint.com/:b:/g/personal/mmorales_pirazzoli_cl/IQAKHNbSWoOvSIVKZijoKLyPAQZumgU2EIp6vGZi_mRcQiI?e=l13ftT" TargetMode="External"/><Relationship Id="rId39" Type="http://schemas.openxmlformats.org/officeDocument/2006/relationships/hyperlink" Target="https://agenciadeaduanapirazzoli-my.sharepoint.com/:b:/g/personal/mmorales_pirazzoli_cl/IQDWkKWaM1z_SaCZ3XKp4QQZAXCYE1dmQRe9EKC_XzToJF4?e=EX1057" TargetMode="External"/><Relationship Id="rId265" Type="http://schemas.openxmlformats.org/officeDocument/2006/relationships/hyperlink" Target="https://agenciadeaduanapirazzoli-my.sharepoint.com/:b:/g/personal/mmorales_pirazzoli_cl/IQCAIv3h_w6RSorX3pE2gYGcAaHMCjwaX6B400q2TnaBL6A?e=rg3nzp" TargetMode="External"/><Relationship Id="rId286" Type="http://schemas.openxmlformats.org/officeDocument/2006/relationships/hyperlink" Target="https://agenciadeaduanapirazzoli-my.sharepoint.com/:b:/g/personal/mmorales_pirazzoli_cl/IQDj06lknpBKSLizvGGI7lAWAbLs53GXzZREpYAqpLlOcV4?e=rMHYFv" TargetMode="External"/><Relationship Id="rId50" Type="http://schemas.openxmlformats.org/officeDocument/2006/relationships/hyperlink" Target="https://agenciadeaduanapirazzoli-my.sharepoint.com/:b:/g/personal/mmorales_pirazzoli_cl/IQCrkghIzWXkTYJgB9JVDQtkAfE_3M40q6Fp1qitb-DNaTc?e=Zvet9n" TargetMode="External"/><Relationship Id="rId104" Type="http://schemas.openxmlformats.org/officeDocument/2006/relationships/hyperlink" Target="https://agenciadeaduanapirazzoli-my.sharepoint.com/:b:/g/personal/mmorales_pirazzoli_cl/IQD2n0JlC-BjQpcrY_HdjR_YAfKhv5enenUYbZZBFdP2x6c?e=K0vP6F" TargetMode="External"/><Relationship Id="rId125" Type="http://schemas.openxmlformats.org/officeDocument/2006/relationships/hyperlink" Target="https://agenciadeaduanapirazzoli-my.sharepoint.com/:b:/g/personal/mmorales_pirazzoli_cl/IQAX6W8CqbvLTaThPu5uNaLSAfu8aE7WReCig_O3j2_RVC0?e=Cex0X8" TargetMode="External"/><Relationship Id="rId146" Type="http://schemas.openxmlformats.org/officeDocument/2006/relationships/hyperlink" Target="https://agenciadeaduanapirazzoli-my.sharepoint.com/:b:/g/personal/mmorales_pirazzoli_cl/IQCFY3u-TAPxQZTOhvr3gMKqAbtmc1BW1nE0yVHLYjhpbS0?e=BlfOJK" TargetMode="External"/><Relationship Id="rId167" Type="http://schemas.openxmlformats.org/officeDocument/2006/relationships/hyperlink" Target="https://agenciadeaduanapirazzoli-my.sharepoint.com/:b:/g/personal/mmorales_pirazzoli_cl/IQBxLKKtjDMrRILG1NUTdKJwATbzeh89Fiwuw44NDp6HUMc?e=LQV0V0" TargetMode="External"/><Relationship Id="rId188" Type="http://schemas.openxmlformats.org/officeDocument/2006/relationships/hyperlink" Target="https://agenciadeaduanapirazzoli-my.sharepoint.com/:b:/g/personal/mmorales_pirazzoli_cl/IQCakv2TE6VNSqUvl3NKhR3MAeykFMMy1V5BW0VtKDqjKxY?e=mNtyEF" TargetMode="External"/><Relationship Id="rId311" Type="http://schemas.openxmlformats.org/officeDocument/2006/relationships/hyperlink" Target="https://agenciadeaduanapirazzoli-my.sharepoint.com/:b:/g/personal/mmorales_pirazzoli_cl/IQBMMMniPzTdT4uHUqfxURSYAcd2pz22LKM8sKeOXI2pTes?e=IgBwdl" TargetMode="External"/><Relationship Id="rId71" Type="http://schemas.openxmlformats.org/officeDocument/2006/relationships/hyperlink" Target="https://agenciadeaduanapirazzoli-my.sharepoint.com/:b:/g/personal/mmorales_pirazzoli_cl/IQA8O8jwJF8NSaCxkHPNySvCAaUotLwP_gYEc5FjoW83rgI?e=qlcxPU" TargetMode="External"/><Relationship Id="rId92" Type="http://schemas.openxmlformats.org/officeDocument/2006/relationships/hyperlink" Target="https://agenciadeaduanapirazzoli-my.sharepoint.com/:b:/g/personal/mmorales_pirazzoli_cl/IQAGWYH0JNsVSJJnsYZ_ZtDAAd-dpYPXDknRATDicJcKe0Y?e=xPp32t" TargetMode="External"/><Relationship Id="rId213" Type="http://schemas.openxmlformats.org/officeDocument/2006/relationships/hyperlink" Target="https://agenciadeaduanapirazzoli-my.sharepoint.com/:b:/g/personal/mmorales_pirazzoli_cl/IQCZRtbFk0hGSoFqwKgEdO3KAYHn82cFotoLFa5DlDiE4Eg?e=NzYd0G" TargetMode="External"/><Relationship Id="rId234" Type="http://schemas.openxmlformats.org/officeDocument/2006/relationships/hyperlink" Target="https://agenciadeaduanapirazzoli-my.sharepoint.com/:b:/g/personal/mmorales_pirazzoli_cl/IQBnCOfmNP73RYEU5HQ5dkOKAZPkvbbzTu2D9OlLLPkGwA8?e=Orj2oS" TargetMode="External"/><Relationship Id="rId2" Type="http://schemas.openxmlformats.org/officeDocument/2006/relationships/hyperlink" Target="https://agenciadeaduanapirazzoli-my.sharepoint.com/:b:/g/personal/mmorales_pirazzoli_cl/IQDFrL8pE8e7QpXvsG_FAhrqAWSXVfYeK0GYsmBml1qyIsA?e=BxZ0lP" TargetMode="External"/><Relationship Id="rId29" Type="http://schemas.openxmlformats.org/officeDocument/2006/relationships/hyperlink" Target="https://agenciadeaduanapirazzoli-my.sharepoint.com/:b:/g/personal/mmorales_pirazzoli_cl/IQDyk5L4vxAmQb11I9tyqh-EAaSKcx0x3o3o36XjEoQdxNA?e=bZj9gc" TargetMode="External"/><Relationship Id="rId255" Type="http://schemas.openxmlformats.org/officeDocument/2006/relationships/hyperlink" Target="https://agenciadeaduanapirazzoli-my.sharepoint.com/:b:/g/personal/mmorales_pirazzoli_cl/IQAeYrW8q_eIRLF3eI20wAg8AZyCtB_pIOU5h3CH2eYdCRU?e=M0tOmd" TargetMode="External"/><Relationship Id="rId276" Type="http://schemas.openxmlformats.org/officeDocument/2006/relationships/hyperlink" Target="https://agenciadeaduanapirazzoli-my.sharepoint.com/:b:/g/personal/mmorales_pirazzoli_cl/IQB3o-bemkDbS7EwdQP_D4VDARaK3olV_91KV-pq3d-Hh1k?e=aJ2wNN" TargetMode="External"/><Relationship Id="rId297" Type="http://schemas.openxmlformats.org/officeDocument/2006/relationships/hyperlink" Target="https://agenciadeaduanapirazzoli-my.sharepoint.com/:b:/g/personal/mmorales_pirazzoli_cl/IQDQtq6TZI8RS5TvJwRtzB4-Ae2Ie98L2dR0rIuniqWSjtY?e=5GhUYX" TargetMode="External"/><Relationship Id="rId40" Type="http://schemas.openxmlformats.org/officeDocument/2006/relationships/hyperlink" Target="https://agenciadeaduanapirazzoli-my.sharepoint.com/:b:/g/personal/mmorales_pirazzoli_cl/IQCD-V0-Hv4aS4maM5Ebk7AyATAOjiIZNWX6FodC0bVicug?e=OPxTzj" TargetMode="External"/><Relationship Id="rId115" Type="http://schemas.openxmlformats.org/officeDocument/2006/relationships/hyperlink" Target="https://agenciadeaduanapirazzoli-my.sharepoint.com/:b:/g/personal/mmorales_pirazzoli_cl/IQAQFN7TXV4ZT5fc5BnncQJtAX3CUSaY6DBuImoFqLXYOEg?e=Ba6Y9J" TargetMode="External"/><Relationship Id="rId136" Type="http://schemas.openxmlformats.org/officeDocument/2006/relationships/hyperlink" Target="https://agenciadeaduanapirazzoli-my.sharepoint.com/:b:/g/personal/mmorales_pirazzoli_cl/IQB1OZgjjpEHRaIu4lcecMSKAX3H2k25FOSlLwHCPd3aBHw?e=mYFEhk" TargetMode="External"/><Relationship Id="rId157" Type="http://schemas.openxmlformats.org/officeDocument/2006/relationships/hyperlink" Target="https://agenciadeaduanapirazzoli-my.sharepoint.com/:b:/g/personal/mmorales_pirazzoli_cl/IQANNNCd_3B3RLKjEgpycREbAfPJfwe-8X6Tn0D09roTVuE?e=P155lg" TargetMode="External"/><Relationship Id="rId178" Type="http://schemas.openxmlformats.org/officeDocument/2006/relationships/hyperlink" Target="https://agenciadeaduanapirazzoli-my.sharepoint.com/:b:/g/personal/mmorales_pirazzoli_cl/IQDnu3s7q4moRYtS1gE998OjAZnJlfrsAqXVrN5Slj87CRg?e=STmWyE" TargetMode="External"/><Relationship Id="rId301" Type="http://schemas.openxmlformats.org/officeDocument/2006/relationships/hyperlink" Target="https://agenciadeaduanapirazzoli-my.sharepoint.com/:b:/g/personal/mmorales_pirazzoli_cl/IQCkA4H5wMYuT5ejZW9DAcd0AQDmDWbQBOOpsoePgN5DyfE?e=odvZZH" TargetMode="External"/><Relationship Id="rId61" Type="http://schemas.openxmlformats.org/officeDocument/2006/relationships/hyperlink" Target="https://agenciadeaduanapirazzoli-my.sharepoint.com/:b:/g/personal/mmorales_pirazzoli_cl/IQAnNRXik4lkT4TNnz890TcaAS9HPeVBB52yMO1ddl4GiVc?e=zpxawn" TargetMode="External"/><Relationship Id="rId82" Type="http://schemas.openxmlformats.org/officeDocument/2006/relationships/hyperlink" Target="https://agenciadeaduanapirazzoli-my.sharepoint.com/:b:/g/personal/mmorales_pirazzoli_cl/IQCuX6GCAm5IQ5XmslKMMNVxAe7oo4avCKkI0qYBRwSOtcM?e=uC0Sld" TargetMode="External"/><Relationship Id="rId199" Type="http://schemas.openxmlformats.org/officeDocument/2006/relationships/hyperlink" Target="https://agenciadeaduanapirazzoli-my.sharepoint.com/:b:/g/personal/mmorales_pirazzoli_cl/IQC_T1HHl8LRRp7QQM4jNTGSAQqhj7W8OUhsccmBvTep-U8?e=iiT3uw" TargetMode="External"/><Relationship Id="rId203" Type="http://schemas.openxmlformats.org/officeDocument/2006/relationships/hyperlink" Target="https://agenciadeaduanapirazzoli-my.sharepoint.com/:b:/g/personal/mmorales_pirazzoli_cl/IQC475rvTzeoSaCnYIj4hstFAWynbFDhKABfqY2mSWJMq78?e=IZ37sU" TargetMode="External"/><Relationship Id="rId19" Type="http://schemas.openxmlformats.org/officeDocument/2006/relationships/hyperlink" Target="https://agenciadeaduanapirazzoli-my.sharepoint.com/:b:/g/personal/mmorales_pirazzoli_cl/IQDAxAA9ecM_QKOESay-HIaTAVhGqP6d7rmjzRABHANPkOo?e=V1byOB" TargetMode="External"/><Relationship Id="rId224" Type="http://schemas.openxmlformats.org/officeDocument/2006/relationships/hyperlink" Target="https://agenciadeaduanapirazzoli-my.sharepoint.com/:b:/g/personal/mmorales_pirazzoli_cl/IQD6rjIyaUadRJRx3d3_6-CKAe3Aiy0fkI8ZGnA-B3ulZZk?e=nvTKGc" TargetMode="External"/><Relationship Id="rId245" Type="http://schemas.openxmlformats.org/officeDocument/2006/relationships/hyperlink" Target="https://agenciadeaduanapirazzoli-my.sharepoint.com/:b:/g/personal/mmorales_pirazzoli_cl/IQCCWDhJBUZ2RK-1_nRlalgXAa_yyIozqyxiv2QLFF0tz2M?e=llVMQp" TargetMode="External"/><Relationship Id="rId266" Type="http://schemas.openxmlformats.org/officeDocument/2006/relationships/hyperlink" Target="https://agenciadeaduanapirazzoli-my.sharepoint.com/:b:/g/personal/mmorales_pirazzoli_cl/IQD3aS-AjgHYT6KNQ91cVbvEAbPCPjLziFr8lYQdTSNJjto?e=GuVaIj" TargetMode="External"/><Relationship Id="rId287" Type="http://schemas.openxmlformats.org/officeDocument/2006/relationships/hyperlink" Target="https://agenciadeaduanapirazzoli-my.sharepoint.com/:b:/g/personal/mmorales_pirazzoli_cl/IQCQzJKDr8J3QIgCVUiDabQ0AXypKs2l0Irts-xLOQe0YmQ?e=Qpw08d" TargetMode="External"/><Relationship Id="rId30" Type="http://schemas.openxmlformats.org/officeDocument/2006/relationships/hyperlink" Target="https://agenciadeaduanapirazzoli-my.sharepoint.com/:b:/g/personal/mmorales_pirazzoli_cl/IQAJkPqh5fOSQanEowAWmFs8AeXWiBlxg8S1hJw3wgHn2cs?e=GTIMCk" TargetMode="External"/><Relationship Id="rId105" Type="http://schemas.openxmlformats.org/officeDocument/2006/relationships/hyperlink" Target="https://agenciadeaduanapirazzoli-my.sharepoint.com/:b:/g/personal/mmorales_pirazzoli_cl/IQCID87sGLdqTo14t8Ai0Bd1AYEK6vcrmEluVmCio6LyxR0?e=v0TSKt" TargetMode="External"/><Relationship Id="rId126" Type="http://schemas.openxmlformats.org/officeDocument/2006/relationships/hyperlink" Target="https://agenciadeaduanapirazzoli-my.sharepoint.com/:b:/g/personal/mmorales_pirazzoli_cl/IQB9kq-oJgdjRr_HDfRE2WO7ARLtQuii0r3dIEyB7WSt9_k?e=IXOYQv" TargetMode="External"/><Relationship Id="rId147" Type="http://schemas.openxmlformats.org/officeDocument/2006/relationships/hyperlink" Target="https://agenciadeaduanapirazzoli-my.sharepoint.com/:b:/g/personal/mmorales_pirazzoli_cl/IQB5tjXkp4yeRI67tM1IqgbpATDyFxqHkHJUBTaWrfJHzcE?e=Wu1Vlp" TargetMode="External"/><Relationship Id="rId168" Type="http://schemas.openxmlformats.org/officeDocument/2006/relationships/hyperlink" Target="https://agenciadeaduanapirazzoli-my.sharepoint.com/:b:/g/personal/mmorales_pirazzoli_cl/IQDTyjOg4oQ3RYZB8wIWb2hsAQQ-WERGRj5BWEzbgkXM50I?e=OjbGQv" TargetMode="External"/><Relationship Id="rId312" Type="http://schemas.openxmlformats.org/officeDocument/2006/relationships/hyperlink" Target="https://agenciadeaduanapirazzoli-my.sharepoint.com/:b:/g/personal/mmorales_pirazzoli_cl/IQDCR9OAbA_VQ7Ymjcnbyyd9ATV4HtjDuAGdJCb3D1xHIoo?e=Gqzf7H" TargetMode="External"/><Relationship Id="rId51" Type="http://schemas.openxmlformats.org/officeDocument/2006/relationships/hyperlink" Target="https://agenciadeaduanapirazzoli-my.sharepoint.com/:b:/g/personal/mmorales_pirazzoli_cl/IQCXqzys9mwdR7zohNXZXEeoARaZos2KTygN368bDRoqGCQ?e=K7OWW7" TargetMode="External"/><Relationship Id="rId72" Type="http://schemas.openxmlformats.org/officeDocument/2006/relationships/hyperlink" Target="https://agenciadeaduanapirazzoli-my.sharepoint.com/:b:/g/personal/mmorales_pirazzoli_cl/IQA-6HBpeXn6RKSUdedwejTMAZsSDCwYDSuySS4ucxzjuDc?e=rYQ3ye" TargetMode="External"/><Relationship Id="rId93" Type="http://schemas.openxmlformats.org/officeDocument/2006/relationships/hyperlink" Target="https://agenciadeaduanapirazzoli-my.sharepoint.com/:b:/g/personal/mmorales_pirazzoli_cl/IQDm2pGtmAThSpDZrwLuCLoUAesGrI7A42SIRRz7mEuXKZ4?e=WiKjkp" TargetMode="External"/><Relationship Id="rId189" Type="http://schemas.openxmlformats.org/officeDocument/2006/relationships/hyperlink" Target="https://agenciadeaduanapirazzoli-my.sharepoint.com/:b:/g/personal/mmorales_pirazzoli_cl/IQAbKTxi17boSpqXhht6cr8VAdNh2ZOPyCDHowLrCuecAdc?e=3G79m3" TargetMode="External"/><Relationship Id="rId3" Type="http://schemas.openxmlformats.org/officeDocument/2006/relationships/hyperlink" Target="https://agenciadeaduanapirazzoli-my.sharepoint.com/:b:/g/personal/mmorales_pirazzoli_cl/IQCGyHBK2gKHSpf4Uz1h6zWvAW4Eawi1ATsuXmcH2vsG36c?e=kLuPDS" TargetMode="External"/><Relationship Id="rId214" Type="http://schemas.openxmlformats.org/officeDocument/2006/relationships/hyperlink" Target="https://agenciadeaduanapirazzoli-my.sharepoint.com/:b:/g/personal/mmorales_pirazzoli_cl/IQCUzceMotmKR5AzBziibBytAd9vtfgUtnmGTRubMsiJGhc?e=v2tJpd" TargetMode="External"/><Relationship Id="rId235" Type="http://schemas.openxmlformats.org/officeDocument/2006/relationships/hyperlink" Target="https://agenciadeaduanapirazzoli-my.sharepoint.com/:b:/g/personal/mmorales_pirazzoli_cl/IQCvAi49dySdQZLnM4VeoEOtAZfc9GuRtjx6nvL1wST6iVs?e=H7LZ9Q" TargetMode="External"/><Relationship Id="rId256" Type="http://schemas.openxmlformats.org/officeDocument/2006/relationships/hyperlink" Target="https://agenciadeaduanapirazzoli-my.sharepoint.com/:b:/g/personal/mmorales_pirazzoli_cl/IQCQKaRHDlRDSqTZ9UpnHMAeAc68L5HoP6CEkzFoFchuLKw?e=Sj5z2b" TargetMode="External"/><Relationship Id="rId277" Type="http://schemas.openxmlformats.org/officeDocument/2006/relationships/hyperlink" Target="https://agenciadeaduanapirazzoli-my.sharepoint.com/:b:/g/personal/mmorales_pirazzoli_cl/IQBDMj7sUoFpSqoxfctq9ZhzAf28UnfU16PxLVO0-dCQF0E?e=ODt2vb" TargetMode="External"/><Relationship Id="rId298" Type="http://schemas.openxmlformats.org/officeDocument/2006/relationships/hyperlink" Target="https://agenciadeaduanapirazzoli-my.sharepoint.com/:b:/g/personal/mmorales_pirazzoli_cl/IQAMYCsI0CPDQJ4Jpm-RCU1fAam7F0VME6iOMBYdTEWYSCY?e=BcNfEx" TargetMode="External"/><Relationship Id="rId116" Type="http://schemas.openxmlformats.org/officeDocument/2006/relationships/hyperlink" Target="https://agenciadeaduanapirazzoli-my.sharepoint.com/:b:/g/personal/mmorales_pirazzoli_cl/IQAYPxSuM6FlQ5PQBxx5zReEAYymFfEmXRM5UO5NQKfhLQ8?e=tySvwX" TargetMode="External"/><Relationship Id="rId137" Type="http://schemas.openxmlformats.org/officeDocument/2006/relationships/hyperlink" Target="https://agenciadeaduanapirazzoli-my.sharepoint.com/:b:/g/personal/mmorales_pirazzoli_cl/IQDInWRxlx9fTasYKVcYqFvNAQlmRabUYCRyd7ceKkcntT0?e=t8vsRf" TargetMode="External"/><Relationship Id="rId158" Type="http://schemas.openxmlformats.org/officeDocument/2006/relationships/hyperlink" Target="https://agenciadeaduanapirazzoli-my.sharepoint.com/:b:/g/personal/mmorales_pirazzoli_cl/IQDj_egqr9dSQrY19fMfrgNxAdPAg6DQuoAnbapRj3v8fwM?e=7C0UZg" TargetMode="External"/><Relationship Id="rId302" Type="http://schemas.openxmlformats.org/officeDocument/2006/relationships/hyperlink" Target="https://agenciadeaduanapirazzoli-my.sharepoint.com/:b:/g/personal/mmorales_pirazzoli_cl/IQDOQgZ3SXGAT7Xrx_t6L8T5AdYrJ0Zol-cB29bHAQBuD_Y?e=BvBaIp" TargetMode="External"/><Relationship Id="rId20" Type="http://schemas.openxmlformats.org/officeDocument/2006/relationships/hyperlink" Target="https://agenciadeaduanapirazzoli-my.sharepoint.com/:b:/g/personal/mmorales_pirazzoli_cl/IQAU5xoiJ5IKSIozSfzrwE5aAdKM9pzLZkARsj3vck06M_A?e=A7zayc" TargetMode="External"/><Relationship Id="rId41" Type="http://schemas.openxmlformats.org/officeDocument/2006/relationships/hyperlink" Target="https://agenciadeaduanapirazzoli-my.sharepoint.com/:b:/g/personal/mmorales_pirazzoli_cl/IQBCz26FVX0LTqjp0EcwpFoeAQ-CF3iuAD_RDv2yE-vya_A?e=zvDRTJ" TargetMode="External"/><Relationship Id="rId62" Type="http://schemas.openxmlformats.org/officeDocument/2006/relationships/hyperlink" Target="https://agenciadeaduanapirazzoli-my.sharepoint.com/:b:/g/personal/mmorales_pirazzoli_cl/IQDgIcsafIhpQ4wiRJkrku8tAXHy42dnteLvJC52oqByk4o?e=VhNHNb" TargetMode="External"/><Relationship Id="rId83" Type="http://schemas.openxmlformats.org/officeDocument/2006/relationships/hyperlink" Target="https://agenciadeaduanapirazzoli-my.sharepoint.com/:b:/g/personal/mmorales_pirazzoli_cl/IQA2GkORvFckSYoUOt2smQ3QAYLoQeAi-BEUVzUZlyAeBrE?e=fuWwKE" TargetMode="External"/><Relationship Id="rId179" Type="http://schemas.openxmlformats.org/officeDocument/2006/relationships/hyperlink" Target="https://agenciadeaduanapirazzoli-my.sharepoint.com/:b:/g/personal/mmorales_pirazzoli_cl/IQAOO-lcrPSYSb5bMWpgHbvTAdWv3PSMYbrjwLFiREFzHmc?e=jmHgf8" TargetMode="External"/><Relationship Id="rId190" Type="http://schemas.openxmlformats.org/officeDocument/2006/relationships/hyperlink" Target="https://agenciadeaduanapirazzoli-my.sharepoint.com/:b:/g/personal/mmorales_pirazzoli_cl/IQDLuuswNDfRTr7TspSp3HD-AXmS1Fic567TjPbty4w4SdM?e=W49aJe" TargetMode="External"/><Relationship Id="rId204" Type="http://schemas.openxmlformats.org/officeDocument/2006/relationships/hyperlink" Target="https://agenciadeaduanapirazzoli-my.sharepoint.com/:b:/g/personal/mmorales_pirazzoli_cl/IQBI6_Y3OuFsRZW1IhF9rHtvAVxXYrN_B4Qftnj5S1vOsVQ?e=Unehb0" TargetMode="External"/><Relationship Id="rId225" Type="http://schemas.openxmlformats.org/officeDocument/2006/relationships/hyperlink" Target="https://agenciadeaduanapirazzoli-my.sharepoint.com/:b:/g/personal/mmorales_pirazzoli_cl/IQDST-XA5iZ3S4QYHaSY8OlcAcowgAMj2NCBHvylqoRShrA?e=zXu9SR" TargetMode="External"/><Relationship Id="rId246" Type="http://schemas.openxmlformats.org/officeDocument/2006/relationships/hyperlink" Target="https://agenciadeaduanapirazzoli-my.sharepoint.com/:b:/g/personal/mmorales_pirazzoli_cl/IQBhTNzu2BwGTaxLQQJ1ZrQdAV_EQO0j-Hy7Oy9gxHKtWi8?e=Vlr5dB" TargetMode="External"/><Relationship Id="rId267" Type="http://schemas.openxmlformats.org/officeDocument/2006/relationships/hyperlink" Target="https://agenciadeaduanapirazzoli-my.sharepoint.com/:b:/g/personal/mmorales_pirazzoli_cl/IQDAfoEPL57FQJwOTip4LeV9AYe-Rp7bk9ToLUae6BzspXA?e=fhBZAx" TargetMode="External"/><Relationship Id="rId288" Type="http://schemas.openxmlformats.org/officeDocument/2006/relationships/hyperlink" Target="https://agenciadeaduanapirazzoli-my.sharepoint.com/:b:/g/personal/mmorales_pirazzoli_cl/IQA7Z3tkdFzUToVIbypDSSc-Aa_YhJDszCkMzYtDoxFAgz4?e=uOAOYp" TargetMode="External"/><Relationship Id="rId106" Type="http://schemas.openxmlformats.org/officeDocument/2006/relationships/hyperlink" Target="https://agenciadeaduanapirazzoli-my.sharepoint.com/:b:/g/personal/mmorales_pirazzoli_cl/IQD3LfgUtBfESL8WMLPdTkLSAcSDSm79RpiqaY6l5_l7D2c?e=kHrzix" TargetMode="External"/><Relationship Id="rId127" Type="http://schemas.openxmlformats.org/officeDocument/2006/relationships/hyperlink" Target="https://agenciadeaduanapirazzoli-my.sharepoint.com/:b:/g/personal/mmorales_pirazzoli_cl/IQCcp5Ml1eD-TKh3KAWvyTriAQ0Sri7jJq9fNj7tX9RClqY?e=FP3UNA" TargetMode="External"/><Relationship Id="rId313" Type="http://schemas.openxmlformats.org/officeDocument/2006/relationships/hyperlink" Target="https://agenciadeaduanapirazzoli-my.sharepoint.com/:b:/g/personal/mmorales_pirazzoli_cl/IQDpeWtaslTaTojHxmbK-AfAAWb8JwuNfp6tdGSTEpxhbWM?e=R4xC0L" TargetMode="External"/><Relationship Id="rId10" Type="http://schemas.openxmlformats.org/officeDocument/2006/relationships/hyperlink" Target="https://agenciadeaduanapirazzoli-my.sharepoint.com/:b:/g/personal/mmorales_pirazzoli_cl/IQAgTJ6K43OpQZJalnEgpqsNATq1XntJRjflh3Oydy5sfrc?e=f49xjt" TargetMode="External"/><Relationship Id="rId31" Type="http://schemas.openxmlformats.org/officeDocument/2006/relationships/hyperlink" Target="https://agenciadeaduanapirazzoli-my.sharepoint.com/:b:/g/personal/mmorales_pirazzoli_cl/IQCxP7sxQfYlQIy_wQFza8k6AS-BgPfdnBYZqRrxg_EY1T4?e=3hmdvO" TargetMode="External"/><Relationship Id="rId52" Type="http://schemas.openxmlformats.org/officeDocument/2006/relationships/hyperlink" Target="https://agenciadeaduanapirazzoli-my.sharepoint.com/:b:/g/personal/mmorales_pirazzoli_cl/IQDFPtr9WdoQRpA_m5qwAhHeAXk0oP_UatdD39hju9_OaVw?e=OKS1WR" TargetMode="External"/><Relationship Id="rId73" Type="http://schemas.openxmlformats.org/officeDocument/2006/relationships/hyperlink" Target="https://agenciadeaduanapirazzoli-my.sharepoint.com/:b:/g/personal/mmorales_pirazzoli_cl/IQCZ8-OaUaGATKrIs5iUbihWARC1VS44TFXraImQcg4lRz0?e=MqP0y1" TargetMode="External"/><Relationship Id="rId94" Type="http://schemas.openxmlformats.org/officeDocument/2006/relationships/hyperlink" Target="https://agenciadeaduanapirazzoli-my.sharepoint.com/:b:/g/personal/mmorales_pirazzoli_cl/IQBGCB6SoYNmT6Udyhk-mi2zAdsmMafV9AE4gsj8WxoAhT0?e=mrduqP" TargetMode="External"/><Relationship Id="rId148" Type="http://schemas.openxmlformats.org/officeDocument/2006/relationships/hyperlink" Target="https://agenciadeaduanapirazzoli-my.sharepoint.com/:b:/g/personal/mmorales_pirazzoli_cl/IQDQq861Wc9tQZqQLeN6XXqoAVmoHUraKfWqRf4RvtEofm8?e=DwDLMl" TargetMode="External"/><Relationship Id="rId169" Type="http://schemas.openxmlformats.org/officeDocument/2006/relationships/hyperlink" Target="https://agenciadeaduanapirazzoli-my.sharepoint.com/:b:/g/personal/mmorales_pirazzoli_cl/IQDAbEv20N1QSayT-BUGH69kAX3hV1EkzYGEUO1Oy1zetng?e=YT7IJG" TargetMode="External"/><Relationship Id="rId4" Type="http://schemas.openxmlformats.org/officeDocument/2006/relationships/hyperlink" Target="https://agenciadeaduanapirazzoli-my.sharepoint.com/:b:/g/personal/mmorales_pirazzoli_cl/IQDL4DpVeZRmQ4pIwSvi-H9pAZ59F-_6kKw359xkANM-oOo?e=CAA8Ex" TargetMode="External"/><Relationship Id="rId180" Type="http://schemas.openxmlformats.org/officeDocument/2006/relationships/hyperlink" Target="https://agenciadeaduanapirazzoli-my.sharepoint.com/:b:/g/personal/mmorales_pirazzoli_cl/IQBHvgZERUjmRb2ttmfJEH-SARBW3PjPkZ0-E67Fz3XbNhg?e=bX3H4C" TargetMode="External"/><Relationship Id="rId215" Type="http://schemas.openxmlformats.org/officeDocument/2006/relationships/hyperlink" Target="https://agenciadeaduanapirazzoli-my.sharepoint.com/:b:/g/personal/mmorales_pirazzoli_cl/IQDd8DhsRfRTS4nggSwU1A9zAeBCgnmuSxyJlhMmCTFKaj0?e=odIdsA" TargetMode="External"/><Relationship Id="rId236" Type="http://schemas.openxmlformats.org/officeDocument/2006/relationships/hyperlink" Target="https://agenciadeaduanapirazzoli-my.sharepoint.com/:b:/g/personal/mmorales_pirazzoli_cl/IQBLOJQXv6HJTK1vI8O30spuAcN2LedpAdMFxjRo2qVn6ZA?e=eB4Uym" TargetMode="External"/><Relationship Id="rId257" Type="http://schemas.openxmlformats.org/officeDocument/2006/relationships/hyperlink" Target="https://agenciadeaduanapirazzoli-my.sharepoint.com/:b:/g/personal/mmorales_pirazzoli_cl/IQCdv6RwOYx8SLQn31PXvMFnAWaFqbiXuYUWMOaGzSSqBHQ?e=JE3EnD" TargetMode="External"/><Relationship Id="rId278" Type="http://schemas.openxmlformats.org/officeDocument/2006/relationships/hyperlink" Target="https://agenciadeaduanapirazzoli-my.sharepoint.com/:b:/g/personal/mmorales_pirazzoli_cl/IQCwG9OGmodCQbqdwWZnK3icAbrqDEUp3UEt5TRKoMRT_ww?e=a0frF1" TargetMode="External"/><Relationship Id="rId303" Type="http://schemas.openxmlformats.org/officeDocument/2006/relationships/hyperlink" Target="https://agenciadeaduanapirazzoli-my.sharepoint.com/:b:/g/personal/mmorales_pirazzoli_cl/IQBhZyoa6bE0T7LXkwrdjTc_AWuvz9xJ5mOqjhkozQt1urU?e=z0EpxZ" TargetMode="External"/><Relationship Id="rId42" Type="http://schemas.openxmlformats.org/officeDocument/2006/relationships/hyperlink" Target="https://agenciadeaduanapirazzoli-my.sharepoint.com/:b:/g/personal/mmorales_pirazzoli_cl/IQAU0i3sH0z_Q660ezcg1J0yAYqACv0C2XJFDa6tCBsa6Ig?e=DxKz5v" TargetMode="External"/><Relationship Id="rId84" Type="http://schemas.openxmlformats.org/officeDocument/2006/relationships/hyperlink" Target="https://agenciadeaduanapirazzoli-my.sharepoint.com/:b:/g/personal/mmorales_pirazzoli_cl/IQC4opZtRUFFQ7M60CASNWt2Acox5Qf2zVRR_Hnu7DOhwEY?e=ViIe8M" TargetMode="External"/><Relationship Id="rId138" Type="http://schemas.openxmlformats.org/officeDocument/2006/relationships/hyperlink" Target="https://agenciadeaduanapirazzoli-my.sharepoint.com/:b:/g/personal/mmorales_pirazzoli_cl/IQAqngGoixXPQpJspjFbhRlGAebDxVhMPnPv0Eo-nKADujU?e=GR0B7a" TargetMode="External"/><Relationship Id="rId191" Type="http://schemas.openxmlformats.org/officeDocument/2006/relationships/hyperlink" Target="https://agenciadeaduanapirazzoli-my.sharepoint.com/:b:/g/personal/mmorales_pirazzoli_cl/IQCbUoze56yvTo-v8cvmqUq9AYeD9E56t9CxhroIZYGPmu4?e=XVt8aw" TargetMode="External"/><Relationship Id="rId205" Type="http://schemas.openxmlformats.org/officeDocument/2006/relationships/hyperlink" Target="https://agenciadeaduanapirazzoli-my.sharepoint.com/:b:/g/personal/mmorales_pirazzoli_cl/IQDnUvhFOb-xQpWJisBsQRShAV2zzTnLMhiVDXHqlzO1H7Y?e=HVg2Vo" TargetMode="External"/><Relationship Id="rId247" Type="http://schemas.openxmlformats.org/officeDocument/2006/relationships/hyperlink" Target="https://agenciadeaduanapirazzoli-my.sharepoint.com/:b:/g/personal/mmorales_pirazzoli_cl/IQDIllIK_Ga3T7XRylDKI1NrAbX6FJzeCfyiNGaEijzux_g?e=fNOqgU" TargetMode="External"/><Relationship Id="rId107" Type="http://schemas.openxmlformats.org/officeDocument/2006/relationships/hyperlink" Target="https://agenciadeaduanapirazzoli-my.sharepoint.com/:b:/g/personal/mmorales_pirazzoli_cl/IQCKaxkwfxZTQpkCmlUHMa8oAevwm2yxxlrAzuXyFt9AryI?e=9Bk1LF" TargetMode="External"/><Relationship Id="rId289" Type="http://schemas.openxmlformats.org/officeDocument/2006/relationships/hyperlink" Target="https://agenciadeaduanapirazzoli-my.sharepoint.com/:b:/g/personal/mmorales_pirazzoli_cl/IQD4On0-8XIbSq_nLmf-5xIXAQtVk3YvZ-eT_C_CJeTHCzo?e=vhsajc" TargetMode="External"/><Relationship Id="rId11" Type="http://schemas.openxmlformats.org/officeDocument/2006/relationships/hyperlink" Target="https://agenciadeaduanapirazzoli-my.sharepoint.com/:b:/g/personal/mmorales_pirazzoli_cl/IQDzH54IghcESIkeZXD3tcHlAfzHpHwDj5ywgsiEsRqOQrY?e=NIc5U1" TargetMode="External"/><Relationship Id="rId53" Type="http://schemas.openxmlformats.org/officeDocument/2006/relationships/hyperlink" Target="https://agenciadeaduanapirazzoli-my.sharepoint.com/:b:/g/personal/mmorales_pirazzoli_cl/IQAIgXy5-u0ZSoTeEbWRp8odAfWNF3iNblqzXPCyJRYv3gI?e=wSvja3" TargetMode="External"/><Relationship Id="rId149" Type="http://schemas.openxmlformats.org/officeDocument/2006/relationships/hyperlink" Target="https://agenciadeaduanapirazzoli-my.sharepoint.com/:b:/g/personal/mmorales_pirazzoli_cl/IQDdaz_8zTRBTIfx-KpmE5aIAWlIiyNWbfeztAcoKNhAX5g?e=dmWA80" TargetMode="External"/><Relationship Id="rId314" Type="http://schemas.openxmlformats.org/officeDocument/2006/relationships/hyperlink" Target="https://agenciadeaduanapirazzoli-my.sharepoint.com/:b:/g/personal/mmorales_pirazzoli_cl/IQAlbPngyY3WQ4zCX6DcMyxrAXC5wnDU6lu5OaXj8HR_4DY?e=MZRGg4" TargetMode="External"/><Relationship Id="rId95" Type="http://schemas.openxmlformats.org/officeDocument/2006/relationships/hyperlink" Target="https://agenciadeaduanapirazzoli-my.sharepoint.com/:b:/g/personal/mmorales_pirazzoli_cl/IQCAzgtWCmlyS7kqs8dSpms2Ae8ZBmqg5zgQCD31nabzjPE?e=xZIwhg" TargetMode="External"/><Relationship Id="rId160" Type="http://schemas.openxmlformats.org/officeDocument/2006/relationships/hyperlink" Target="https://agenciadeaduanapirazzoli-my.sharepoint.com/:b:/g/personal/mmorales_pirazzoli_cl/IQCWBQbC_dssQKtvJFWY62v9ATjYqcxGEXexZ8kBvPAVKB0?e=GDh0ph" TargetMode="External"/><Relationship Id="rId216" Type="http://schemas.openxmlformats.org/officeDocument/2006/relationships/hyperlink" Target="https://agenciadeaduanapirazzoli-my.sharepoint.com/:b:/g/personal/mmorales_pirazzoli_cl/IQD6AmxyfS2kQZUxX-80Jqg5AV5Uqo6PrcUqA6LlALmxKlA?e=qae4E2" TargetMode="External"/><Relationship Id="rId258" Type="http://schemas.openxmlformats.org/officeDocument/2006/relationships/hyperlink" Target="https://agenciadeaduanapirazzoli-my.sharepoint.com/:b:/g/personal/mmorales_pirazzoli_cl/IQCIbF7s_jv4SoI2ftIIeWsMAUbz4W6bzTwYVZ9xvrGiT9k?e=WIId5Y" TargetMode="External"/><Relationship Id="rId22" Type="http://schemas.openxmlformats.org/officeDocument/2006/relationships/hyperlink" Target="https://agenciadeaduanapirazzoli-my.sharepoint.com/:b:/g/personal/mmorales_pirazzoli_cl/IQBdy6yFFUsESrCsWQ53GK5LAaKeyPAGbQM4WifkW0f3tuA?e=ctcDXd" TargetMode="External"/><Relationship Id="rId64" Type="http://schemas.openxmlformats.org/officeDocument/2006/relationships/hyperlink" Target="https://agenciadeaduanapirazzoli-my.sharepoint.com/:b:/g/personal/mmorales_pirazzoli_cl/IQDXy1fSdQH7R6DRlmxxN6yUAYFgxyx9aX2tfYrzpK0lUhU?e=BZkA3u" TargetMode="External"/><Relationship Id="rId118" Type="http://schemas.openxmlformats.org/officeDocument/2006/relationships/hyperlink" Target="https://agenciadeaduanapirazzoli-my.sharepoint.com/:b:/g/personal/mmorales_pirazzoli_cl/IQDwlV29R1meRpZoieNlDwFHAQY63u4Ia3FT4BYD5zPUsLY?e=9jFtZX" TargetMode="External"/><Relationship Id="rId171" Type="http://schemas.openxmlformats.org/officeDocument/2006/relationships/hyperlink" Target="https://agenciadeaduanapirazzoli-my.sharepoint.com/:b:/g/personal/mmorales_pirazzoli_cl/IQB9p1UJA-h6RptsSMcBkomfATGpTJFT82yuKs0d1vDWg-I?e=lbPZJW" TargetMode="External"/><Relationship Id="rId227" Type="http://schemas.openxmlformats.org/officeDocument/2006/relationships/hyperlink" Target="https://agenciadeaduanapirazzoli-my.sharepoint.com/:b:/g/personal/mmorales_pirazzoli_cl/IQCR_lqy_hjtRZLjnPPU1ThcAbrTp-cGdKlzJ5WZxyL2Ai4?e=fMH9TT" TargetMode="External"/><Relationship Id="rId269" Type="http://schemas.openxmlformats.org/officeDocument/2006/relationships/hyperlink" Target="https://agenciadeaduanapirazzoli-my.sharepoint.com/:b:/g/personal/mmorales_pirazzoli_cl/IQA2C4tAzbZNS449lnnEujLgAXUFdptGe2KZEFZDSOmcE1Q?e=2JJs8N" TargetMode="External"/><Relationship Id="rId33" Type="http://schemas.openxmlformats.org/officeDocument/2006/relationships/hyperlink" Target="https://agenciadeaduanapirazzoli-my.sharepoint.com/:b:/g/personal/mmorales_pirazzoli_cl/IQCBjjUsZQ2aQYcNIze2Z-SrAc55_In9jfEGdYzWg0D4XMI?e=Tdf0el" TargetMode="External"/><Relationship Id="rId129" Type="http://schemas.openxmlformats.org/officeDocument/2006/relationships/hyperlink" Target="https://agenciadeaduanapirazzoli-my.sharepoint.com/:b:/g/personal/mmorales_pirazzoli_cl/IQCJv_lZWxEwS5A8J9g2BHIhAYeSxBY4UyjoQAH44hSUxn8?e=uDW4Vn" TargetMode="External"/><Relationship Id="rId280" Type="http://schemas.openxmlformats.org/officeDocument/2006/relationships/hyperlink" Target="https://agenciadeaduanapirazzoli-my.sharepoint.com/:b:/g/personal/mmorales_pirazzoli_cl/IQBVQXgmCPskRrol9Vp-uTF3AbedQ0RjIfaqzUAoKoA32m0?e=V6UMSZ" TargetMode="External"/><Relationship Id="rId75" Type="http://schemas.openxmlformats.org/officeDocument/2006/relationships/hyperlink" Target="https://agenciadeaduanapirazzoli-my.sharepoint.com/:b:/g/personal/mmorales_pirazzoli_cl/IQBdBfPywbxASZbPu4vj1xqBAWcxK_M7W3qomFW1wG1Hs5Q?e=gw96Ye" TargetMode="External"/><Relationship Id="rId140" Type="http://schemas.openxmlformats.org/officeDocument/2006/relationships/hyperlink" Target="https://agenciadeaduanapirazzoli-my.sharepoint.com/:b:/g/personal/mmorales_pirazzoli_cl/IQBbzLFWmNlESrKAH5XTT84sAWAc9s_yVpl4qtXzRnN7Yrw?e=FXFB4Y" TargetMode="External"/><Relationship Id="rId182" Type="http://schemas.openxmlformats.org/officeDocument/2006/relationships/hyperlink" Target="https://agenciadeaduanapirazzoli-my.sharepoint.com/:b:/g/personal/mmorales_pirazzoli_cl/IQA_eQxTOA8lRa3xohx0m3H7ASCBbj9oOqIXn1402DVuo3A?e=shFS5Q" TargetMode="External"/><Relationship Id="rId6" Type="http://schemas.openxmlformats.org/officeDocument/2006/relationships/hyperlink" Target="https://agenciadeaduanapirazzoli-my.sharepoint.com/:b:/g/personal/mmorales_pirazzoli_cl/IQDuXOlmFd4sR7sePOQT4gleAfRsMWwgdqLq6loZ50zplHM?e=FzwCtW" TargetMode="External"/><Relationship Id="rId238" Type="http://schemas.openxmlformats.org/officeDocument/2006/relationships/hyperlink" Target="https://agenciadeaduanapirazzoli-my.sharepoint.com/:b:/g/personal/mmorales_pirazzoli_cl/IQDQoVjYH9_hSq50PF9kb_P8ASTticXKlsiLSF74OmmjFj8?e=KgnH5a" TargetMode="External"/><Relationship Id="rId291" Type="http://schemas.openxmlformats.org/officeDocument/2006/relationships/hyperlink" Target="https://agenciadeaduanapirazzoli-my.sharepoint.com/:b:/g/personal/mmorales_pirazzoli_cl/IQDnqZEZJd52RZzkkmnpEXnGAXnMh__PjY-qXfqF_iE_rmg?e=BT68oP" TargetMode="External"/><Relationship Id="rId305" Type="http://schemas.openxmlformats.org/officeDocument/2006/relationships/hyperlink" Target="https://agenciadeaduanapirazzoli-my.sharepoint.com/:b:/g/personal/mmorales_pirazzoli_cl/IQBQY05DKt4MRLZe9kAsY7fMAY38AGL_phRKcQwa_hX8zpc?e=UzgO8F" TargetMode="External"/><Relationship Id="rId44" Type="http://schemas.openxmlformats.org/officeDocument/2006/relationships/hyperlink" Target="https://agenciadeaduanapirazzoli-my.sharepoint.com/:b:/g/personal/mmorales_pirazzoli_cl/IQBDKDzCzmAhQaKbl18s80JlAe5VSiSzCilYqz3xXyFTin4?e=C5OqUK" TargetMode="External"/><Relationship Id="rId86" Type="http://schemas.openxmlformats.org/officeDocument/2006/relationships/hyperlink" Target="https://agenciadeaduanapirazzoli-my.sharepoint.com/:b:/g/personal/mmorales_pirazzoli_cl/IQA4709MueAzTZ2vpjsXFcW_AQMKvjUluv1SpqwKr_t-UDY?e=FGPHEK" TargetMode="External"/><Relationship Id="rId151" Type="http://schemas.openxmlformats.org/officeDocument/2006/relationships/hyperlink" Target="https://agenciadeaduanapirazzoli-my.sharepoint.com/:b:/g/personal/mmorales_pirazzoli_cl/IQDYxOAYPRcoQKorGtqnhpL2AVY52a-EbgGW4tO1pa4pML8?e=kaYqfc" TargetMode="External"/><Relationship Id="rId193" Type="http://schemas.openxmlformats.org/officeDocument/2006/relationships/hyperlink" Target="https://agenciadeaduanapirazzoli-my.sharepoint.com/:b:/g/personal/mmorales_pirazzoli_cl/IQBJy2wH0joURqhmKqxe7TPVAaIfmBtD9yLQAvhMRe8hM0w?e=XHwCn8" TargetMode="External"/><Relationship Id="rId207" Type="http://schemas.openxmlformats.org/officeDocument/2006/relationships/hyperlink" Target="https://agenciadeaduanapirazzoli-my.sharepoint.com/:b:/g/personal/mmorales_pirazzoli_cl/IQB9m7aE_snMRbLTD9nNgAF_AfaN8OC-WiUmpLC7LZ_UtRs?e=XNnNHX" TargetMode="External"/><Relationship Id="rId249" Type="http://schemas.openxmlformats.org/officeDocument/2006/relationships/hyperlink" Target="https://agenciadeaduanapirazzoli-my.sharepoint.com/:b:/g/personal/mmorales_pirazzoli_cl/IQAj65QGpmjmQKJomR3HIHcGAZ7NsizwwknSq-I3aSEk_48?e=sB8Nu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03264-199A-4886-857D-303C27604CC4}">
  <dimension ref="A1:AH232"/>
  <sheetViews>
    <sheetView tabSelected="1" zoomScale="70" zoomScaleNormal="70" workbookViewId="0">
      <pane xSplit="2" topLeftCell="K133" activePane="topRight" state="frozen"/>
      <selection pane="topRight" activeCell="O147" sqref="O147"/>
    </sheetView>
  </sheetViews>
  <sheetFormatPr defaultColWidth="11.42578125" defaultRowHeight="24.75" customHeight="1"/>
  <cols>
    <col min="1" max="2" width="19" style="235" customWidth="1"/>
    <col min="3" max="3" width="49.85546875" style="15" customWidth="1"/>
    <col min="4" max="4" width="29.85546875" style="2" customWidth="1"/>
    <col min="5" max="5" width="29.7109375" style="28" customWidth="1"/>
    <col min="6" max="6" width="30.28515625" customWidth="1"/>
    <col min="7" max="7" width="60.7109375" customWidth="1"/>
    <col min="8" max="8" width="29.7109375" customWidth="1"/>
    <col min="9" max="9" width="21.85546875" customWidth="1"/>
    <col min="10" max="10" width="20" customWidth="1"/>
    <col min="11" max="11" width="27.28515625" customWidth="1"/>
    <col min="13" max="13" width="13.7109375" customWidth="1"/>
    <col min="14" max="14" width="16.42578125" customWidth="1"/>
    <col min="15" max="15" width="21.140625" customWidth="1"/>
    <col min="16" max="16" width="21.140625" style="2" customWidth="1"/>
    <col min="17" max="17" width="21.140625" customWidth="1"/>
    <col min="18" max="18" width="16.42578125" style="301" customWidth="1"/>
    <col min="19" max="19" width="16.42578125" style="302" customWidth="1"/>
    <col min="20" max="20" width="23.5703125" customWidth="1"/>
    <col min="21" max="21" width="47" customWidth="1"/>
    <col min="22" max="22" width="49.28515625" style="96" customWidth="1"/>
    <col min="23" max="23" width="32.7109375" style="106" customWidth="1"/>
    <col min="24" max="24" width="22.7109375" style="117" customWidth="1"/>
    <col min="25" max="25" width="21" style="62" customWidth="1"/>
    <col min="26" max="26" width="12.140625" bestFit="1" customWidth="1"/>
    <col min="27" max="27" width="14.28515625" customWidth="1"/>
    <col min="28" max="28" width="18" style="2" customWidth="1"/>
    <col min="29" max="29" width="25" style="27" customWidth="1"/>
    <col min="30" max="30" width="21.28515625" style="27" customWidth="1"/>
    <col min="31" max="31" width="19.140625" style="114" customWidth="1"/>
    <col min="32" max="32" width="11.42578125" style="66"/>
    <col min="33" max="34" width="13.28515625" style="6" customWidth="1"/>
    <col min="35" max="35" width="27.140625" customWidth="1"/>
  </cols>
  <sheetData>
    <row r="1" spans="1:34" ht="72" customHeight="1">
      <c r="A1" s="89" t="s">
        <v>0</v>
      </c>
      <c r="B1" s="89" t="s">
        <v>1</v>
      </c>
      <c r="C1" s="392" t="s">
        <v>2</v>
      </c>
      <c r="D1" s="269" t="s">
        <v>3</v>
      </c>
      <c r="E1" s="389" t="s">
        <v>4</v>
      </c>
      <c r="F1" s="270" t="s">
        <v>5</v>
      </c>
      <c r="G1" s="270" t="s">
        <v>6</v>
      </c>
      <c r="H1" s="271" t="s">
        <v>7</v>
      </c>
      <c r="I1" s="272" t="s">
        <v>8</v>
      </c>
      <c r="J1" s="274" t="s">
        <v>9</v>
      </c>
      <c r="K1" s="273" t="s">
        <v>10</v>
      </c>
      <c r="L1" s="273" t="s">
        <v>11</v>
      </c>
      <c r="M1" s="273" t="s">
        <v>12</v>
      </c>
      <c r="N1" s="273" t="s">
        <v>13</v>
      </c>
      <c r="O1" s="275" t="s">
        <v>14</v>
      </c>
      <c r="P1" s="276" t="s">
        <v>15</v>
      </c>
      <c r="Q1" s="289" t="s">
        <v>16</v>
      </c>
      <c r="R1" s="299" t="s">
        <v>17</v>
      </c>
      <c r="S1" s="299" t="s">
        <v>18</v>
      </c>
      <c r="T1" s="277" t="s">
        <v>19</v>
      </c>
      <c r="U1" s="275" t="s">
        <v>20</v>
      </c>
      <c r="V1" s="278" t="s">
        <v>21</v>
      </c>
      <c r="W1" s="279" t="s">
        <v>22</v>
      </c>
      <c r="X1" s="280" t="s">
        <v>23</v>
      </c>
      <c r="Y1" s="281" t="s">
        <v>24</v>
      </c>
      <c r="Z1" s="273" t="s">
        <v>25</v>
      </c>
      <c r="AA1" s="297" t="s">
        <v>26</v>
      </c>
      <c r="AB1" s="299" t="s">
        <v>27</v>
      </c>
      <c r="AC1" s="277" t="s">
        <v>28</v>
      </c>
      <c r="AD1" s="273" t="s">
        <v>29</v>
      </c>
      <c r="AE1" s="282" t="s">
        <v>30</v>
      </c>
      <c r="AF1" s="395" t="s">
        <v>31</v>
      </c>
      <c r="AG1" s="283" t="s">
        <v>32</v>
      </c>
      <c r="AH1" s="284" t="s">
        <v>33</v>
      </c>
    </row>
    <row r="2" spans="1:34" ht="24.75" customHeight="1">
      <c r="A2" s="390" t="s">
        <v>34</v>
      </c>
      <c r="B2" s="390">
        <v>179930</v>
      </c>
      <c r="C2" s="393" t="s">
        <v>35</v>
      </c>
      <c r="D2" s="5" t="s">
        <v>36</v>
      </c>
      <c r="E2" s="7">
        <v>46076</v>
      </c>
      <c r="F2" s="16" t="s">
        <v>37</v>
      </c>
      <c r="G2" s="16" t="s">
        <v>38</v>
      </c>
      <c r="H2" s="7">
        <v>46078</v>
      </c>
      <c r="I2" s="4" t="s">
        <v>39</v>
      </c>
      <c r="J2" s="4"/>
      <c r="K2" s="3" t="s">
        <v>40</v>
      </c>
      <c r="L2" s="4" t="s">
        <v>41</v>
      </c>
      <c r="M2" s="4" t="s">
        <v>42</v>
      </c>
      <c r="N2" s="4" t="s">
        <v>43</v>
      </c>
      <c r="O2" s="55" t="s">
        <v>44</v>
      </c>
      <c r="P2" s="238">
        <v>33737</v>
      </c>
      <c r="Q2" s="285" t="s">
        <v>45</v>
      </c>
      <c r="R2" s="23" t="s">
        <v>46</v>
      </c>
      <c r="S2" s="22" t="s">
        <v>47</v>
      </c>
      <c r="T2" s="304" t="s">
        <v>48</v>
      </c>
      <c r="U2" s="10" t="str">
        <f>VLOOKUP('IMPO TERR'!T2,'Matriz datos'!$J$2:$K$10,2,0)</f>
        <v>AV. GALVARINO 8601 BGA. 11, QUILICURA</v>
      </c>
      <c r="V2" s="108" t="s">
        <v>49</v>
      </c>
      <c r="W2" s="396" t="s">
        <v>50</v>
      </c>
      <c r="X2" s="60">
        <v>46083.859976851854</v>
      </c>
      <c r="Y2" s="59">
        <v>46084</v>
      </c>
      <c r="Z2" s="34">
        <v>46087</v>
      </c>
      <c r="AA2" s="307">
        <v>4090179930</v>
      </c>
      <c r="AB2" s="29">
        <v>46087.725694444445</v>
      </c>
      <c r="AC2" s="46">
        <v>46090.479398148149</v>
      </c>
      <c r="AD2" s="44">
        <v>46090.559687499997</v>
      </c>
      <c r="AE2" s="115"/>
      <c r="AF2" s="397">
        <v>25010000</v>
      </c>
      <c r="AG2" s="14">
        <v>0</v>
      </c>
      <c r="AH2" s="36">
        <v>0</v>
      </c>
    </row>
    <row r="3" spans="1:34" ht="24.75" customHeight="1">
      <c r="A3" s="390" t="s">
        <v>51</v>
      </c>
      <c r="B3" s="390">
        <v>179947</v>
      </c>
      <c r="C3" s="393" t="s">
        <v>35</v>
      </c>
      <c r="D3" s="2" t="s">
        <v>52</v>
      </c>
      <c r="E3" s="28">
        <v>46076</v>
      </c>
      <c r="F3" s="15"/>
      <c r="G3" s="15" t="s">
        <v>53</v>
      </c>
      <c r="H3" s="2"/>
      <c r="I3" s="2"/>
      <c r="J3" s="4"/>
      <c r="K3" s="3" t="s">
        <v>54</v>
      </c>
      <c r="L3" s="4" t="s">
        <v>55</v>
      </c>
      <c r="M3" s="4" t="s">
        <v>42</v>
      </c>
      <c r="N3" s="4" t="s">
        <v>43</v>
      </c>
      <c r="O3" s="55" t="s">
        <v>56</v>
      </c>
      <c r="P3" s="238">
        <v>32028</v>
      </c>
      <c r="Q3" s="285" t="s">
        <v>57</v>
      </c>
      <c r="R3" s="23" t="s">
        <v>58</v>
      </c>
      <c r="S3" s="22" t="s">
        <v>59</v>
      </c>
      <c r="T3" s="304" t="s">
        <v>60</v>
      </c>
      <c r="U3" s="10" t="str">
        <f>VLOOKUP('IMPO TERR'!T3,'Matriz datos'!$J$2:$K$10,2,0)</f>
        <v>CAMINO SANTA MARTA 2101, MAIPU</v>
      </c>
      <c r="V3" s="111" t="s">
        <v>61</v>
      </c>
      <c r="W3" s="112" t="s">
        <v>62</v>
      </c>
      <c r="X3" s="24">
        <v>46080.908217592594</v>
      </c>
      <c r="Y3" s="61">
        <v>46081</v>
      </c>
      <c r="Z3" s="7">
        <v>46085</v>
      </c>
      <c r="AA3" s="307">
        <v>4090179947</v>
      </c>
      <c r="AB3" s="29">
        <v>46085.553472222222</v>
      </c>
      <c r="AC3" s="65">
        <v>46086.655057870368</v>
      </c>
      <c r="AD3" s="69">
        <v>46093</v>
      </c>
      <c r="AE3" s="115"/>
      <c r="AF3" s="397">
        <v>6500000</v>
      </c>
      <c r="AG3" s="11">
        <v>857.58</v>
      </c>
      <c r="AH3" s="37"/>
    </row>
    <row r="4" spans="1:34" ht="24.75" customHeight="1">
      <c r="A4" s="390" t="s">
        <v>63</v>
      </c>
      <c r="B4" s="390">
        <v>179972</v>
      </c>
      <c r="C4" s="393" t="s">
        <v>35</v>
      </c>
      <c r="D4" s="4" t="s">
        <v>52</v>
      </c>
      <c r="E4" s="7">
        <v>46077</v>
      </c>
      <c r="F4" s="16" t="s">
        <v>64</v>
      </c>
      <c r="G4" s="16" t="s">
        <v>64</v>
      </c>
      <c r="H4" s="4"/>
      <c r="I4" s="4"/>
      <c r="J4" s="4"/>
      <c r="K4" s="3" t="s">
        <v>40</v>
      </c>
      <c r="L4" s="4" t="s">
        <v>41</v>
      </c>
      <c r="M4" s="4" t="s">
        <v>42</v>
      </c>
      <c r="N4" s="4" t="s">
        <v>43</v>
      </c>
      <c r="O4" s="55" t="s">
        <v>65</v>
      </c>
      <c r="P4" s="238">
        <v>32413</v>
      </c>
      <c r="Q4" s="285" t="s">
        <v>45</v>
      </c>
      <c r="R4" s="23" t="s">
        <v>66</v>
      </c>
      <c r="S4" s="22" t="s">
        <v>67</v>
      </c>
      <c r="T4" s="304" t="s">
        <v>68</v>
      </c>
      <c r="U4" s="10" t="str">
        <f>VLOOKUP('IMPO TERR'!T4,'Matriz datos'!$J$2:$K$10,2,0)</f>
        <v>AV. PDTE. EDUARDO FREI 8301, QUILICURA</v>
      </c>
      <c r="V4" s="316" t="s">
        <v>69</v>
      </c>
      <c r="W4" s="99" t="s">
        <v>70</v>
      </c>
      <c r="X4" s="60">
        <v>46082.479074074072</v>
      </c>
      <c r="Y4" s="59">
        <v>46083</v>
      </c>
      <c r="Z4" s="292">
        <v>46085</v>
      </c>
      <c r="AA4" s="307">
        <v>4090179972</v>
      </c>
      <c r="AB4" s="29">
        <v>46085.652777777781</v>
      </c>
      <c r="AC4" s="46">
        <v>46085.753275462965</v>
      </c>
      <c r="AD4" s="44">
        <v>46085.83252314815</v>
      </c>
      <c r="AE4" s="115"/>
      <c r="AF4" s="397">
        <v>25950000</v>
      </c>
      <c r="AG4" s="11">
        <v>857.58</v>
      </c>
      <c r="AH4" s="36"/>
    </row>
    <row r="5" spans="1:34" ht="24.75" customHeight="1">
      <c r="A5" s="390" t="s">
        <v>71</v>
      </c>
      <c r="B5" s="390">
        <v>180001</v>
      </c>
      <c r="C5" s="393" t="s">
        <v>35</v>
      </c>
      <c r="D5" s="4" t="s">
        <v>52</v>
      </c>
      <c r="E5" s="7">
        <v>46077</v>
      </c>
      <c r="F5" s="16"/>
      <c r="G5" s="16"/>
      <c r="H5" s="4"/>
      <c r="I5" s="4"/>
      <c r="J5" s="4"/>
      <c r="K5" s="3" t="s">
        <v>40</v>
      </c>
      <c r="L5" s="4" t="s">
        <v>41</v>
      </c>
      <c r="M5" s="4" t="s">
        <v>42</v>
      </c>
      <c r="N5" s="4" t="s">
        <v>43</v>
      </c>
      <c r="O5" s="55" t="s">
        <v>72</v>
      </c>
      <c r="P5" s="238"/>
      <c r="Q5" s="285" t="s">
        <v>45</v>
      </c>
      <c r="R5" s="23" t="s">
        <v>73</v>
      </c>
      <c r="S5" s="22" t="s">
        <v>74</v>
      </c>
      <c r="T5" s="304" t="s">
        <v>68</v>
      </c>
      <c r="U5" s="10" t="str">
        <f>VLOOKUP('IMPO TERR'!T5,'Matriz datos'!$J$2:$K$10,2,0)</f>
        <v>AV. PDTE. EDUARDO FREI 8301, QUILICURA</v>
      </c>
      <c r="V5" s="398" t="s">
        <v>75</v>
      </c>
      <c r="W5" s="99" t="s">
        <v>76</v>
      </c>
      <c r="X5" s="60">
        <v>46086.792349537034</v>
      </c>
      <c r="Y5" s="64">
        <v>46087</v>
      </c>
      <c r="Z5" s="292">
        <v>46079</v>
      </c>
      <c r="AA5" s="307">
        <v>4090180001</v>
      </c>
      <c r="AB5" s="29">
        <v>46087</v>
      </c>
      <c r="AC5" s="46">
        <v>46087.774537037039</v>
      </c>
      <c r="AD5" s="44">
        <v>46087.825578703705</v>
      </c>
      <c r="AE5" s="115"/>
      <c r="AF5" s="397">
        <v>26010000</v>
      </c>
      <c r="AG5" s="11">
        <v>857.95</v>
      </c>
      <c r="AH5" s="36"/>
    </row>
    <row r="6" spans="1:34" ht="24.75" customHeight="1">
      <c r="A6" s="390" t="s">
        <v>77</v>
      </c>
      <c r="B6" s="390">
        <v>180023</v>
      </c>
      <c r="C6" s="393" t="s">
        <v>35</v>
      </c>
      <c r="D6" s="4" t="s">
        <v>52</v>
      </c>
      <c r="E6" s="28">
        <v>46078</v>
      </c>
      <c r="F6" s="15"/>
      <c r="G6" s="15"/>
      <c r="H6" s="2"/>
      <c r="I6" s="2"/>
      <c r="J6" s="4"/>
      <c r="K6" s="3" t="s">
        <v>40</v>
      </c>
      <c r="L6" s="4" t="s">
        <v>41</v>
      </c>
      <c r="M6" s="4" t="s">
        <v>42</v>
      </c>
      <c r="N6" s="4" t="s">
        <v>43</v>
      </c>
      <c r="O6" s="55" t="s">
        <v>78</v>
      </c>
      <c r="P6" s="238">
        <v>34269</v>
      </c>
      <c r="Q6" s="285" t="s">
        <v>45</v>
      </c>
      <c r="R6" s="23" t="s">
        <v>79</v>
      </c>
      <c r="S6" s="22" t="s">
        <v>80</v>
      </c>
      <c r="T6" s="304" t="s">
        <v>68</v>
      </c>
      <c r="U6" s="10" t="str">
        <f>VLOOKUP('IMPO TERR'!T6,'Matriz datos'!$J$2:$K$10,2,0)</f>
        <v>AV. PDTE. EDUARDO FREI 8301, QUILICURA</v>
      </c>
      <c r="V6" s="317" t="s">
        <v>81</v>
      </c>
      <c r="W6" s="99" t="s">
        <v>82</v>
      </c>
      <c r="X6" s="60">
        <v>46084.790868055556</v>
      </c>
      <c r="Y6" s="59">
        <v>46085</v>
      </c>
      <c r="Z6" s="292">
        <v>46080</v>
      </c>
      <c r="AA6" s="307">
        <v>4090180023</v>
      </c>
      <c r="AB6" s="29">
        <v>46085</v>
      </c>
      <c r="AC6" s="63">
        <v>46084.790868055556</v>
      </c>
      <c r="AD6" s="44">
        <v>46085.734293981484</v>
      </c>
      <c r="AE6" s="115"/>
      <c r="AF6" s="399">
        <v>25520000</v>
      </c>
      <c r="AG6" s="11">
        <v>857.95</v>
      </c>
      <c r="AH6" s="37"/>
    </row>
    <row r="7" spans="1:34" ht="24.75" customHeight="1">
      <c r="A7" s="390" t="s">
        <v>83</v>
      </c>
      <c r="B7" s="390">
        <v>180040</v>
      </c>
      <c r="C7" s="393" t="s">
        <v>35</v>
      </c>
      <c r="D7" s="4" t="s">
        <v>52</v>
      </c>
      <c r="E7" s="7">
        <v>46078</v>
      </c>
      <c r="F7" s="16"/>
      <c r="G7" s="16"/>
      <c r="H7" s="4"/>
      <c r="I7" s="4"/>
      <c r="J7" s="4"/>
      <c r="K7" s="3" t="s">
        <v>40</v>
      </c>
      <c r="L7" s="4" t="s">
        <v>55</v>
      </c>
      <c r="M7" s="4" t="s">
        <v>42</v>
      </c>
      <c r="N7" s="4" t="s">
        <v>43</v>
      </c>
      <c r="O7" s="55" t="s">
        <v>84</v>
      </c>
      <c r="P7" s="238"/>
      <c r="Q7" s="285" t="s">
        <v>85</v>
      </c>
      <c r="R7" s="23" t="s">
        <v>86</v>
      </c>
      <c r="S7" s="22" t="s">
        <v>87</v>
      </c>
      <c r="T7" s="304" t="s">
        <v>88</v>
      </c>
      <c r="U7" s="10" t="str">
        <f>VLOOKUP('IMPO TERR'!T7,'Matriz datos'!$J$2:$K$10,2,0)</f>
        <v>AV. AMERICO VESPUCIO 0350, QUILICURA</v>
      </c>
      <c r="V7" s="118" t="s">
        <v>89</v>
      </c>
      <c r="W7" s="97" t="s">
        <v>90</v>
      </c>
      <c r="X7" s="60">
        <v>46082.751284722224</v>
      </c>
      <c r="Y7" s="59">
        <v>46083</v>
      </c>
      <c r="Z7" s="292">
        <v>46084</v>
      </c>
      <c r="AA7" s="307">
        <v>4090180040</v>
      </c>
      <c r="AB7" s="29">
        <v>46084</v>
      </c>
      <c r="AC7" s="46">
        <v>46085.669062499997</v>
      </c>
      <c r="AD7" s="44">
        <v>46087.305219907408</v>
      </c>
      <c r="AE7" s="115"/>
      <c r="AF7" s="400">
        <v>28670000</v>
      </c>
      <c r="AG7" s="11">
        <v>857.58</v>
      </c>
      <c r="AH7" s="36"/>
    </row>
    <row r="8" spans="1:34" ht="24.75" customHeight="1">
      <c r="A8" s="390" t="s">
        <v>91</v>
      </c>
      <c r="B8" s="390">
        <v>180056</v>
      </c>
      <c r="C8" s="393" t="s">
        <v>35</v>
      </c>
      <c r="D8" s="4" t="s">
        <v>52</v>
      </c>
      <c r="E8" s="7">
        <v>46079</v>
      </c>
      <c r="F8" s="16"/>
      <c r="G8" s="16"/>
      <c r="H8" s="4"/>
      <c r="I8" s="4"/>
      <c r="J8" s="4"/>
      <c r="K8" s="3" t="s">
        <v>40</v>
      </c>
      <c r="L8" s="4" t="s">
        <v>41</v>
      </c>
      <c r="M8" s="4" t="s">
        <v>42</v>
      </c>
      <c r="N8" s="4" t="s">
        <v>43</v>
      </c>
      <c r="O8" s="55" t="s">
        <v>92</v>
      </c>
      <c r="P8" s="238"/>
      <c r="Q8" s="285" t="s">
        <v>45</v>
      </c>
      <c r="R8" s="23" t="s">
        <v>93</v>
      </c>
      <c r="S8" s="22" t="s">
        <v>94</v>
      </c>
      <c r="T8" s="304" t="s">
        <v>68</v>
      </c>
      <c r="U8" s="10" t="str">
        <f>VLOOKUP('IMPO TERR'!T8,'Matriz datos'!$J$2:$K$10,2,0)</f>
        <v>AV. PDTE. EDUARDO FREI 8301, QUILICURA</v>
      </c>
      <c r="V8" s="398" t="s">
        <v>95</v>
      </c>
      <c r="W8" s="319"/>
      <c r="X8" s="119">
        <v>46086.865740740737</v>
      </c>
      <c r="Y8" s="58">
        <v>46087</v>
      </c>
      <c r="Z8" s="292">
        <v>46083</v>
      </c>
      <c r="AA8" s="307">
        <v>4090180056</v>
      </c>
      <c r="AB8" s="29">
        <v>46087</v>
      </c>
      <c r="AC8" s="46">
        <v>46087.778796296298</v>
      </c>
      <c r="AD8" s="44">
        <v>46087.824224537035</v>
      </c>
      <c r="AE8" s="115"/>
      <c r="AF8" s="397">
        <v>25880000</v>
      </c>
      <c r="AG8" s="11">
        <v>857.58</v>
      </c>
      <c r="AH8" s="36"/>
    </row>
    <row r="9" spans="1:34" ht="24.75" customHeight="1">
      <c r="A9" s="390" t="s">
        <v>96</v>
      </c>
      <c r="B9" s="390">
        <v>180057</v>
      </c>
      <c r="C9" s="393" t="s">
        <v>35</v>
      </c>
      <c r="D9" s="4" t="s">
        <v>52</v>
      </c>
      <c r="E9" s="28">
        <v>46079</v>
      </c>
      <c r="F9" s="90" t="s">
        <v>97</v>
      </c>
      <c r="G9" s="90" t="s">
        <v>97</v>
      </c>
      <c r="H9" s="2"/>
      <c r="I9" s="2"/>
      <c r="J9" s="4"/>
      <c r="K9" s="3" t="s">
        <v>40</v>
      </c>
      <c r="L9" s="4" t="s">
        <v>41</v>
      </c>
      <c r="M9" s="4" t="s">
        <v>42</v>
      </c>
      <c r="N9" s="4" t="s">
        <v>43</v>
      </c>
      <c r="O9" s="55" t="s">
        <v>98</v>
      </c>
      <c r="P9" s="238">
        <v>32539</v>
      </c>
      <c r="Q9" s="285" t="s">
        <v>45</v>
      </c>
      <c r="R9" s="23" t="s">
        <v>99</v>
      </c>
      <c r="S9" s="22" t="s">
        <v>100</v>
      </c>
      <c r="T9" s="304" t="s">
        <v>68</v>
      </c>
      <c r="U9" s="10" t="str">
        <f>VLOOKUP('IMPO TERR'!T9,'Matriz datos'!$J$2:$K$10,2,0)</f>
        <v>AV. PDTE. EDUARDO FREI 8301, QUILICURA</v>
      </c>
      <c r="V9" s="318" t="s">
        <v>101</v>
      </c>
      <c r="W9" s="401" t="s">
        <v>102</v>
      </c>
      <c r="X9" s="24">
        <v>46082.639456018522</v>
      </c>
      <c r="Y9" s="59">
        <v>46083</v>
      </c>
      <c r="Z9" s="292">
        <v>46084</v>
      </c>
      <c r="AA9" s="307">
        <v>4090180057</v>
      </c>
      <c r="AB9" s="29">
        <v>46084</v>
      </c>
      <c r="AC9" s="46">
        <v>46085.595659722225</v>
      </c>
      <c r="AD9" s="44">
        <v>46085.680081018516</v>
      </c>
      <c r="AE9" s="116"/>
      <c r="AF9" s="399">
        <v>25770000</v>
      </c>
      <c r="AG9" s="11">
        <v>857.58</v>
      </c>
      <c r="AH9" s="37"/>
    </row>
    <row r="10" spans="1:34" ht="24.75" customHeight="1">
      <c r="A10" s="390" t="s">
        <v>103</v>
      </c>
      <c r="B10" s="390">
        <v>180059</v>
      </c>
      <c r="C10" s="393" t="s">
        <v>35</v>
      </c>
      <c r="D10" s="4" t="s">
        <v>52</v>
      </c>
      <c r="E10" s="7">
        <v>46079</v>
      </c>
      <c r="F10" s="16"/>
      <c r="G10" s="16"/>
      <c r="H10" s="4"/>
      <c r="I10" s="4"/>
      <c r="J10" s="4"/>
      <c r="K10" s="3" t="s">
        <v>54</v>
      </c>
      <c r="L10" s="4" t="s">
        <v>41</v>
      </c>
      <c r="M10" s="4" t="s">
        <v>42</v>
      </c>
      <c r="N10" s="4" t="s">
        <v>43</v>
      </c>
      <c r="O10" s="55" t="s">
        <v>104</v>
      </c>
      <c r="P10" s="238"/>
      <c r="Q10" s="285" t="s">
        <v>105</v>
      </c>
      <c r="R10" s="39" t="s">
        <v>106</v>
      </c>
      <c r="S10" s="4" t="s">
        <v>107</v>
      </c>
      <c r="T10" s="304" t="s">
        <v>68</v>
      </c>
      <c r="U10" s="10" t="str">
        <f>VLOOKUP('IMPO TERR'!T10,'Matriz datos'!$J$2:$K$10,2,0)</f>
        <v>AV. PDTE. EDUARDO FREI 8301, QUILICURA</v>
      </c>
      <c r="V10" s="98"/>
      <c r="W10" s="320"/>
      <c r="X10" s="24">
        <v>46087.029641203706</v>
      </c>
      <c r="Y10" s="58">
        <v>46087</v>
      </c>
      <c r="Z10" s="292">
        <v>46083</v>
      </c>
      <c r="AA10" s="307">
        <v>4090180059</v>
      </c>
      <c r="AB10" s="29">
        <v>46087</v>
      </c>
      <c r="AC10" s="63">
        <v>46088.48065972222</v>
      </c>
      <c r="AD10" s="24">
        <v>46088.604351851849</v>
      </c>
      <c r="AE10" s="115"/>
      <c r="AF10" s="402">
        <v>25720000</v>
      </c>
      <c r="AG10" s="11">
        <v>857.58</v>
      </c>
      <c r="AH10" s="36"/>
    </row>
    <row r="11" spans="1:34" ht="24.75" customHeight="1">
      <c r="A11" s="390" t="s">
        <v>108</v>
      </c>
      <c r="B11" s="390">
        <v>180066</v>
      </c>
      <c r="C11" s="393" t="s">
        <v>35</v>
      </c>
      <c r="D11" s="5" t="s">
        <v>36</v>
      </c>
      <c r="E11" s="76">
        <v>46079</v>
      </c>
      <c r="F11" s="16"/>
      <c r="G11" s="16"/>
      <c r="H11" s="8"/>
      <c r="I11" s="4"/>
      <c r="J11" s="4"/>
      <c r="K11" s="3" t="s">
        <v>40</v>
      </c>
      <c r="L11" s="4" t="s">
        <v>41</v>
      </c>
      <c r="M11" s="4" t="s">
        <v>42</v>
      </c>
      <c r="N11" s="4" t="s">
        <v>43</v>
      </c>
      <c r="O11" s="55" t="s">
        <v>109</v>
      </c>
      <c r="P11" s="238"/>
      <c r="Q11" s="285" t="s">
        <v>110</v>
      </c>
      <c r="R11" s="300" t="s">
        <v>111</v>
      </c>
      <c r="S11" s="25" t="s">
        <v>112</v>
      </c>
      <c r="T11" s="304" t="s">
        <v>88</v>
      </c>
      <c r="U11" s="10" t="str">
        <f>VLOOKUP('IMPO TERR'!T11,'Matriz datos'!$J$2:$K$10,2,0)</f>
        <v>AV. AMERICO VESPUCIO 0350, QUILICURA</v>
      </c>
      <c r="V11" s="96" t="s">
        <v>113</v>
      </c>
      <c r="W11" s="97"/>
      <c r="X11" s="24">
        <v>46089.869884259257</v>
      </c>
      <c r="Y11" s="59">
        <v>46090</v>
      </c>
      <c r="Z11" s="292">
        <v>46085</v>
      </c>
      <c r="AA11" s="307">
        <v>4090180066</v>
      </c>
      <c r="AB11" s="29">
        <v>46090</v>
      </c>
      <c r="AC11" s="58">
        <v>46091</v>
      </c>
      <c r="AD11" s="59">
        <v>46092</v>
      </c>
      <c r="AE11" s="115">
        <v>141542</v>
      </c>
      <c r="AF11" s="68">
        <v>25180000</v>
      </c>
      <c r="AG11" s="11">
        <v>857.58</v>
      </c>
      <c r="AH11" s="36"/>
    </row>
    <row r="12" spans="1:34" ht="24.75" customHeight="1">
      <c r="A12" s="390" t="s">
        <v>114</v>
      </c>
      <c r="B12" s="390">
        <v>180067</v>
      </c>
      <c r="C12" s="393" t="s">
        <v>35</v>
      </c>
      <c r="D12" s="5" t="s">
        <v>115</v>
      </c>
      <c r="E12" s="76">
        <v>46079</v>
      </c>
      <c r="F12" s="90" t="s">
        <v>97</v>
      </c>
      <c r="G12" s="90" t="s">
        <v>97</v>
      </c>
      <c r="H12" s="8"/>
      <c r="I12" s="4"/>
      <c r="J12" s="4"/>
      <c r="K12" s="3" t="s">
        <v>54</v>
      </c>
      <c r="L12" s="4" t="s">
        <v>41</v>
      </c>
      <c r="M12" s="4" t="s">
        <v>42</v>
      </c>
      <c r="N12" s="4" t="s">
        <v>43</v>
      </c>
      <c r="O12" s="55" t="s">
        <v>116</v>
      </c>
      <c r="P12" s="238"/>
      <c r="Q12" s="285"/>
      <c r="R12" s="33" t="s">
        <v>117</v>
      </c>
      <c r="S12" s="8" t="s">
        <v>118</v>
      </c>
      <c r="T12" s="304" t="s">
        <v>68</v>
      </c>
      <c r="U12" s="10" t="str">
        <f>VLOOKUP('IMPO TERR'!T12,'Matriz datos'!$J$2:$K$10,2,0)</f>
        <v>AV. PDTE. EDUARDO FREI 8301, QUILICURA</v>
      </c>
      <c r="V12" s="100" t="s">
        <v>119</v>
      </c>
      <c r="W12" s="101"/>
      <c r="X12" s="24">
        <v>46089.755486111113</v>
      </c>
      <c r="Y12" s="58" t="s">
        <v>120</v>
      </c>
      <c r="Z12" s="292">
        <v>46083</v>
      </c>
      <c r="AA12" s="307">
        <v>4090180067</v>
      </c>
      <c r="AB12" s="29">
        <v>46090</v>
      </c>
      <c r="AC12" s="46">
        <v>46090.659386574072</v>
      </c>
      <c r="AD12" s="54">
        <v>46090</v>
      </c>
      <c r="AE12" s="115">
        <v>141496</v>
      </c>
      <c r="AF12" s="403">
        <v>24360000</v>
      </c>
      <c r="AG12" s="11">
        <v>857.58</v>
      </c>
      <c r="AH12" s="36"/>
    </row>
    <row r="13" spans="1:34" ht="24.75" customHeight="1">
      <c r="A13" s="390" t="s">
        <v>121</v>
      </c>
      <c r="B13" s="390">
        <v>180070</v>
      </c>
      <c r="C13" s="393" t="s">
        <v>35</v>
      </c>
      <c r="D13" s="4" t="s">
        <v>52</v>
      </c>
      <c r="E13" s="76">
        <v>46079</v>
      </c>
      <c r="F13" s="16"/>
      <c r="G13" s="16"/>
      <c r="H13" s="8"/>
      <c r="I13" s="4"/>
      <c r="J13" s="4"/>
      <c r="K13" s="3" t="s">
        <v>40</v>
      </c>
      <c r="L13" s="4" t="s">
        <v>55</v>
      </c>
      <c r="M13" s="4" t="s">
        <v>42</v>
      </c>
      <c r="N13" s="4" t="s">
        <v>43</v>
      </c>
      <c r="O13" s="55" t="s">
        <v>122</v>
      </c>
      <c r="P13" s="238"/>
      <c r="Q13" s="285" t="s">
        <v>85</v>
      </c>
      <c r="R13" s="23" t="s">
        <v>123</v>
      </c>
      <c r="S13" s="22" t="s">
        <v>124</v>
      </c>
      <c r="T13" s="304" t="s">
        <v>68</v>
      </c>
      <c r="U13" s="10" t="str">
        <f>VLOOKUP('IMPO TERR'!T13,'Matriz datos'!$J$2:$K$10,2,0)</f>
        <v>AV. PDTE. EDUARDO FREI 8301, QUILICURA</v>
      </c>
      <c r="V13" s="100"/>
      <c r="W13" s="101"/>
      <c r="X13" s="24">
        <v>46083.876631944448</v>
      </c>
      <c r="Y13" s="64">
        <v>46084</v>
      </c>
      <c r="Z13" s="292">
        <v>46085</v>
      </c>
      <c r="AA13" s="307">
        <v>4090180070</v>
      </c>
      <c r="AB13" s="29">
        <v>46085</v>
      </c>
      <c r="AC13" s="63">
        <v>46085.770775462966</v>
      </c>
      <c r="AD13" s="44">
        <v>46087.751863425925</v>
      </c>
      <c r="AE13" s="115"/>
      <c r="AF13" s="404">
        <v>27110000</v>
      </c>
      <c r="AG13" s="11">
        <v>857.58</v>
      </c>
      <c r="AH13" s="36"/>
    </row>
    <row r="14" spans="1:34" ht="24.75" customHeight="1">
      <c r="A14" s="390" t="s">
        <v>125</v>
      </c>
      <c r="B14" s="390">
        <v>180072</v>
      </c>
      <c r="C14" s="393" t="s">
        <v>35</v>
      </c>
      <c r="D14" s="4" t="s">
        <v>52</v>
      </c>
      <c r="E14" s="76">
        <v>46079</v>
      </c>
      <c r="F14" s="16"/>
      <c r="G14" s="16"/>
      <c r="H14" s="8"/>
      <c r="I14" s="4"/>
      <c r="J14" s="4"/>
      <c r="K14" s="3" t="s">
        <v>40</v>
      </c>
      <c r="L14" s="4" t="s">
        <v>55</v>
      </c>
      <c r="M14" s="4" t="s">
        <v>42</v>
      </c>
      <c r="N14" s="4" t="s">
        <v>43</v>
      </c>
      <c r="O14" s="55" t="s">
        <v>126</v>
      </c>
      <c r="P14" s="238"/>
      <c r="Q14" s="285" t="s">
        <v>127</v>
      </c>
      <c r="R14" s="39" t="s">
        <v>128</v>
      </c>
      <c r="S14" s="4" t="s">
        <v>129</v>
      </c>
      <c r="T14" s="304" t="s">
        <v>68</v>
      </c>
      <c r="U14" s="10" t="str">
        <f>VLOOKUP('IMPO TERR'!T14,'Matriz datos'!$J$2:$K$10,2,0)</f>
        <v>AV. PDTE. EDUARDO FREI 8301, QUILICURA</v>
      </c>
      <c r="V14" s="100"/>
      <c r="W14" s="101"/>
      <c r="X14" s="60">
        <v>46084.793206018519</v>
      </c>
      <c r="Y14" s="59">
        <v>46085</v>
      </c>
      <c r="Z14" s="292">
        <v>46085</v>
      </c>
      <c r="AA14" s="307">
        <v>4090180072</v>
      </c>
      <c r="AB14" s="29">
        <v>46085</v>
      </c>
      <c r="AC14" s="63">
        <v>46085.747789351852</v>
      </c>
      <c r="AD14" s="54">
        <v>46091</v>
      </c>
      <c r="AE14" s="115"/>
      <c r="AF14" s="399">
        <v>26210000</v>
      </c>
      <c r="AG14" s="11">
        <v>857.58</v>
      </c>
      <c r="AH14" s="36"/>
    </row>
    <row r="15" spans="1:34" ht="24.75" customHeight="1">
      <c r="A15" s="390" t="s">
        <v>130</v>
      </c>
      <c r="B15" s="390">
        <v>180073</v>
      </c>
      <c r="C15" s="393" t="s">
        <v>35</v>
      </c>
      <c r="D15" s="4" t="s">
        <v>52</v>
      </c>
      <c r="E15" s="76">
        <v>46079</v>
      </c>
      <c r="F15" s="16"/>
      <c r="G15" s="16"/>
      <c r="H15" s="8"/>
      <c r="I15" s="4"/>
      <c r="J15" s="4"/>
      <c r="K15" s="3" t="s">
        <v>40</v>
      </c>
      <c r="L15" s="4" t="s">
        <v>55</v>
      </c>
      <c r="M15" s="4" t="s">
        <v>42</v>
      </c>
      <c r="N15" s="4" t="s">
        <v>43</v>
      </c>
      <c r="O15" s="55" t="s">
        <v>131</v>
      </c>
      <c r="P15" s="238">
        <v>2026</v>
      </c>
      <c r="Q15" s="285" t="s">
        <v>132</v>
      </c>
      <c r="R15" s="39" t="s">
        <v>133</v>
      </c>
      <c r="S15" s="8" t="s">
        <v>134</v>
      </c>
      <c r="T15" s="304" t="s">
        <v>68</v>
      </c>
      <c r="U15" s="10" t="str">
        <f>VLOOKUP('IMPO TERR'!T15,'Matriz datos'!$J$2:$K$10,2,0)</f>
        <v>AV. PDTE. EDUARDO FREI 8301, QUILICURA</v>
      </c>
      <c r="V15" s="100"/>
      <c r="W15" s="101"/>
      <c r="X15" s="24">
        <v>46084.767557870371</v>
      </c>
      <c r="Y15" s="58">
        <v>46085</v>
      </c>
      <c r="Z15" s="292">
        <v>46083</v>
      </c>
      <c r="AA15" s="307">
        <v>4090180073</v>
      </c>
      <c r="AB15" s="29">
        <v>46085</v>
      </c>
      <c r="AC15" s="46">
        <v>46085.597418981481</v>
      </c>
      <c r="AD15" s="44">
        <v>46087.810104166667</v>
      </c>
      <c r="AE15" s="115"/>
      <c r="AF15" s="400">
        <v>25670000</v>
      </c>
      <c r="AG15" s="11">
        <v>857.58</v>
      </c>
      <c r="AH15" s="36"/>
    </row>
    <row r="16" spans="1:34" ht="24.75" customHeight="1">
      <c r="A16" s="390" t="s">
        <v>135</v>
      </c>
      <c r="B16" s="390">
        <v>180074</v>
      </c>
      <c r="C16" s="393" t="s">
        <v>35</v>
      </c>
      <c r="D16" s="4" t="s">
        <v>52</v>
      </c>
      <c r="E16" s="76">
        <v>46079</v>
      </c>
      <c r="F16" s="90" t="s">
        <v>136</v>
      </c>
      <c r="G16" s="90" t="s">
        <v>136</v>
      </c>
      <c r="H16" s="8"/>
      <c r="I16" s="4"/>
      <c r="J16" s="4"/>
      <c r="K16" s="3" t="s">
        <v>40</v>
      </c>
      <c r="L16" s="4" t="s">
        <v>41</v>
      </c>
      <c r="M16" s="4" t="s">
        <v>42</v>
      </c>
      <c r="N16" s="4" t="s">
        <v>43</v>
      </c>
      <c r="O16" s="55" t="s">
        <v>137</v>
      </c>
      <c r="P16" s="238"/>
      <c r="Q16" t="s">
        <v>45</v>
      </c>
      <c r="R16" s="39" t="s">
        <v>138</v>
      </c>
      <c r="S16" s="4" t="s">
        <v>139</v>
      </c>
      <c r="T16" s="304" t="s">
        <v>68</v>
      </c>
      <c r="U16" s="10" t="str">
        <f>VLOOKUP('IMPO TERR'!T16,'Matriz datos'!$J$2:$K$10,2,0)</f>
        <v>AV. PDTE. EDUARDO FREI 8301, QUILICURA</v>
      </c>
      <c r="V16" s="100"/>
      <c r="W16" s="101"/>
      <c r="X16" s="24">
        <v>46087.570914351854</v>
      </c>
      <c r="Y16" s="59">
        <v>46088</v>
      </c>
      <c r="Z16" s="292">
        <v>46084</v>
      </c>
      <c r="AA16" s="307">
        <v>4090180074</v>
      </c>
      <c r="AB16" s="29">
        <v>46087</v>
      </c>
      <c r="AC16" s="63">
        <v>46088.563298611109</v>
      </c>
      <c r="AD16" s="44">
        <v>46088.638321759259</v>
      </c>
      <c r="AE16" s="115"/>
      <c r="AF16" s="399">
        <v>24850000</v>
      </c>
      <c r="AG16" s="11">
        <v>857.58</v>
      </c>
      <c r="AH16" s="36"/>
    </row>
    <row r="17" spans="1:34" ht="24.75" customHeight="1">
      <c r="A17" s="390" t="s">
        <v>140</v>
      </c>
      <c r="B17" s="390">
        <v>180075</v>
      </c>
      <c r="C17" s="393" t="s">
        <v>35</v>
      </c>
      <c r="D17" s="5" t="s">
        <v>36</v>
      </c>
      <c r="E17" s="76">
        <v>46079</v>
      </c>
      <c r="F17" s="16"/>
      <c r="G17" s="16"/>
      <c r="H17" s="8"/>
      <c r="I17" s="4"/>
      <c r="J17" s="4"/>
      <c r="K17" s="3" t="s">
        <v>40</v>
      </c>
      <c r="L17" s="4" t="s">
        <v>41</v>
      </c>
      <c r="M17" s="4" t="s">
        <v>42</v>
      </c>
      <c r="N17" s="4" t="s">
        <v>43</v>
      </c>
      <c r="O17" s="55" t="s">
        <v>141</v>
      </c>
      <c r="P17" s="238"/>
      <c r="Q17" s="285"/>
      <c r="R17" s="39" t="s">
        <v>142</v>
      </c>
      <c r="S17" s="4" t="s">
        <v>142</v>
      </c>
      <c r="T17" s="304" t="s">
        <v>68</v>
      </c>
      <c r="U17" s="10" t="str">
        <f>VLOOKUP('IMPO TERR'!T17,'Matriz datos'!$J$2:$K$10,2,0)</f>
        <v>AV. PDTE. EDUARDO FREI 8301, QUILICURA</v>
      </c>
      <c r="V17" s="100" t="s">
        <v>143</v>
      </c>
      <c r="W17" s="101"/>
      <c r="X17" s="24">
        <v>46087.64466435185</v>
      </c>
      <c r="Y17" s="59">
        <v>46087</v>
      </c>
      <c r="Z17" s="292">
        <v>46083</v>
      </c>
      <c r="AA17" s="307">
        <v>4090180075</v>
      </c>
      <c r="AB17" s="29">
        <v>46087</v>
      </c>
      <c r="AC17" s="63">
        <v>46090.48064814815</v>
      </c>
      <c r="AD17" s="24">
        <v>46090.546446759261</v>
      </c>
      <c r="AE17" s="115"/>
      <c r="AF17" s="402">
        <v>23250000</v>
      </c>
      <c r="AG17" s="11">
        <v>857.58</v>
      </c>
      <c r="AH17" s="36"/>
    </row>
    <row r="18" spans="1:34" ht="24.75" customHeight="1">
      <c r="A18" s="390" t="s">
        <v>144</v>
      </c>
      <c r="B18" s="390">
        <v>180109</v>
      </c>
      <c r="C18" s="393" t="s">
        <v>35</v>
      </c>
      <c r="D18" s="4" t="s">
        <v>52</v>
      </c>
      <c r="E18" s="76">
        <v>46080</v>
      </c>
      <c r="F18" s="16"/>
      <c r="G18" s="16"/>
      <c r="H18" s="8"/>
      <c r="I18" s="4"/>
      <c r="J18" s="4"/>
      <c r="K18" s="3" t="s">
        <v>40</v>
      </c>
      <c r="L18" s="4" t="s">
        <v>55</v>
      </c>
      <c r="M18" s="4" t="s">
        <v>42</v>
      </c>
      <c r="N18" s="4" t="s">
        <v>43</v>
      </c>
      <c r="O18" s="55" t="s">
        <v>145</v>
      </c>
      <c r="P18" s="238">
        <v>2026</v>
      </c>
      <c r="Q18" s="285" t="s">
        <v>132</v>
      </c>
      <c r="R18" s="39" t="s">
        <v>146</v>
      </c>
      <c r="S18" s="4" t="s">
        <v>147</v>
      </c>
      <c r="T18" s="304" t="s">
        <v>148</v>
      </c>
      <c r="U18" s="10" t="str">
        <f>VLOOKUP('IMPO TERR'!T18,'Matriz datos'!$J$2:$K$10,2,0)</f>
        <v>AV. EL PARRON 345, LA CISTERNA</v>
      </c>
      <c r="V18" s="100"/>
      <c r="W18" s="101"/>
      <c r="X18" s="24">
        <v>46087.402025462965</v>
      </c>
      <c r="Y18" s="58">
        <v>46087</v>
      </c>
      <c r="Z18" s="292">
        <v>46084</v>
      </c>
      <c r="AA18" s="307">
        <v>4090180109</v>
      </c>
      <c r="AB18" s="29">
        <v>46087</v>
      </c>
      <c r="AC18" s="46">
        <v>46087.777962962966</v>
      </c>
      <c r="AD18" s="54">
        <v>46091</v>
      </c>
      <c r="AE18" s="115"/>
      <c r="AF18" s="404">
        <v>28760000</v>
      </c>
      <c r="AG18" s="11">
        <v>857.58</v>
      </c>
      <c r="AH18" s="36"/>
    </row>
    <row r="19" spans="1:34" ht="24.75" customHeight="1">
      <c r="A19" s="390" t="s">
        <v>149</v>
      </c>
      <c r="B19" s="390">
        <v>180110</v>
      </c>
      <c r="C19" s="393" t="s">
        <v>35</v>
      </c>
      <c r="D19" s="4" t="s">
        <v>52</v>
      </c>
      <c r="E19" s="76">
        <v>46080</v>
      </c>
      <c r="F19" s="16"/>
      <c r="G19" s="16"/>
      <c r="H19" s="8"/>
      <c r="I19" s="4"/>
      <c r="J19" s="4"/>
      <c r="K19" s="3" t="s">
        <v>40</v>
      </c>
      <c r="L19" s="4" t="s">
        <v>41</v>
      </c>
      <c r="M19" s="4" t="s">
        <v>42</v>
      </c>
      <c r="N19" s="4" t="s">
        <v>43</v>
      </c>
      <c r="O19" s="55" t="s">
        <v>150</v>
      </c>
      <c r="P19" s="238"/>
      <c r="Q19" s="285" t="s">
        <v>45</v>
      </c>
      <c r="R19" s="23" t="s">
        <v>151</v>
      </c>
      <c r="S19" s="22" t="s">
        <v>152</v>
      </c>
      <c r="T19" s="304" t="s">
        <v>68</v>
      </c>
      <c r="U19" s="10" t="str">
        <f>VLOOKUP('IMPO TERR'!T19,'Matriz datos'!$J$2:$K$10,2,0)</f>
        <v>AV. PDTE. EDUARDO FREI 8301, QUILICURA</v>
      </c>
      <c r="V19" s="100"/>
      <c r="W19" s="101"/>
      <c r="X19" s="60">
        <v>46086.751331018517</v>
      </c>
      <c r="Y19" s="59">
        <v>46087</v>
      </c>
      <c r="Z19" s="292">
        <v>46085</v>
      </c>
      <c r="AA19" s="307">
        <v>4090180110</v>
      </c>
      <c r="AB19" s="29">
        <v>46087</v>
      </c>
      <c r="AC19" s="46">
        <v>46087.745219907411</v>
      </c>
      <c r="AD19" s="44">
        <v>46087.807812500003</v>
      </c>
      <c r="AE19" s="115"/>
      <c r="AF19" s="397">
        <v>24290000</v>
      </c>
      <c r="AG19" s="11">
        <v>857.58</v>
      </c>
      <c r="AH19" s="36"/>
    </row>
    <row r="20" spans="1:34" ht="24.75" customHeight="1">
      <c r="A20" s="235" t="s">
        <v>153</v>
      </c>
      <c r="B20" s="235">
        <v>180112</v>
      </c>
      <c r="C20" s="393" t="s">
        <v>35</v>
      </c>
      <c r="D20" s="2" t="s">
        <v>52</v>
      </c>
      <c r="E20" s="28">
        <v>46080</v>
      </c>
      <c r="F20" s="15"/>
      <c r="G20" s="15"/>
      <c r="H20" s="2"/>
      <c r="I20" s="2"/>
      <c r="J20" s="2"/>
      <c r="K20" s="3" t="s">
        <v>40</v>
      </c>
      <c r="L20" s="2" t="s">
        <v>41</v>
      </c>
      <c r="M20" s="4" t="s">
        <v>42</v>
      </c>
      <c r="N20" s="4" t="s">
        <v>43</v>
      </c>
      <c r="O20" s="55" t="s">
        <v>154</v>
      </c>
      <c r="P20" s="238"/>
      <c r="Q20" s="285" t="s">
        <v>45</v>
      </c>
      <c r="R20" s="23" t="s">
        <v>155</v>
      </c>
      <c r="S20" s="22" t="s">
        <v>156</v>
      </c>
      <c r="T20" s="304" t="s">
        <v>88</v>
      </c>
      <c r="U20" s="10" t="str">
        <f>VLOOKUP('IMPO TERR'!T20,'Matriz datos'!$J$2:$K$10,2,0)</f>
        <v>AV. AMERICO VESPUCIO 0350, QUILICURA</v>
      </c>
      <c r="W20" s="97"/>
      <c r="X20" s="405">
        <v>46087.459421296298</v>
      </c>
      <c r="Y20" s="59">
        <v>46087</v>
      </c>
      <c r="Z20" s="292">
        <v>46085</v>
      </c>
      <c r="AA20" s="307">
        <v>4090180112</v>
      </c>
      <c r="AB20" s="29">
        <v>46087</v>
      </c>
      <c r="AC20" s="65">
        <v>46087.787546296298</v>
      </c>
      <c r="AD20" s="45">
        <v>46088.511770833335</v>
      </c>
      <c r="AE20" s="406"/>
      <c r="AF20" s="399">
        <v>25920000</v>
      </c>
      <c r="AG20" s="11">
        <v>857.58</v>
      </c>
      <c r="AH20" s="37"/>
    </row>
    <row r="21" spans="1:34" ht="24.75" customHeight="1">
      <c r="A21" s="235" t="s">
        <v>157</v>
      </c>
      <c r="B21" s="235">
        <v>180114</v>
      </c>
      <c r="C21" s="393" t="s">
        <v>35</v>
      </c>
      <c r="D21" s="2" t="s">
        <v>52</v>
      </c>
      <c r="E21" s="28">
        <v>46080</v>
      </c>
      <c r="F21" s="15"/>
      <c r="G21" s="15"/>
      <c r="H21" s="2"/>
      <c r="I21" s="2"/>
      <c r="J21" s="2"/>
      <c r="K21" s="3" t="s">
        <v>54</v>
      </c>
      <c r="L21" s="2" t="s">
        <v>41</v>
      </c>
      <c r="M21" s="4" t="s">
        <v>42</v>
      </c>
      <c r="N21" s="4" t="s">
        <v>43</v>
      </c>
      <c r="O21" s="55" t="s">
        <v>158</v>
      </c>
      <c r="P21" s="238"/>
      <c r="Q21" s="285" t="s">
        <v>159</v>
      </c>
      <c r="R21" s="39" t="s">
        <v>160</v>
      </c>
      <c r="S21" s="4" t="s">
        <v>161</v>
      </c>
      <c r="T21" s="304" t="s">
        <v>148</v>
      </c>
      <c r="U21" s="10" t="str">
        <f>VLOOKUP('IMPO TERR'!T21,'Matriz datos'!$J$2:$K$10,2,0)</f>
        <v>AV. EL PARRON 345, LA CISTERNA</v>
      </c>
      <c r="W21" s="97"/>
      <c r="X21" s="405">
        <v>46087.438958333332</v>
      </c>
      <c r="Y21" s="59">
        <v>46087</v>
      </c>
      <c r="Z21" s="292">
        <v>46085</v>
      </c>
      <c r="AA21" s="307">
        <v>4090180114</v>
      </c>
      <c r="AB21" s="29">
        <v>46087</v>
      </c>
      <c r="AC21" s="65">
        <v>46087.776701388888</v>
      </c>
      <c r="AD21" s="45">
        <v>46088.412118055552</v>
      </c>
      <c r="AE21" s="406"/>
      <c r="AF21" s="402">
        <v>25840000</v>
      </c>
      <c r="AG21" s="11">
        <v>857.58</v>
      </c>
      <c r="AH21" s="37"/>
    </row>
    <row r="22" spans="1:34" ht="24.75" customHeight="1">
      <c r="A22" s="235" t="s">
        <v>162</v>
      </c>
      <c r="B22" s="235">
        <v>180115</v>
      </c>
      <c r="C22" s="393" t="s">
        <v>35</v>
      </c>
      <c r="D22" s="5" t="s">
        <v>36</v>
      </c>
      <c r="E22" s="28">
        <v>46080</v>
      </c>
      <c r="F22" s="15"/>
      <c r="G22" s="15"/>
      <c r="H22" s="2"/>
      <c r="I22" s="2"/>
      <c r="J22" s="2"/>
      <c r="K22" s="3" t="s">
        <v>40</v>
      </c>
      <c r="L22" s="2" t="s">
        <v>55</v>
      </c>
      <c r="M22" s="4" t="s">
        <v>42</v>
      </c>
      <c r="N22" s="4" t="s">
        <v>43</v>
      </c>
      <c r="O22" s="55" t="s">
        <v>163</v>
      </c>
      <c r="P22" s="238">
        <v>2026</v>
      </c>
      <c r="Q22" s="285" t="s">
        <v>132</v>
      </c>
      <c r="R22" s="23" t="s">
        <v>164</v>
      </c>
      <c r="S22" s="407" t="s">
        <v>165</v>
      </c>
      <c r="T22" s="304" t="s">
        <v>68</v>
      </c>
      <c r="U22" s="10" t="str">
        <f>VLOOKUP('IMPO TERR'!T22,'Matriz datos'!$J$2:$K$10,2,0)</f>
        <v>AV. PDTE. EDUARDO FREI 8301, QUILICURA</v>
      </c>
      <c r="V22" s="96" t="s">
        <v>166</v>
      </c>
      <c r="W22" s="97"/>
      <c r="X22" s="405">
        <v>46088.768761574072</v>
      </c>
      <c r="Y22" s="23" t="s">
        <v>167</v>
      </c>
      <c r="Z22" s="292">
        <v>46084</v>
      </c>
      <c r="AA22" s="307">
        <v>4090180115</v>
      </c>
      <c r="AB22" s="29">
        <v>46090</v>
      </c>
      <c r="AC22" s="63">
        <v>46090.528437499997</v>
      </c>
      <c r="AD22" s="408">
        <v>46092</v>
      </c>
      <c r="AE22" s="406">
        <v>141491</v>
      </c>
      <c r="AF22" s="403">
        <v>25470000</v>
      </c>
      <c r="AG22" s="11">
        <v>857.58</v>
      </c>
      <c r="AH22" s="37"/>
    </row>
    <row r="23" spans="1:34" ht="24.75" customHeight="1">
      <c r="A23" s="235" t="s">
        <v>168</v>
      </c>
      <c r="B23" s="235">
        <v>180133</v>
      </c>
      <c r="C23" s="393" t="s">
        <v>35</v>
      </c>
      <c r="D23" s="56" t="s">
        <v>36</v>
      </c>
      <c r="E23" s="28">
        <v>46083</v>
      </c>
      <c r="F23" s="15"/>
      <c r="G23" s="15" t="s">
        <v>169</v>
      </c>
      <c r="H23" s="2"/>
      <c r="I23" s="2"/>
      <c r="J23" s="2"/>
      <c r="K23" s="3" t="s">
        <v>54</v>
      </c>
      <c r="L23" s="2" t="s">
        <v>41</v>
      </c>
      <c r="M23" s="4" t="s">
        <v>42</v>
      </c>
      <c r="N23" s="4" t="s">
        <v>43</v>
      </c>
      <c r="O23" s="55" t="s">
        <v>170</v>
      </c>
      <c r="P23" s="238"/>
      <c r="Q23" s="285" t="s">
        <v>171</v>
      </c>
      <c r="R23" s="18" t="s">
        <v>172</v>
      </c>
      <c r="S23" s="2" t="s">
        <v>173</v>
      </c>
      <c r="T23" s="304" t="s">
        <v>88</v>
      </c>
      <c r="U23" s="321" t="s">
        <v>174</v>
      </c>
      <c r="V23" s="96" t="s">
        <v>175</v>
      </c>
      <c r="W23" s="97"/>
      <c r="X23" s="409">
        <v>46089.863599537035</v>
      </c>
      <c r="Y23" s="410">
        <v>46090</v>
      </c>
      <c r="Z23" s="292">
        <v>46085</v>
      </c>
      <c r="AA23" s="307">
        <v>4090180133</v>
      </c>
      <c r="AB23" s="29">
        <v>46090</v>
      </c>
      <c r="AC23" s="58">
        <v>46090</v>
      </c>
      <c r="AD23" s="408">
        <v>46090</v>
      </c>
      <c r="AE23" s="406">
        <v>141489</v>
      </c>
      <c r="AF23" s="404">
        <v>16870000</v>
      </c>
      <c r="AG23" s="11">
        <v>857.58</v>
      </c>
      <c r="AH23" s="37"/>
    </row>
    <row r="24" spans="1:34" ht="24.75" customHeight="1">
      <c r="A24" s="235" t="s">
        <v>176</v>
      </c>
      <c r="B24" s="235">
        <v>180136</v>
      </c>
      <c r="C24" s="393" t="s">
        <v>35</v>
      </c>
      <c r="D24" s="2" t="s">
        <v>52</v>
      </c>
      <c r="E24" s="28">
        <v>46083</v>
      </c>
      <c r="F24" s="15"/>
      <c r="G24" s="15"/>
      <c r="H24" s="2"/>
      <c r="I24" s="2"/>
      <c r="J24" s="2"/>
      <c r="K24" s="3" t="s">
        <v>54</v>
      </c>
      <c r="L24" s="2" t="s">
        <v>41</v>
      </c>
      <c r="M24" s="4" t="s">
        <v>42</v>
      </c>
      <c r="N24" s="4" t="s">
        <v>43</v>
      </c>
      <c r="O24" s="55" t="s">
        <v>177</v>
      </c>
      <c r="P24" s="238"/>
      <c r="Q24" s="285" t="s">
        <v>178</v>
      </c>
      <c r="R24" s="23" t="s">
        <v>179</v>
      </c>
      <c r="S24" s="22" t="s">
        <v>180</v>
      </c>
      <c r="T24" s="304" t="s">
        <v>88</v>
      </c>
      <c r="U24" s="10" t="str">
        <f>VLOOKUP('IMPO TERR'!T24,'Matriz datos'!$J$2:$K$10,2,0)</f>
        <v>AV. AMERICO VESPUCIO 0350, QUILICURA</v>
      </c>
      <c r="W24" s="97"/>
      <c r="X24" s="405">
        <v>46086.937673611108</v>
      </c>
      <c r="Y24" s="59">
        <v>46087</v>
      </c>
      <c r="Z24" s="292">
        <v>46086</v>
      </c>
      <c r="AA24" s="307">
        <v>4090180136</v>
      </c>
      <c r="AB24" s="29">
        <v>46087</v>
      </c>
      <c r="AC24" s="65">
        <v>46087.776747685188</v>
      </c>
      <c r="AD24" s="45">
        <v>46088.445532407408</v>
      </c>
      <c r="AE24" s="406"/>
      <c r="AF24" s="399">
        <v>25980000</v>
      </c>
      <c r="AG24" s="11">
        <v>857.58</v>
      </c>
      <c r="AH24" s="37"/>
    </row>
    <row r="25" spans="1:34" ht="24.75" customHeight="1">
      <c r="A25" s="235" t="s">
        <v>181</v>
      </c>
      <c r="B25" s="235">
        <v>180137</v>
      </c>
      <c r="C25" s="393" t="s">
        <v>35</v>
      </c>
      <c r="D25" s="2" t="s">
        <v>52</v>
      </c>
      <c r="E25" s="28">
        <v>46083</v>
      </c>
      <c r="F25" s="15"/>
      <c r="G25" s="15"/>
      <c r="H25" s="2"/>
      <c r="I25" s="2"/>
      <c r="J25" s="2"/>
      <c r="K25" s="3" t="s">
        <v>40</v>
      </c>
      <c r="L25" s="2" t="s">
        <v>41</v>
      </c>
      <c r="M25" s="4" t="s">
        <v>42</v>
      </c>
      <c r="N25" s="4" t="s">
        <v>43</v>
      </c>
      <c r="O25" s="55" t="s">
        <v>182</v>
      </c>
      <c r="P25" s="238">
        <v>32433</v>
      </c>
      <c r="Q25" s="285" t="s">
        <v>45</v>
      </c>
      <c r="R25" s="39" t="s">
        <v>183</v>
      </c>
      <c r="S25" s="4" t="s">
        <v>184</v>
      </c>
      <c r="T25" s="304" t="s">
        <v>68</v>
      </c>
      <c r="U25" s="10" t="str">
        <f>VLOOKUP('IMPO TERR'!T25,'Matriz datos'!$J$2:$K$10,2,0)</f>
        <v>AV. PDTE. EDUARDO FREI 8301, QUILICURA</v>
      </c>
      <c r="W25" s="97"/>
      <c r="X25" s="60">
        <v>46082.574502314812</v>
      </c>
      <c r="Y25" s="23" t="s">
        <v>185</v>
      </c>
      <c r="Z25" s="292">
        <v>46085</v>
      </c>
      <c r="AA25" s="307">
        <v>4090180137</v>
      </c>
      <c r="AB25" s="29">
        <v>46085</v>
      </c>
      <c r="AC25" s="46">
        <v>46085.756076388891</v>
      </c>
      <c r="AD25" s="44">
        <v>46085.835439814815</v>
      </c>
      <c r="AE25" s="115"/>
      <c r="AF25" s="400">
        <v>24410000</v>
      </c>
      <c r="AG25" s="11">
        <v>857.58</v>
      </c>
      <c r="AH25" s="37"/>
    </row>
    <row r="26" spans="1:34" ht="24.75" customHeight="1">
      <c r="A26" s="235" t="s">
        <v>186</v>
      </c>
      <c r="B26" s="235">
        <v>180139</v>
      </c>
      <c r="C26" s="393" t="s">
        <v>35</v>
      </c>
      <c r="D26" s="5" t="s">
        <v>115</v>
      </c>
      <c r="E26" s="28">
        <v>46083</v>
      </c>
      <c r="F26" s="15"/>
      <c r="G26" s="15"/>
      <c r="H26" s="2"/>
      <c r="I26" s="2"/>
      <c r="J26" s="2"/>
      <c r="K26" s="3" t="s">
        <v>40</v>
      </c>
      <c r="L26" s="2" t="s">
        <v>41</v>
      </c>
      <c r="M26" s="4" t="s">
        <v>42</v>
      </c>
      <c r="N26" s="4" t="s">
        <v>43</v>
      </c>
      <c r="O26" s="55" t="s">
        <v>187</v>
      </c>
      <c r="P26" s="238"/>
      <c r="Q26" s="285" t="s">
        <v>45</v>
      </c>
      <c r="R26" s="18" t="s">
        <v>188</v>
      </c>
      <c r="S26" s="2" t="s">
        <v>189</v>
      </c>
      <c r="T26" s="304" t="s">
        <v>68</v>
      </c>
      <c r="U26" s="10" t="str">
        <f>VLOOKUP('IMPO TERR'!T26,'Matriz datos'!$J$2:$K$10,2,0)</f>
        <v>AV. PDTE. EDUARDO FREI 8301, QUILICURA</v>
      </c>
      <c r="V26" s="96" t="s">
        <v>190</v>
      </c>
      <c r="W26" s="97"/>
      <c r="X26" s="409">
        <v>46089.475370370368</v>
      </c>
      <c r="Y26" s="58">
        <v>46090</v>
      </c>
      <c r="Z26" s="292">
        <v>46086</v>
      </c>
      <c r="AA26" s="307">
        <v>4090180139</v>
      </c>
      <c r="AB26" s="29">
        <v>46090</v>
      </c>
      <c r="AC26" s="313">
        <v>46090</v>
      </c>
      <c r="AD26" s="408">
        <v>46091</v>
      </c>
      <c r="AE26" s="115">
        <v>141504</v>
      </c>
      <c r="AF26" s="397">
        <v>25980000</v>
      </c>
      <c r="AG26" s="11">
        <v>857.58</v>
      </c>
      <c r="AH26" s="37"/>
    </row>
    <row r="27" spans="1:34" ht="24.75" customHeight="1">
      <c r="A27" s="235" t="s">
        <v>191</v>
      </c>
      <c r="B27" s="235">
        <v>180145</v>
      </c>
      <c r="C27" s="393" t="s">
        <v>35</v>
      </c>
      <c r="D27" s="2" t="s">
        <v>52</v>
      </c>
      <c r="E27" s="28">
        <v>46083</v>
      </c>
      <c r="F27" s="15"/>
      <c r="G27" s="15"/>
      <c r="H27" s="2"/>
      <c r="I27" s="2"/>
      <c r="J27" s="2"/>
      <c r="K27" s="3" t="s">
        <v>40</v>
      </c>
      <c r="L27" s="2" t="s">
        <v>41</v>
      </c>
      <c r="M27" s="4" t="s">
        <v>42</v>
      </c>
      <c r="N27" s="4" t="s">
        <v>43</v>
      </c>
      <c r="O27" s="55" t="s">
        <v>192</v>
      </c>
      <c r="P27" s="238"/>
      <c r="Q27" s="285" t="s">
        <v>45</v>
      </c>
      <c r="R27" s="23" t="s">
        <v>193</v>
      </c>
      <c r="S27" s="22" t="s">
        <v>194</v>
      </c>
      <c r="T27" s="304" t="s">
        <v>68</v>
      </c>
      <c r="U27" s="10" t="str">
        <f>VLOOKUP('IMPO TERR'!T27,'Matriz datos'!$J$2:$K$10,2,0)</f>
        <v>AV. PDTE. EDUARDO FREI 8301, QUILICURA</v>
      </c>
      <c r="W27" s="97"/>
      <c r="X27" s="409">
        <v>46087.548402777778</v>
      </c>
      <c r="Y27" s="411">
        <v>46088</v>
      </c>
      <c r="Z27" s="292">
        <v>46086</v>
      </c>
      <c r="AA27" s="307">
        <v>4090180145</v>
      </c>
      <c r="AB27" s="29">
        <v>46088</v>
      </c>
      <c r="AC27" s="65">
        <v>46088.561828703707</v>
      </c>
      <c r="AD27" s="45">
        <v>46088.650856481479</v>
      </c>
      <c r="AE27" s="406"/>
      <c r="AF27" s="399">
        <v>24010000</v>
      </c>
      <c r="AG27" s="11">
        <v>857.58</v>
      </c>
      <c r="AH27" s="37"/>
    </row>
    <row r="28" spans="1:34" ht="24.75" customHeight="1">
      <c r="A28" s="235" t="s">
        <v>195</v>
      </c>
      <c r="B28" s="235">
        <v>180146</v>
      </c>
      <c r="C28" s="393" t="s">
        <v>35</v>
      </c>
      <c r="D28" s="2" t="s">
        <v>52</v>
      </c>
      <c r="E28" s="28">
        <v>46083</v>
      </c>
      <c r="F28" s="15"/>
      <c r="G28" s="15"/>
      <c r="H28" s="2"/>
      <c r="I28" s="2"/>
      <c r="J28" s="2"/>
      <c r="K28" s="3" t="s">
        <v>40</v>
      </c>
      <c r="L28" s="2" t="s">
        <v>196</v>
      </c>
      <c r="M28" s="4" t="s">
        <v>42</v>
      </c>
      <c r="N28" s="4" t="s">
        <v>43</v>
      </c>
      <c r="O28" s="55" t="s">
        <v>197</v>
      </c>
      <c r="P28" s="238"/>
      <c r="Q28" s="285" t="s">
        <v>198</v>
      </c>
      <c r="R28" s="23" t="s">
        <v>199</v>
      </c>
      <c r="S28" s="22" t="s">
        <v>200</v>
      </c>
      <c r="T28" s="304" t="s">
        <v>68</v>
      </c>
      <c r="U28" s="10" t="str">
        <f>VLOOKUP('IMPO TERR'!T28,'Matriz datos'!$J$2:$K$10,2,0)</f>
        <v>AV. PDTE. EDUARDO FREI 8301, QUILICURA</v>
      </c>
      <c r="W28" s="97"/>
      <c r="X28" s="60">
        <v>46084.560254629629</v>
      </c>
      <c r="Y28" s="59">
        <v>46085</v>
      </c>
      <c r="Z28" s="292">
        <v>46086</v>
      </c>
      <c r="AA28" s="307">
        <v>4090180146</v>
      </c>
      <c r="AB28" s="29">
        <v>46086</v>
      </c>
      <c r="AC28" s="65">
        <v>46086.739374999997</v>
      </c>
      <c r="AD28" s="44">
        <v>46086.837060185186</v>
      </c>
      <c r="AE28" s="115"/>
      <c r="AF28" s="412"/>
      <c r="AG28" s="11">
        <v>857.58</v>
      </c>
      <c r="AH28" s="37"/>
    </row>
    <row r="29" spans="1:34" ht="24.75" customHeight="1">
      <c r="A29" s="235" t="s">
        <v>201</v>
      </c>
      <c r="B29" s="235">
        <v>180147</v>
      </c>
      <c r="C29" s="393" t="s">
        <v>35</v>
      </c>
      <c r="D29" s="2" t="s">
        <v>52</v>
      </c>
      <c r="E29" s="28">
        <v>46083</v>
      </c>
      <c r="F29" s="15"/>
      <c r="G29" s="15"/>
      <c r="H29" s="2"/>
      <c r="I29" s="2"/>
      <c r="J29" s="2"/>
      <c r="K29" s="3" t="s">
        <v>40</v>
      </c>
      <c r="L29" s="2" t="s">
        <v>196</v>
      </c>
      <c r="M29" s="4" t="s">
        <v>42</v>
      </c>
      <c r="N29" s="4" t="s">
        <v>43</v>
      </c>
      <c r="O29" s="55" t="s">
        <v>202</v>
      </c>
      <c r="P29" s="238"/>
      <c r="Q29" s="285" t="s">
        <v>203</v>
      </c>
      <c r="R29" s="39" t="s">
        <v>204</v>
      </c>
      <c r="S29" s="4" t="s">
        <v>205</v>
      </c>
      <c r="T29" s="304" t="s">
        <v>68</v>
      </c>
      <c r="U29" s="10" t="str">
        <f>VLOOKUP('IMPO TERR'!T29,'Matriz datos'!$J$2:$K$10,2,0)</f>
        <v>AV. PDTE. EDUARDO FREI 8301, QUILICURA</v>
      </c>
      <c r="W29" s="97"/>
      <c r="X29" s="60">
        <v>46084.080914351849</v>
      </c>
      <c r="Y29" s="59">
        <v>46084</v>
      </c>
      <c r="Z29" s="292">
        <v>46085</v>
      </c>
      <c r="AA29" s="307">
        <v>4090180147</v>
      </c>
      <c r="AB29" s="29">
        <v>46085</v>
      </c>
      <c r="AC29" s="94">
        <v>46085.672048611108</v>
      </c>
      <c r="AD29" s="409">
        <v>46088.467731481483</v>
      </c>
      <c r="AE29" s="115"/>
      <c r="AF29" s="406"/>
      <c r="AG29" s="11">
        <v>857.58</v>
      </c>
      <c r="AH29" s="37"/>
    </row>
    <row r="30" spans="1:34" ht="24.75" customHeight="1">
      <c r="A30" s="235" t="s">
        <v>206</v>
      </c>
      <c r="B30" s="235">
        <v>180152</v>
      </c>
      <c r="C30" s="394" t="s">
        <v>35</v>
      </c>
      <c r="D30" s="56" t="s">
        <v>115</v>
      </c>
      <c r="E30" s="28">
        <v>46083</v>
      </c>
      <c r="F30" s="15"/>
      <c r="G30" s="15"/>
      <c r="H30" s="2"/>
      <c r="I30" s="2"/>
      <c r="J30" s="2"/>
      <c r="K30" s="3" t="s">
        <v>40</v>
      </c>
      <c r="L30" s="2" t="s">
        <v>41</v>
      </c>
      <c r="M30" s="4" t="s">
        <v>42</v>
      </c>
      <c r="N30" s="4" t="s">
        <v>43</v>
      </c>
      <c r="O30" s="55" t="s">
        <v>207</v>
      </c>
      <c r="P30" s="238"/>
      <c r="Q30" s="285" t="s">
        <v>45</v>
      </c>
      <c r="R30" s="18" t="s">
        <v>208</v>
      </c>
      <c r="S30" s="407" t="s">
        <v>209</v>
      </c>
      <c r="T30" s="304" t="s">
        <v>68</v>
      </c>
      <c r="U30" s="10" t="str">
        <f>VLOOKUP('IMPO TERR'!T30,'Matriz datos'!$J$2:$K$10,2,0)</f>
        <v>AV. PDTE. EDUARDO FREI 8301, QUILICURA</v>
      </c>
      <c r="V30" s="96" t="s">
        <v>210</v>
      </c>
      <c r="W30" s="97" t="s">
        <v>211</v>
      </c>
      <c r="X30" s="413">
        <v>46091</v>
      </c>
      <c r="Y30" s="413">
        <v>46092</v>
      </c>
      <c r="Z30" s="292">
        <v>46086</v>
      </c>
      <c r="AA30" s="307">
        <v>4090180152</v>
      </c>
      <c r="AB30" s="29">
        <v>46091</v>
      </c>
      <c r="AC30" s="290">
        <v>46092</v>
      </c>
      <c r="AD30" s="414">
        <v>46092</v>
      </c>
      <c r="AE30" s="406">
        <v>141548</v>
      </c>
      <c r="AF30" s="406"/>
      <c r="AG30" s="11">
        <v>857.58</v>
      </c>
      <c r="AH30" s="37"/>
    </row>
    <row r="31" spans="1:34" ht="24.75" customHeight="1">
      <c r="A31" s="235" t="s">
        <v>212</v>
      </c>
      <c r="B31" s="235">
        <v>180153</v>
      </c>
      <c r="C31" s="393" t="s">
        <v>35</v>
      </c>
      <c r="D31" s="2" t="s">
        <v>52</v>
      </c>
      <c r="E31" s="28">
        <v>46083</v>
      </c>
      <c r="F31" s="15"/>
      <c r="G31" s="15"/>
      <c r="H31" s="2"/>
      <c r="I31" s="2"/>
      <c r="J31" s="2"/>
      <c r="K31" s="3" t="s">
        <v>54</v>
      </c>
      <c r="L31" s="2" t="s">
        <v>41</v>
      </c>
      <c r="M31" s="4" t="s">
        <v>42</v>
      </c>
      <c r="N31" s="4" t="s">
        <v>43</v>
      </c>
      <c r="O31" s="55" t="s">
        <v>213</v>
      </c>
      <c r="P31" s="238"/>
      <c r="Q31" s="285" t="s">
        <v>45</v>
      </c>
      <c r="R31" s="18" t="s">
        <v>214</v>
      </c>
      <c r="S31" s="2" t="s">
        <v>215</v>
      </c>
      <c r="T31" s="304" t="s">
        <v>88</v>
      </c>
      <c r="U31" s="10" t="str">
        <f>VLOOKUP('IMPO TERR'!T31,'Matriz datos'!$J$2:$K$10,2,0)</f>
        <v>AV. AMERICO VESPUCIO 0350, QUILICURA</v>
      </c>
      <c r="W31" s="97"/>
      <c r="X31" s="405">
        <v>46087.730578703704</v>
      </c>
      <c r="Y31" s="408">
        <v>46088</v>
      </c>
      <c r="Z31" s="292">
        <v>46085</v>
      </c>
      <c r="AA31" s="307">
        <v>4090180153</v>
      </c>
      <c r="AB31" s="29">
        <v>46088</v>
      </c>
      <c r="AC31" s="415">
        <v>46088.573564814818</v>
      </c>
      <c r="AD31" s="416">
        <v>46088.648101851853</v>
      </c>
      <c r="AE31" s="406"/>
      <c r="AF31" s="406"/>
      <c r="AG31" s="11">
        <v>857.58</v>
      </c>
      <c r="AH31" s="37"/>
    </row>
    <row r="32" spans="1:34" ht="24.75" customHeight="1">
      <c r="A32" s="235" t="s">
        <v>216</v>
      </c>
      <c r="B32" s="235">
        <v>180154</v>
      </c>
      <c r="C32" s="393" t="s">
        <v>35</v>
      </c>
      <c r="D32" s="5" t="s">
        <v>115</v>
      </c>
      <c r="E32" s="28">
        <v>46083</v>
      </c>
      <c r="F32" s="15"/>
      <c r="G32" s="15"/>
      <c r="H32" s="2"/>
      <c r="I32" s="2"/>
      <c r="J32" s="2"/>
      <c r="K32" s="3" t="s">
        <v>54</v>
      </c>
      <c r="L32" s="2" t="s">
        <v>41</v>
      </c>
      <c r="M32" s="4" t="s">
        <v>42</v>
      </c>
      <c r="N32" s="4" t="s">
        <v>43</v>
      </c>
      <c r="O32" s="55" t="s">
        <v>217</v>
      </c>
      <c r="P32" s="238"/>
      <c r="Q32" s="285" t="s">
        <v>45</v>
      </c>
      <c r="R32" s="398" t="s">
        <v>218</v>
      </c>
      <c r="S32" s="407" t="s">
        <v>219</v>
      </c>
      <c r="T32" s="304" t="s">
        <v>88</v>
      </c>
      <c r="U32" s="10" t="str">
        <f>VLOOKUP('IMPO TERR'!T32,'Matriz datos'!$J$2:$K$10,2,0)</f>
        <v>AV. AMERICO VESPUCIO 0350, QUILICURA</v>
      </c>
      <c r="V32" s="102" t="s">
        <v>220</v>
      </c>
      <c r="W32" s="97"/>
      <c r="X32" s="60">
        <v>46089.969363425924</v>
      </c>
      <c r="Y32" s="59">
        <v>46090</v>
      </c>
      <c r="Z32" s="292">
        <v>46086</v>
      </c>
      <c r="AA32" s="307">
        <v>4090180154</v>
      </c>
      <c r="AB32" s="29">
        <v>46090</v>
      </c>
      <c r="AC32" s="58">
        <v>46090</v>
      </c>
      <c r="AD32" s="59">
        <v>46090</v>
      </c>
      <c r="AE32" s="406">
        <v>141505</v>
      </c>
      <c r="AF32" s="406"/>
      <c r="AG32" s="11">
        <v>857.58</v>
      </c>
      <c r="AH32" s="37"/>
    </row>
    <row r="33" spans="1:34" ht="24.75" customHeight="1">
      <c r="A33" s="235" t="s">
        <v>221</v>
      </c>
      <c r="B33" s="235">
        <v>180178</v>
      </c>
      <c r="C33" s="393" t="s">
        <v>35</v>
      </c>
      <c r="D33" s="5" t="s">
        <v>115</v>
      </c>
      <c r="E33" s="28">
        <v>46084</v>
      </c>
      <c r="F33" s="15"/>
      <c r="G33" s="15"/>
      <c r="H33" s="2"/>
      <c r="I33" s="2"/>
      <c r="J33" s="2"/>
      <c r="K33" s="3" t="s">
        <v>40</v>
      </c>
      <c r="L33" s="2" t="s">
        <v>41</v>
      </c>
      <c r="M33" s="4" t="s">
        <v>42</v>
      </c>
      <c r="N33" s="4" t="s">
        <v>43</v>
      </c>
      <c r="O33" s="55" t="s">
        <v>222</v>
      </c>
      <c r="P33" s="238"/>
      <c r="Q33" s="285" t="s">
        <v>45</v>
      </c>
      <c r="R33" s="398" t="s">
        <v>223</v>
      </c>
      <c r="S33" s="407" t="s">
        <v>224</v>
      </c>
      <c r="T33" s="304" t="s">
        <v>68</v>
      </c>
      <c r="U33" s="10" t="str">
        <f>VLOOKUP('IMPO TERR'!T33,'Matriz datos'!$J$2:$K$10,2,0)</f>
        <v>AV. PDTE. EDUARDO FREI 8301, QUILICURA</v>
      </c>
      <c r="V33" s="96" t="s">
        <v>225</v>
      </c>
      <c r="W33" s="97" t="s">
        <v>226</v>
      </c>
      <c r="X33" s="58">
        <v>46091</v>
      </c>
      <c r="Y33" s="417">
        <v>46092</v>
      </c>
      <c r="Z33" s="292">
        <v>46087</v>
      </c>
      <c r="AA33" s="307">
        <v>4090180178</v>
      </c>
      <c r="AB33" s="29">
        <v>46091</v>
      </c>
      <c r="AC33" s="290">
        <v>46092</v>
      </c>
      <c r="AD33" s="418">
        <v>46092</v>
      </c>
      <c r="AE33" s="406">
        <v>141553</v>
      </c>
      <c r="AF33" s="406"/>
      <c r="AG33" s="11">
        <v>857.58</v>
      </c>
      <c r="AH33" s="37"/>
    </row>
    <row r="34" spans="1:34" ht="24.75" customHeight="1">
      <c r="A34" s="235" t="s">
        <v>227</v>
      </c>
      <c r="B34" s="235">
        <v>180180</v>
      </c>
      <c r="C34" s="393" t="s">
        <v>35</v>
      </c>
      <c r="D34" s="5" t="s">
        <v>36</v>
      </c>
      <c r="E34" s="28">
        <v>46084</v>
      </c>
      <c r="F34" s="15"/>
      <c r="G34" s="15"/>
      <c r="H34" s="2"/>
      <c r="I34" s="2"/>
      <c r="J34" s="2"/>
      <c r="K34" s="3" t="s">
        <v>40</v>
      </c>
      <c r="L34" s="2" t="s">
        <v>41</v>
      </c>
      <c r="M34" s="4" t="s">
        <v>42</v>
      </c>
      <c r="N34" s="4" t="s">
        <v>43</v>
      </c>
      <c r="O34" s="55" t="s">
        <v>228</v>
      </c>
      <c r="P34" s="238"/>
      <c r="Q34" s="285" t="s">
        <v>45</v>
      </c>
      <c r="R34" s="398" t="s">
        <v>229</v>
      </c>
      <c r="S34" s="407" t="s">
        <v>230</v>
      </c>
      <c r="T34" s="304" t="s">
        <v>68</v>
      </c>
      <c r="U34" s="10" t="str">
        <f>VLOOKUP('IMPO TERR'!T34,'Matriz datos'!$J$2:$K$10,2,0)</f>
        <v>AV. PDTE. EDUARDO FREI 8301, QUILICURA</v>
      </c>
      <c r="V34" s="103" t="s">
        <v>231</v>
      </c>
      <c r="W34" s="97"/>
      <c r="X34" s="84">
        <v>46090.494444444441</v>
      </c>
      <c r="Y34" s="64">
        <v>46091</v>
      </c>
      <c r="Z34" s="292">
        <v>46086</v>
      </c>
      <c r="AA34" s="307">
        <v>4090180180</v>
      </c>
      <c r="AB34" s="29">
        <v>46090</v>
      </c>
      <c r="AC34" s="82">
        <v>46091</v>
      </c>
      <c r="AD34" s="411">
        <v>46091</v>
      </c>
      <c r="AE34" s="406">
        <v>141522</v>
      </c>
      <c r="AF34" s="406"/>
      <c r="AG34" s="11">
        <v>857.58</v>
      </c>
      <c r="AH34" s="37"/>
    </row>
    <row r="35" spans="1:34" ht="24.75" customHeight="1">
      <c r="A35" s="235" t="s">
        <v>232</v>
      </c>
      <c r="B35" s="235">
        <v>180181</v>
      </c>
      <c r="C35" s="393" t="s">
        <v>35</v>
      </c>
      <c r="D35" s="56" t="s">
        <v>36</v>
      </c>
      <c r="E35" s="28">
        <v>46084</v>
      </c>
      <c r="F35" s="15"/>
      <c r="G35" s="15"/>
      <c r="H35" s="2"/>
      <c r="I35" s="2"/>
      <c r="J35" s="2"/>
      <c r="K35" s="3" t="s">
        <v>40</v>
      </c>
      <c r="L35" s="2" t="s">
        <v>41</v>
      </c>
      <c r="M35" s="4" t="s">
        <v>42</v>
      </c>
      <c r="N35" s="4" t="s">
        <v>43</v>
      </c>
      <c r="O35" s="55" t="s">
        <v>233</v>
      </c>
      <c r="P35" s="238"/>
      <c r="Q35" s="285" t="s">
        <v>45</v>
      </c>
      <c r="R35" s="18" t="s">
        <v>234</v>
      </c>
      <c r="S35" s="2" t="s">
        <v>235</v>
      </c>
      <c r="T35" s="304" t="s">
        <v>68</v>
      </c>
      <c r="U35" s="10" t="str">
        <f>VLOOKUP('IMPO TERR'!T35,'Matriz datos'!$J$2:$K$10,2,0)</f>
        <v>AV. PDTE. EDUARDO FREI 8301, QUILICURA</v>
      </c>
      <c r="V35" s="104" t="s">
        <v>236</v>
      </c>
      <c r="W35" s="97"/>
      <c r="X35" s="408">
        <v>46090</v>
      </c>
      <c r="Y35" s="59">
        <v>46091</v>
      </c>
      <c r="Z35" s="292">
        <v>46086</v>
      </c>
      <c r="AA35" s="307">
        <v>4090180181</v>
      </c>
      <c r="AB35" s="29">
        <v>46091</v>
      </c>
      <c r="AC35" s="419">
        <v>46091</v>
      </c>
      <c r="AD35" s="408">
        <v>46091</v>
      </c>
      <c r="AE35" s="406">
        <v>141526</v>
      </c>
      <c r="AF35" s="406"/>
      <c r="AG35" s="11">
        <v>857.58</v>
      </c>
      <c r="AH35" s="37"/>
    </row>
    <row r="36" spans="1:34" ht="24.75" customHeight="1">
      <c r="A36" s="235" t="s">
        <v>237</v>
      </c>
      <c r="B36" s="235">
        <v>180183</v>
      </c>
      <c r="C36" s="393" t="s">
        <v>35</v>
      </c>
      <c r="D36" s="5" t="s">
        <v>36</v>
      </c>
      <c r="E36" s="28">
        <v>46084</v>
      </c>
      <c r="F36" s="15"/>
      <c r="G36" s="15"/>
      <c r="H36" s="2"/>
      <c r="I36" s="2"/>
      <c r="J36" s="2"/>
      <c r="K36" s="3" t="s">
        <v>40</v>
      </c>
      <c r="L36" s="2" t="s">
        <v>41</v>
      </c>
      <c r="M36" s="4" t="s">
        <v>42</v>
      </c>
      <c r="N36" s="4" t="s">
        <v>43</v>
      </c>
      <c r="O36" s="55" t="s">
        <v>238</v>
      </c>
      <c r="P36" s="238">
        <v>40365</v>
      </c>
      <c r="Q36" s="285" t="s">
        <v>45</v>
      </c>
      <c r="R36" s="18" t="s">
        <v>239</v>
      </c>
      <c r="S36" s="2" t="s">
        <v>240</v>
      </c>
      <c r="T36" s="304" t="s">
        <v>68</v>
      </c>
      <c r="U36" s="10" t="str">
        <f>VLOOKUP('IMPO TERR'!T36,'Matriz datos'!$J$2:$K$10,2,0)</f>
        <v>AV. PDTE. EDUARDO FREI 8301, QUILICURA</v>
      </c>
      <c r="V36" s="96" t="s">
        <v>241</v>
      </c>
      <c r="W36" s="97" t="s">
        <v>242</v>
      </c>
      <c r="X36" s="420">
        <v>46094</v>
      </c>
      <c r="Y36" s="420">
        <v>46095</v>
      </c>
      <c r="Z36" s="292">
        <v>46086</v>
      </c>
      <c r="AA36" s="307">
        <v>4090180183</v>
      </c>
      <c r="AC36" s="414">
        <v>46095</v>
      </c>
      <c r="AD36" s="410">
        <v>46095</v>
      </c>
      <c r="AE36" s="406">
        <v>141601</v>
      </c>
      <c r="AF36" s="406"/>
      <c r="AG36" s="11">
        <v>857.58</v>
      </c>
      <c r="AH36" s="37"/>
    </row>
    <row r="37" spans="1:34" ht="24.75" customHeight="1">
      <c r="A37" s="235" t="s">
        <v>243</v>
      </c>
      <c r="B37" s="235">
        <v>180184</v>
      </c>
      <c r="C37" s="393" t="s">
        <v>35</v>
      </c>
      <c r="D37" s="5" t="s">
        <v>36</v>
      </c>
      <c r="E37" s="28">
        <v>46084</v>
      </c>
      <c r="F37" s="15"/>
      <c r="G37" s="15"/>
      <c r="H37" s="2"/>
      <c r="I37" s="2"/>
      <c r="J37" s="2"/>
      <c r="K37" s="3" t="s">
        <v>40</v>
      </c>
      <c r="L37" s="2" t="s">
        <v>55</v>
      </c>
      <c r="M37" s="4" t="s">
        <v>42</v>
      </c>
      <c r="N37" s="4" t="s">
        <v>43</v>
      </c>
      <c r="O37" s="55" t="s">
        <v>244</v>
      </c>
      <c r="P37" s="238"/>
      <c r="Q37" s="285" t="s">
        <v>57</v>
      </c>
      <c r="R37" s="18" t="s">
        <v>245</v>
      </c>
      <c r="S37" s="2" t="s">
        <v>246</v>
      </c>
      <c r="T37" s="304" t="s">
        <v>68</v>
      </c>
      <c r="U37" s="10" t="str">
        <f>VLOOKUP('IMPO TERR'!T37,'Matriz datos'!$J$2:$K$10,2,0)</f>
        <v>AV. PDTE. EDUARDO FREI 8301, QUILICURA</v>
      </c>
      <c r="V37" s="96" t="s">
        <v>247</v>
      </c>
      <c r="W37" s="97"/>
      <c r="X37" s="24">
        <v>46088.67019675926</v>
      </c>
      <c r="Y37" s="59">
        <v>46089</v>
      </c>
      <c r="Z37" s="292">
        <v>46087</v>
      </c>
      <c r="AA37" s="307">
        <v>4090180184</v>
      </c>
      <c r="AB37" s="29">
        <v>46090</v>
      </c>
      <c r="AC37" s="421">
        <v>46090.530243055553</v>
      </c>
      <c r="AD37" s="59">
        <v>46092</v>
      </c>
      <c r="AE37" s="406">
        <v>141488</v>
      </c>
      <c r="AF37" s="406"/>
      <c r="AG37" s="11">
        <v>857.58</v>
      </c>
      <c r="AH37" s="37"/>
    </row>
    <row r="38" spans="1:34" ht="24.75" customHeight="1">
      <c r="A38" s="235" t="s">
        <v>248</v>
      </c>
      <c r="B38" s="235">
        <v>180186</v>
      </c>
      <c r="C38" s="393" t="s">
        <v>35</v>
      </c>
      <c r="D38" s="2" t="s">
        <v>52</v>
      </c>
      <c r="E38" s="28">
        <v>46084</v>
      </c>
      <c r="F38" s="15"/>
      <c r="G38" s="15"/>
      <c r="H38" s="2"/>
      <c r="I38" s="2"/>
      <c r="J38" s="2"/>
      <c r="K38" s="3" t="s">
        <v>40</v>
      </c>
      <c r="L38" s="2" t="s">
        <v>196</v>
      </c>
      <c r="M38" s="4" t="s">
        <v>42</v>
      </c>
      <c r="N38" s="4" t="s">
        <v>43</v>
      </c>
      <c r="O38" s="55" t="s">
        <v>249</v>
      </c>
      <c r="P38" s="238"/>
      <c r="Q38" s="285" t="s">
        <v>203</v>
      </c>
      <c r="R38" s="23" t="s">
        <v>250</v>
      </c>
      <c r="S38" s="49" t="s">
        <v>251</v>
      </c>
      <c r="T38" s="304" t="s">
        <v>252</v>
      </c>
      <c r="U38" s="10" t="str">
        <f>VLOOKUP('IMPO TERR'!T38,'Matriz datos'!$J$2:$K$10,2,0)</f>
        <v>AV. AMERICO VESPUCIO 0350, QUILICURA</v>
      </c>
      <c r="W38" s="97"/>
      <c r="X38" s="24">
        <v>46086.158715277779</v>
      </c>
      <c r="Y38" s="59">
        <v>46087</v>
      </c>
      <c r="Z38" s="292">
        <v>46087</v>
      </c>
      <c r="AA38" s="307">
        <v>4090180186</v>
      </c>
      <c r="AB38" s="29">
        <v>46087</v>
      </c>
      <c r="AC38" s="314">
        <v>46087.774513888886</v>
      </c>
      <c r="AD38" s="61">
        <v>46091</v>
      </c>
      <c r="AE38" s="115"/>
      <c r="AF38" s="406"/>
      <c r="AG38" s="11">
        <v>857.58</v>
      </c>
      <c r="AH38" s="37"/>
    </row>
    <row r="39" spans="1:34" ht="24.75" customHeight="1">
      <c r="A39" s="235" t="s">
        <v>253</v>
      </c>
      <c r="B39" s="235">
        <v>180188</v>
      </c>
      <c r="C39" s="393" t="s">
        <v>35</v>
      </c>
      <c r="D39" s="5" t="s">
        <v>36</v>
      </c>
      <c r="E39" s="28">
        <v>46084</v>
      </c>
      <c r="F39" s="15"/>
      <c r="G39" s="15"/>
      <c r="H39" s="2"/>
      <c r="I39" s="2"/>
      <c r="J39" s="2"/>
      <c r="K39" s="3" t="s">
        <v>54</v>
      </c>
      <c r="L39" s="2" t="s">
        <v>41</v>
      </c>
      <c r="M39" s="4" t="s">
        <v>42</v>
      </c>
      <c r="N39" s="4" t="s">
        <v>43</v>
      </c>
      <c r="O39" s="55" t="s">
        <v>254</v>
      </c>
      <c r="P39" s="238"/>
      <c r="Q39" s="285" t="s">
        <v>105</v>
      </c>
      <c r="R39" s="18" t="s">
        <v>255</v>
      </c>
      <c r="S39" s="2" t="s">
        <v>256</v>
      </c>
      <c r="T39" s="304" t="s">
        <v>68</v>
      </c>
      <c r="U39" s="10" t="str">
        <f>VLOOKUP('IMPO TERR'!T39,'Matriz datos'!$J$2:$K$10,2,0)</f>
        <v>AV. PDTE. EDUARDO FREI 8301, QUILICURA</v>
      </c>
      <c r="V39" s="96" t="s">
        <v>257</v>
      </c>
      <c r="W39" s="97"/>
      <c r="X39" s="408">
        <v>46090</v>
      </c>
      <c r="Y39" s="408">
        <v>46091</v>
      </c>
      <c r="Z39" s="293">
        <v>46085</v>
      </c>
      <c r="AA39" s="308">
        <v>4090180188</v>
      </c>
      <c r="AB39" s="137">
        <v>46091</v>
      </c>
      <c r="AC39" s="422">
        <v>46091</v>
      </c>
      <c r="AD39" s="59">
        <v>46092</v>
      </c>
      <c r="AE39" s="406">
        <v>141540</v>
      </c>
      <c r="AF39" s="406"/>
      <c r="AG39" s="11">
        <v>857.58</v>
      </c>
      <c r="AH39" s="37"/>
    </row>
    <row r="40" spans="1:34" ht="24.75" customHeight="1">
      <c r="A40" s="235" t="s">
        <v>258</v>
      </c>
      <c r="B40" s="235">
        <v>180190</v>
      </c>
      <c r="C40" s="393" t="s">
        <v>35</v>
      </c>
      <c r="D40" s="5" t="s">
        <v>36</v>
      </c>
      <c r="E40" s="28">
        <v>46084</v>
      </c>
      <c r="F40" s="15"/>
      <c r="G40" s="15"/>
      <c r="H40" s="2"/>
      <c r="I40" s="2"/>
      <c r="J40" s="2"/>
      <c r="K40" s="3" t="s">
        <v>40</v>
      </c>
      <c r="L40" s="2" t="s">
        <v>41</v>
      </c>
      <c r="M40" s="4" t="s">
        <v>42</v>
      </c>
      <c r="N40" s="4" t="s">
        <v>43</v>
      </c>
      <c r="O40" s="55" t="s">
        <v>259</v>
      </c>
      <c r="P40" s="238">
        <v>40933</v>
      </c>
      <c r="Q40" s="285" t="s">
        <v>45</v>
      </c>
      <c r="R40" s="18" t="s">
        <v>260</v>
      </c>
      <c r="S40" s="2" t="s">
        <v>261</v>
      </c>
      <c r="T40" s="304" t="s">
        <v>68</v>
      </c>
      <c r="U40" s="10" t="str">
        <f>VLOOKUP('IMPO TERR'!T40,'Matriz datos'!$J$2:$K$10,2,0)</f>
        <v>AV. PDTE. EDUARDO FREI 8301, QUILICURA</v>
      </c>
      <c r="V40" s="96" t="s">
        <v>262</v>
      </c>
      <c r="W40" s="423" t="s">
        <v>263</v>
      </c>
      <c r="X40" s="408">
        <v>46096</v>
      </c>
      <c r="Y40" s="408">
        <v>46097</v>
      </c>
      <c r="Z40" s="294">
        <v>46086</v>
      </c>
      <c r="AA40" s="309">
        <v>4090180190</v>
      </c>
      <c r="AB40" s="385">
        <v>46097</v>
      </c>
      <c r="AC40" s="59">
        <v>46098</v>
      </c>
      <c r="AD40" s="418">
        <v>46098</v>
      </c>
      <c r="AE40" s="406">
        <v>141644</v>
      </c>
      <c r="AF40" s="406"/>
      <c r="AG40" s="11">
        <v>857.58</v>
      </c>
      <c r="AH40" s="37"/>
    </row>
    <row r="41" spans="1:34" ht="24.75" customHeight="1">
      <c r="A41" s="235" t="s">
        <v>264</v>
      </c>
      <c r="B41" s="235">
        <v>180192</v>
      </c>
      <c r="C41" s="393" t="s">
        <v>35</v>
      </c>
      <c r="D41" s="5" t="s">
        <v>115</v>
      </c>
      <c r="E41" s="28">
        <v>46084</v>
      </c>
      <c r="F41" s="15"/>
      <c r="G41" s="15"/>
      <c r="H41" s="2"/>
      <c r="I41" s="2"/>
      <c r="J41" s="2"/>
      <c r="K41" s="3" t="s">
        <v>54</v>
      </c>
      <c r="L41" s="2" t="s">
        <v>41</v>
      </c>
      <c r="M41" s="4" t="s">
        <v>42</v>
      </c>
      <c r="N41" s="4" t="s">
        <v>43</v>
      </c>
      <c r="O41" s="55" t="s">
        <v>265</v>
      </c>
      <c r="P41" s="238"/>
      <c r="Q41" s="285" t="s">
        <v>266</v>
      </c>
      <c r="R41" s="398" t="s">
        <v>267</v>
      </c>
      <c r="S41" s="407" t="s">
        <v>268</v>
      </c>
      <c r="T41" s="304" t="s">
        <v>68</v>
      </c>
      <c r="U41" s="10" t="str">
        <f>VLOOKUP('IMPO TERR'!T41,'Matriz datos'!$J$2:$K$10,2,0)</f>
        <v>AV. PDTE. EDUARDO FREI 8301, QUILICURA</v>
      </c>
      <c r="V41" s="121" t="s">
        <v>269</v>
      </c>
      <c r="W41" s="356"/>
      <c r="X41" s="63">
        <v>46090.378703703704</v>
      </c>
      <c r="Y41" s="64">
        <v>46091</v>
      </c>
      <c r="Z41" s="292">
        <v>46085</v>
      </c>
      <c r="AA41" s="307">
        <v>4090180192</v>
      </c>
      <c r="AB41" s="29">
        <v>46090</v>
      </c>
      <c r="AC41" s="58">
        <v>46091</v>
      </c>
      <c r="AD41" s="408">
        <v>46091</v>
      </c>
      <c r="AE41" s="406">
        <v>141523</v>
      </c>
      <c r="AF41" s="406"/>
      <c r="AG41" s="11">
        <v>857.58</v>
      </c>
      <c r="AH41" s="37"/>
    </row>
    <row r="42" spans="1:34" ht="24.75" customHeight="1">
      <c r="A42" s="235" t="s">
        <v>270</v>
      </c>
      <c r="B42" s="235">
        <v>180193</v>
      </c>
      <c r="C42" s="393" t="s">
        <v>35</v>
      </c>
      <c r="D42" s="2" t="s">
        <v>52</v>
      </c>
      <c r="E42" s="28">
        <v>46084</v>
      </c>
      <c r="F42" s="15"/>
      <c r="G42" s="15"/>
      <c r="H42" s="2"/>
      <c r="I42" s="2"/>
      <c r="J42" s="2"/>
      <c r="K42" s="3" t="s">
        <v>40</v>
      </c>
      <c r="L42" s="2" t="s">
        <v>55</v>
      </c>
      <c r="M42" s="4" t="s">
        <v>42</v>
      </c>
      <c r="N42" s="4" t="s">
        <v>43</v>
      </c>
      <c r="O42" s="55" t="s">
        <v>271</v>
      </c>
      <c r="P42" s="238"/>
      <c r="Q42" s="285" t="s">
        <v>272</v>
      </c>
      <c r="R42" s="398" t="s">
        <v>273</v>
      </c>
      <c r="S42" s="407" t="s">
        <v>274</v>
      </c>
      <c r="T42" s="304" t="s">
        <v>68</v>
      </c>
      <c r="U42" s="10" t="str">
        <f>VLOOKUP('IMPO TERR'!T42,'Matriz datos'!$J$2:$K$10,2,0)</f>
        <v>AV. PDTE. EDUARDO FREI 8301, QUILICURA</v>
      </c>
      <c r="V42" s="121"/>
      <c r="W42" s="96"/>
      <c r="X42" s="424">
        <v>46087.375636574077</v>
      </c>
      <c r="Y42" s="23" t="s">
        <v>275</v>
      </c>
      <c r="Z42" s="292">
        <v>46086</v>
      </c>
      <c r="AA42" s="307">
        <v>4090180193</v>
      </c>
      <c r="AB42" s="29">
        <v>46087</v>
      </c>
      <c r="AC42" s="425">
        <v>46087.775949074072</v>
      </c>
      <c r="AD42" s="408">
        <v>46091</v>
      </c>
      <c r="AE42" s="406"/>
      <c r="AF42" s="406"/>
      <c r="AG42" s="11">
        <v>857.58</v>
      </c>
      <c r="AH42" s="37"/>
    </row>
    <row r="43" spans="1:34" ht="24.75" customHeight="1">
      <c r="A43" s="235" t="s">
        <v>276</v>
      </c>
      <c r="B43" s="235">
        <v>180195</v>
      </c>
      <c r="C43" s="393" t="s">
        <v>35</v>
      </c>
      <c r="D43" s="5" t="s">
        <v>115</v>
      </c>
      <c r="E43" s="28">
        <v>46084</v>
      </c>
      <c r="F43" s="15"/>
      <c r="G43" s="15"/>
      <c r="H43" s="2"/>
      <c r="I43" s="2"/>
      <c r="J43" s="2"/>
      <c r="K43" s="3" t="s">
        <v>54</v>
      </c>
      <c r="L43" s="2" t="s">
        <v>41</v>
      </c>
      <c r="M43" s="4" t="s">
        <v>42</v>
      </c>
      <c r="N43" s="4" t="s">
        <v>43</v>
      </c>
      <c r="O43" s="55" t="s">
        <v>277</v>
      </c>
      <c r="P43" s="238"/>
      <c r="Q43" s="285" t="s">
        <v>105</v>
      </c>
      <c r="R43" s="398" t="s">
        <v>278</v>
      </c>
      <c r="S43" s="407" t="s">
        <v>279</v>
      </c>
      <c r="T43" s="304" t="s">
        <v>88</v>
      </c>
      <c r="U43" s="10" t="str">
        <f>VLOOKUP('IMPO TERR'!T43,'Matriz datos'!$J$2:$K$10,2,0)</f>
        <v>AV. AMERICO VESPUCIO 0350, QUILICURA</v>
      </c>
      <c r="V43" s="96" t="s">
        <v>280</v>
      </c>
      <c r="W43" s="107"/>
      <c r="X43" s="86">
        <v>46091</v>
      </c>
      <c r="Y43" s="69">
        <v>46091</v>
      </c>
      <c r="Z43" s="294">
        <v>46087</v>
      </c>
      <c r="AA43" s="309">
        <v>4090180195</v>
      </c>
      <c r="AB43" s="29">
        <v>46091</v>
      </c>
      <c r="AC43" s="414">
        <v>46092</v>
      </c>
      <c r="AD43" s="408">
        <v>46092</v>
      </c>
      <c r="AE43" s="406">
        <v>141546</v>
      </c>
      <c r="AF43" s="406"/>
      <c r="AG43" s="11">
        <v>857.58</v>
      </c>
      <c r="AH43" s="37"/>
    </row>
    <row r="44" spans="1:34" ht="24.75" customHeight="1">
      <c r="A44" s="235" t="s">
        <v>281</v>
      </c>
      <c r="B44" s="235">
        <v>180196</v>
      </c>
      <c r="C44" s="393" t="s">
        <v>35</v>
      </c>
      <c r="D44" s="5" t="s">
        <v>115</v>
      </c>
      <c r="E44" s="28">
        <v>46084</v>
      </c>
      <c r="F44" s="15"/>
      <c r="G44" s="15"/>
      <c r="H44" s="2"/>
      <c r="I44" s="2"/>
      <c r="J44" s="2"/>
      <c r="K44" s="3" t="s">
        <v>54</v>
      </c>
      <c r="L44" s="2" t="s">
        <v>41</v>
      </c>
      <c r="M44" s="4" t="s">
        <v>42</v>
      </c>
      <c r="N44" s="4" t="s">
        <v>43</v>
      </c>
      <c r="O44" s="55" t="s">
        <v>282</v>
      </c>
      <c r="P44" s="238"/>
      <c r="Q44" s="285" t="s">
        <v>105</v>
      </c>
      <c r="R44" s="18" t="s">
        <v>283</v>
      </c>
      <c r="S44" s="2" t="s">
        <v>284</v>
      </c>
      <c r="T44" s="304" t="s">
        <v>68</v>
      </c>
      <c r="U44" s="10" t="str">
        <f>VLOOKUP('IMPO TERR'!T44,'Matriz datos'!$J$2:$K$10,2,0)</f>
        <v>AV. PDTE. EDUARDO FREI 8301, QUILICURA</v>
      </c>
      <c r="V44" s="96" t="s">
        <v>285</v>
      </c>
      <c r="W44" s="97"/>
      <c r="X44" s="426">
        <v>46089.714236111111</v>
      </c>
      <c r="Y44" s="87">
        <v>46090</v>
      </c>
      <c r="Z44" s="294">
        <v>46087</v>
      </c>
      <c r="AA44" s="309">
        <v>4090180196</v>
      </c>
      <c r="AB44" s="30">
        <v>46090</v>
      </c>
      <c r="AC44" s="58">
        <v>46090</v>
      </c>
      <c r="AD44" s="411">
        <v>46091</v>
      </c>
      <c r="AE44" s="406">
        <v>141509</v>
      </c>
      <c r="AF44" s="406"/>
      <c r="AG44" s="11">
        <v>857.58</v>
      </c>
      <c r="AH44" s="37"/>
    </row>
    <row r="45" spans="1:34" ht="24.75" customHeight="1">
      <c r="A45" s="235" t="s">
        <v>286</v>
      </c>
      <c r="B45" s="235">
        <v>180198</v>
      </c>
      <c r="C45" s="393" t="s">
        <v>35</v>
      </c>
      <c r="D45" s="2" t="s">
        <v>52</v>
      </c>
      <c r="E45" s="28">
        <v>46084</v>
      </c>
      <c r="F45" s="15"/>
      <c r="G45" s="15"/>
      <c r="H45" s="2"/>
      <c r="I45" s="2"/>
      <c r="J45" s="2"/>
      <c r="K45" s="3" t="s">
        <v>40</v>
      </c>
      <c r="L45" s="2" t="s">
        <v>196</v>
      </c>
      <c r="M45" s="4" t="s">
        <v>42</v>
      </c>
      <c r="N45" s="4" t="s">
        <v>43</v>
      </c>
      <c r="O45" s="55" t="s">
        <v>287</v>
      </c>
      <c r="P45" s="238"/>
      <c r="Q45" s="285" t="s">
        <v>203</v>
      </c>
      <c r="R45" s="39" t="s">
        <v>288</v>
      </c>
      <c r="S45" s="4" t="s">
        <v>289</v>
      </c>
      <c r="T45" s="304" t="s">
        <v>68</v>
      </c>
      <c r="U45" s="10" t="str">
        <f>VLOOKUP('IMPO TERR'!T45,'Matriz datos'!$J$2:$K$10,2,0)</f>
        <v>AV. PDTE. EDUARDO FREI 8301, QUILICURA</v>
      </c>
      <c r="W45" s="97"/>
      <c r="X45" s="24">
        <v>46086.15730324074</v>
      </c>
      <c r="Y45" s="58">
        <v>46087</v>
      </c>
      <c r="Z45" s="294">
        <v>46085</v>
      </c>
      <c r="AA45" s="309">
        <v>4090180198</v>
      </c>
      <c r="AB45" s="30">
        <v>46086</v>
      </c>
      <c r="AC45" s="421">
        <v>46087.596365740741</v>
      </c>
      <c r="AD45" s="59">
        <v>46091</v>
      </c>
      <c r="AE45" s="115"/>
      <c r="AF45" s="406"/>
      <c r="AG45" s="11">
        <v>857.58</v>
      </c>
      <c r="AH45" s="37"/>
    </row>
    <row r="46" spans="1:34" ht="24.75" customHeight="1">
      <c r="A46" s="235" t="s">
        <v>290</v>
      </c>
      <c r="B46" s="235">
        <v>180199</v>
      </c>
      <c r="C46" s="393" t="s">
        <v>35</v>
      </c>
      <c r="D46" s="5" t="s">
        <v>115</v>
      </c>
      <c r="E46" s="28">
        <v>46084</v>
      </c>
      <c r="F46" s="15"/>
      <c r="G46" s="15"/>
      <c r="H46" s="2"/>
      <c r="I46" s="2"/>
      <c r="J46" s="2"/>
      <c r="K46" s="3" t="s">
        <v>40</v>
      </c>
      <c r="L46" s="2" t="s">
        <v>55</v>
      </c>
      <c r="M46" s="4" t="s">
        <v>42</v>
      </c>
      <c r="N46" s="4" t="s">
        <v>43</v>
      </c>
      <c r="O46" s="55" t="s">
        <v>291</v>
      </c>
      <c r="P46" s="238"/>
      <c r="Q46" s="285" t="s">
        <v>85</v>
      </c>
      <c r="R46" s="18" t="s">
        <v>292</v>
      </c>
      <c r="S46" s="2" t="s">
        <v>293</v>
      </c>
      <c r="T46" s="304" t="s">
        <v>88</v>
      </c>
      <c r="U46" s="10" t="str">
        <f>VLOOKUP('IMPO TERR'!T46,'Matriz datos'!$J$2:$K$10,2,0)</f>
        <v>AV. AMERICO VESPUCIO 0350, QUILICURA</v>
      </c>
      <c r="V46" s="96" t="s">
        <v>294</v>
      </c>
      <c r="W46" s="105"/>
      <c r="X46" s="409">
        <v>46089.79310185185</v>
      </c>
      <c r="Y46" s="408">
        <v>46090</v>
      </c>
      <c r="Z46" s="294">
        <v>46087</v>
      </c>
      <c r="AA46" s="309">
        <v>4090180199</v>
      </c>
      <c r="AB46" s="30">
        <v>46090</v>
      </c>
      <c r="AC46" s="419">
        <v>46090</v>
      </c>
      <c r="AD46" s="59">
        <v>46091</v>
      </c>
      <c r="AE46" s="406">
        <v>141511</v>
      </c>
      <c r="AF46" s="406"/>
      <c r="AG46" s="11">
        <v>857.58</v>
      </c>
      <c r="AH46" s="37"/>
    </row>
    <row r="47" spans="1:34" ht="24.75" customHeight="1">
      <c r="A47" s="235" t="s">
        <v>295</v>
      </c>
      <c r="B47" s="235">
        <v>180201</v>
      </c>
      <c r="C47" s="393" t="s">
        <v>35</v>
      </c>
      <c r="D47" s="2" t="s">
        <v>52</v>
      </c>
      <c r="E47" s="28">
        <v>46084</v>
      </c>
      <c r="F47" s="15"/>
      <c r="G47" s="15"/>
      <c r="H47" s="2"/>
      <c r="I47" s="2"/>
      <c r="J47" s="2"/>
      <c r="K47" s="3" t="s">
        <v>40</v>
      </c>
      <c r="L47" s="2" t="s">
        <v>196</v>
      </c>
      <c r="M47" s="4" t="s">
        <v>42</v>
      </c>
      <c r="N47" s="4" t="s">
        <v>43</v>
      </c>
      <c r="O47" s="55" t="s">
        <v>296</v>
      </c>
      <c r="P47" s="238"/>
      <c r="Q47" s="285" t="s">
        <v>198</v>
      </c>
      <c r="R47" s="39" t="s">
        <v>297</v>
      </c>
      <c r="S47" s="4" t="s">
        <v>298</v>
      </c>
      <c r="T47" s="304" t="s">
        <v>299</v>
      </c>
      <c r="U47" s="10" t="str">
        <f>VLOOKUP('IMPO TERR'!T47,'Matriz datos'!$J$2:$K$10,2,0)</f>
        <v>CAMINO LO AGUIRRE SUR 537, PUDAHUEL </v>
      </c>
      <c r="V47" s="121" t="s">
        <v>300</v>
      </c>
      <c r="W47" s="401" t="s">
        <v>301</v>
      </c>
      <c r="X47" s="24">
        <v>46085.890706018516</v>
      </c>
      <c r="Y47" s="58">
        <v>46086</v>
      </c>
      <c r="Z47" s="292">
        <v>46085</v>
      </c>
      <c r="AA47" s="307">
        <v>4090180201</v>
      </c>
      <c r="AB47" s="29">
        <v>46086</v>
      </c>
      <c r="AC47" s="425">
        <v>46086.737673611111</v>
      </c>
      <c r="AD47" s="83">
        <v>46086.831087962964</v>
      </c>
      <c r="AE47" s="406"/>
      <c r="AF47" s="406"/>
      <c r="AG47" s="11">
        <v>857.58</v>
      </c>
      <c r="AH47" s="37"/>
    </row>
    <row r="48" spans="1:34" ht="24.75" customHeight="1">
      <c r="A48" s="235" t="s">
        <v>302</v>
      </c>
      <c r="B48" s="235">
        <v>180202</v>
      </c>
      <c r="C48" s="393" t="s">
        <v>35</v>
      </c>
      <c r="D48" s="5" t="s">
        <v>115</v>
      </c>
      <c r="E48" s="28">
        <v>46084</v>
      </c>
      <c r="F48" s="15"/>
      <c r="G48" s="15"/>
      <c r="H48" s="2"/>
      <c r="I48" s="2"/>
      <c r="J48" s="2"/>
      <c r="K48" s="3" t="s">
        <v>40</v>
      </c>
      <c r="L48" s="2" t="s">
        <v>55</v>
      </c>
      <c r="M48" s="4" t="s">
        <v>42</v>
      </c>
      <c r="N48" s="4" t="s">
        <v>43</v>
      </c>
      <c r="O48" s="55" t="s">
        <v>303</v>
      </c>
      <c r="P48" s="238">
        <v>2026</v>
      </c>
      <c r="Q48" s="285" t="s">
        <v>132</v>
      </c>
      <c r="R48" s="23" t="s">
        <v>304</v>
      </c>
      <c r="S48" s="2" t="s">
        <v>305</v>
      </c>
      <c r="T48" s="304" t="s">
        <v>306</v>
      </c>
      <c r="U48" s="10" t="str">
        <f>VLOOKUP('IMPO TERR'!T48,'Matriz datos'!$J$2:$K$10,2,0)</f>
        <v>CORDILLERA 451, QUILICURA</v>
      </c>
      <c r="V48" s="102" t="s">
        <v>307</v>
      </c>
      <c r="W48" s="264"/>
      <c r="X48" s="409">
        <v>46088.621296296296</v>
      </c>
      <c r="Y48" s="408">
        <v>46089</v>
      </c>
      <c r="Z48" s="294">
        <v>46087</v>
      </c>
      <c r="AA48" s="309">
        <v>4090180202</v>
      </c>
      <c r="AB48" s="30">
        <v>46090</v>
      </c>
      <c r="AC48" s="414">
        <v>46090</v>
      </c>
      <c r="AD48" s="408">
        <v>46092</v>
      </c>
      <c r="AE48" s="406">
        <v>141494</v>
      </c>
      <c r="AF48" s="406"/>
      <c r="AG48" s="11">
        <v>857.58</v>
      </c>
      <c r="AH48" s="37"/>
    </row>
    <row r="49" spans="1:34" ht="24.75" customHeight="1">
      <c r="A49" s="235" t="s">
        <v>308</v>
      </c>
      <c r="B49" s="235">
        <v>180213</v>
      </c>
      <c r="C49" s="393" t="s">
        <v>35</v>
      </c>
      <c r="D49" s="2" t="s">
        <v>52</v>
      </c>
      <c r="E49" s="28">
        <v>46084</v>
      </c>
      <c r="F49" s="17"/>
      <c r="G49" s="17"/>
      <c r="H49" s="12"/>
      <c r="I49" s="12"/>
      <c r="J49" s="12"/>
      <c r="K49" s="3" t="s">
        <v>40</v>
      </c>
      <c r="L49" s="2" t="s">
        <v>196</v>
      </c>
      <c r="M49" s="4" t="s">
        <v>42</v>
      </c>
      <c r="N49" s="4" t="s">
        <v>43</v>
      </c>
      <c r="O49" s="55" t="s">
        <v>309</v>
      </c>
      <c r="P49" s="238"/>
      <c r="Q49" s="285" t="s">
        <v>310</v>
      </c>
      <c r="R49" s="39" t="s">
        <v>311</v>
      </c>
      <c r="S49" s="4" t="s">
        <v>312</v>
      </c>
      <c r="T49" s="304" t="s">
        <v>68</v>
      </c>
      <c r="U49" s="10" t="str">
        <f>VLOOKUP('IMPO TERR'!T49,'Matriz datos'!$J$2:$K$10,2,0)</f>
        <v>AV. PDTE. EDUARDO FREI 8301, QUILICURA</v>
      </c>
      <c r="V49" s="398" t="s">
        <v>313</v>
      </c>
      <c r="W49" s="97" t="s">
        <v>314</v>
      </c>
      <c r="X49" s="24">
        <v>46085.809814814813</v>
      </c>
      <c r="Y49" s="58">
        <v>46086</v>
      </c>
      <c r="Z49" s="294">
        <v>46087</v>
      </c>
      <c r="AA49" s="309">
        <v>4090180213</v>
      </c>
      <c r="AB49" s="30">
        <v>46087</v>
      </c>
      <c r="AC49" s="425">
        <v>46087.775717592594</v>
      </c>
      <c r="AD49" s="408">
        <v>46090</v>
      </c>
      <c r="AE49" s="115"/>
      <c r="AF49" s="406"/>
      <c r="AG49" s="11">
        <v>857.58</v>
      </c>
      <c r="AH49" s="38"/>
    </row>
    <row r="50" spans="1:34" ht="24.75" customHeight="1">
      <c r="A50" s="235" t="s">
        <v>315</v>
      </c>
      <c r="B50" s="235">
        <v>180226</v>
      </c>
      <c r="C50" s="393" t="s">
        <v>35</v>
      </c>
      <c r="D50" s="5" t="s">
        <v>115</v>
      </c>
      <c r="E50" s="28">
        <v>46085</v>
      </c>
      <c r="F50" s="15"/>
      <c r="G50" s="15"/>
      <c r="H50" s="2"/>
      <c r="I50" s="2"/>
      <c r="J50" s="2"/>
      <c r="K50" s="3" t="s">
        <v>40</v>
      </c>
      <c r="L50" s="2" t="s">
        <v>41</v>
      </c>
      <c r="M50" s="4" t="s">
        <v>42</v>
      </c>
      <c r="N50" s="2" t="s">
        <v>43</v>
      </c>
      <c r="O50" s="55" t="s">
        <v>316</v>
      </c>
      <c r="P50" s="238"/>
      <c r="Q50" s="285" t="s">
        <v>45</v>
      </c>
      <c r="R50" s="18" t="s">
        <v>317</v>
      </c>
      <c r="S50" s="2" t="s">
        <v>318</v>
      </c>
      <c r="T50" s="304" t="s">
        <v>68</v>
      </c>
      <c r="U50" s="10" t="str">
        <f>VLOOKUP('IMPO TERR'!T50,'Matriz datos'!$J$2:$K$10,2,0)</f>
        <v>AV. PDTE. EDUARDO FREI 8301, QUILICURA</v>
      </c>
      <c r="V50" s="104" t="s">
        <v>319</v>
      </c>
      <c r="W50" s="107" t="s">
        <v>320</v>
      </c>
      <c r="X50" s="24">
        <v>46089.799814814818</v>
      </c>
      <c r="Y50" s="59">
        <v>46090</v>
      </c>
      <c r="Z50" s="294">
        <v>46087</v>
      </c>
      <c r="AA50" s="309">
        <v>4090180226</v>
      </c>
      <c r="AB50" s="30">
        <v>46090</v>
      </c>
      <c r="AC50" s="414">
        <v>46090</v>
      </c>
      <c r="AD50" s="408">
        <v>46090</v>
      </c>
      <c r="AE50" s="406">
        <v>141500</v>
      </c>
      <c r="AF50" s="406"/>
      <c r="AG50" s="11">
        <v>857.58</v>
      </c>
      <c r="AH50" s="37"/>
    </row>
    <row r="51" spans="1:34" ht="24.75" customHeight="1">
      <c r="A51" s="235" t="s">
        <v>321</v>
      </c>
      <c r="B51" s="235">
        <v>180228</v>
      </c>
      <c r="C51" s="393" t="s">
        <v>35</v>
      </c>
      <c r="D51" s="5" t="s">
        <v>36</v>
      </c>
      <c r="E51" s="28">
        <v>46085</v>
      </c>
      <c r="F51" s="17"/>
      <c r="G51" s="17"/>
      <c r="H51" s="12"/>
      <c r="I51" s="12"/>
      <c r="J51" s="12"/>
      <c r="K51" s="3" t="s">
        <v>54</v>
      </c>
      <c r="L51" s="2" t="s">
        <v>41</v>
      </c>
      <c r="M51" s="4" t="s">
        <v>42</v>
      </c>
      <c r="N51" s="2" t="s">
        <v>43</v>
      </c>
      <c r="O51" s="55" t="s">
        <v>322</v>
      </c>
      <c r="P51" s="238"/>
      <c r="Q51" s="285" t="s">
        <v>110</v>
      </c>
      <c r="R51" s="18" t="s">
        <v>323</v>
      </c>
      <c r="S51" s="2" t="s">
        <v>324</v>
      </c>
      <c r="T51" s="304" t="s">
        <v>68</v>
      </c>
      <c r="U51" s="10" t="str">
        <f>VLOOKUP('IMPO TERR'!T51,'Matriz datos'!$J$2:$K$10,2,0)</f>
        <v>AV. PDTE. EDUARDO FREI 8301, QUILICURA</v>
      </c>
      <c r="V51" s="96" t="s">
        <v>325</v>
      </c>
      <c r="W51" s="105" t="s">
        <v>326</v>
      </c>
      <c r="X51" s="409">
        <v>46089.287129629629</v>
      </c>
      <c r="Y51" s="408">
        <v>46090</v>
      </c>
      <c r="Z51" s="292">
        <v>46087</v>
      </c>
      <c r="AA51" s="307">
        <v>4090180228</v>
      </c>
      <c r="AB51" s="30">
        <v>46090</v>
      </c>
      <c r="AC51" s="58">
        <v>46090</v>
      </c>
      <c r="AD51" s="411">
        <v>46091</v>
      </c>
      <c r="AE51" s="406">
        <v>141508</v>
      </c>
      <c r="AF51" s="406"/>
      <c r="AG51" s="11">
        <v>857.58</v>
      </c>
      <c r="AH51" s="38"/>
    </row>
    <row r="52" spans="1:34" ht="24.75" customHeight="1">
      <c r="A52" s="235" t="s">
        <v>327</v>
      </c>
      <c r="B52" s="235">
        <v>180230</v>
      </c>
      <c r="C52" s="393" t="s">
        <v>35</v>
      </c>
      <c r="D52" s="5" t="s">
        <v>36</v>
      </c>
      <c r="E52" s="28">
        <v>46085</v>
      </c>
      <c r="F52" s="17"/>
      <c r="G52" s="17"/>
      <c r="H52" s="12"/>
      <c r="I52" s="12"/>
      <c r="J52" s="12"/>
      <c r="K52" s="3" t="s">
        <v>40</v>
      </c>
      <c r="L52" s="2" t="s">
        <v>41</v>
      </c>
      <c r="M52" s="4" t="s">
        <v>42</v>
      </c>
      <c r="N52" s="2" t="s">
        <v>43</v>
      </c>
      <c r="O52" s="55" t="s">
        <v>328</v>
      </c>
      <c r="P52" s="238">
        <v>40352</v>
      </c>
      <c r="Q52" s="285" t="s">
        <v>329</v>
      </c>
      <c r="R52" s="18" t="s">
        <v>330</v>
      </c>
      <c r="S52" s="2" t="s">
        <v>331</v>
      </c>
      <c r="T52" s="304" t="s">
        <v>88</v>
      </c>
      <c r="U52" s="10" t="str">
        <f>VLOOKUP('IMPO TERR'!T51,'Matriz datos'!$J$2:$K$10,2,0)</f>
        <v>AV. PDTE. EDUARDO FREI 8301, QUILICURA</v>
      </c>
      <c r="V52" s="96" t="s">
        <v>332</v>
      </c>
      <c r="W52" s="105" t="s">
        <v>333</v>
      </c>
      <c r="X52" s="408">
        <v>46094</v>
      </c>
      <c r="Y52" s="411">
        <v>46095</v>
      </c>
      <c r="Z52" s="51">
        <v>46090</v>
      </c>
      <c r="AA52" s="309">
        <v>4090180230</v>
      </c>
      <c r="AB52" s="35"/>
      <c r="AC52" s="419">
        <v>46097</v>
      </c>
      <c r="AD52" s="59">
        <v>46097</v>
      </c>
      <c r="AE52" s="427">
        <v>41609</v>
      </c>
      <c r="AF52" s="406"/>
      <c r="AG52" s="11">
        <v>857.58</v>
      </c>
      <c r="AH52" s="38"/>
    </row>
    <row r="53" spans="1:34" ht="24.75" customHeight="1">
      <c r="A53" s="235" t="s">
        <v>334</v>
      </c>
      <c r="B53" s="235">
        <v>180242</v>
      </c>
      <c r="C53" s="393" t="s">
        <v>35</v>
      </c>
      <c r="D53" s="56" t="s">
        <v>36</v>
      </c>
      <c r="E53" s="28">
        <v>46086</v>
      </c>
      <c r="F53" s="17"/>
      <c r="G53" s="17" t="s">
        <v>335</v>
      </c>
      <c r="H53" s="12"/>
      <c r="I53" s="12"/>
      <c r="J53" s="12"/>
      <c r="K53" s="3" t="s">
        <v>54</v>
      </c>
      <c r="L53" s="2" t="s">
        <v>41</v>
      </c>
      <c r="M53" s="4" t="s">
        <v>42</v>
      </c>
      <c r="N53" s="2" t="s">
        <v>43</v>
      </c>
      <c r="O53" s="55" t="s">
        <v>336</v>
      </c>
      <c r="P53" s="238"/>
      <c r="Q53" s="285" t="s">
        <v>171</v>
      </c>
      <c r="R53" s="18" t="s">
        <v>337</v>
      </c>
      <c r="S53" s="2" t="s">
        <v>338</v>
      </c>
      <c r="T53" s="304" t="s">
        <v>88</v>
      </c>
      <c r="U53" s="10" t="s">
        <v>339</v>
      </c>
      <c r="V53" s="96" t="s">
        <v>340</v>
      </c>
      <c r="W53" s="105" t="s">
        <v>341</v>
      </c>
      <c r="X53" s="405">
        <v>46089.864548611113</v>
      </c>
      <c r="Y53" s="59">
        <v>46090</v>
      </c>
      <c r="Z53" s="294">
        <v>46087</v>
      </c>
      <c r="AA53" s="309">
        <v>4090180242</v>
      </c>
      <c r="AB53" s="30">
        <v>46090</v>
      </c>
      <c r="AC53" s="414">
        <v>46090</v>
      </c>
      <c r="AD53" s="417">
        <v>46090</v>
      </c>
      <c r="AE53" s="398">
        <v>141490</v>
      </c>
      <c r="AF53" s="406"/>
      <c r="AG53" s="11">
        <v>857.58</v>
      </c>
      <c r="AH53" s="38"/>
    </row>
    <row r="54" spans="1:34" ht="24.75" customHeight="1">
      <c r="A54" s="235" t="s">
        <v>342</v>
      </c>
      <c r="B54" s="235">
        <v>180249</v>
      </c>
      <c r="C54" s="393" t="s">
        <v>35</v>
      </c>
      <c r="D54" s="5" t="s">
        <v>36</v>
      </c>
      <c r="E54" s="28">
        <v>46086</v>
      </c>
      <c r="F54" s="15"/>
      <c r="G54" s="15"/>
      <c r="H54" s="2"/>
      <c r="I54" s="2"/>
      <c r="J54" s="2"/>
      <c r="K54" s="3" t="s">
        <v>54</v>
      </c>
      <c r="L54" s="2" t="s">
        <v>41</v>
      </c>
      <c r="M54" s="4" t="s">
        <v>42</v>
      </c>
      <c r="N54" s="2" t="s">
        <v>43</v>
      </c>
      <c r="O54" s="10" t="s">
        <v>343</v>
      </c>
      <c r="P54" s="238"/>
      <c r="Q54" s="285" t="s">
        <v>45</v>
      </c>
      <c r="R54" s="398" t="s">
        <v>344</v>
      </c>
      <c r="S54" s="2" t="s">
        <v>345</v>
      </c>
      <c r="T54" s="304" t="s">
        <v>88</v>
      </c>
      <c r="U54" s="10" t="str">
        <f>VLOOKUP('IMPO TERR'!T54,'Matriz datos'!$J$2:$K$10,2,0)</f>
        <v>AV. AMERICO VESPUCIO 0350, QUILICURA</v>
      </c>
      <c r="V54" s="96" t="s">
        <v>346</v>
      </c>
      <c r="W54" s="97" t="s">
        <v>347</v>
      </c>
      <c r="X54" s="60">
        <v>46090.026643518519</v>
      </c>
      <c r="Y54" s="59">
        <v>46090</v>
      </c>
      <c r="Z54" s="294">
        <v>46087</v>
      </c>
      <c r="AA54" s="309">
        <v>4090180249</v>
      </c>
      <c r="AB54" s="30">
        <v>46090</v>
      </c>
      <c r="AC54" s="419">
        <v>46090</v>
      </c>
      <c r="AD54" s="59">
        <v>46090</v>
      </c>
      <c r="AE54" s="412">
        <v>141498</v>
      </c>
      <c r="AF54" s="406"/>
      <c r="AG54" s="11">
        <v>857.58</v>
      </c>
      <c r="AH54" s="37"/>
    </row>
    <row r="55" spans="1:34" ht="24.75" customHeight="1">
      <c r="A55" s="235" t="s">
        <v>348</v>
      </c>
      <c r="B55" s="235">
        <v>180257</v>
      </c>
      <c r="C55" s="393" t="s">
        <v>35</v>
      </c>
      <c r="D55" s="56" t="s">
        <v>36</v>
      </c>
      <c r="E55" s="28">
        <v>46086</v>
      </c>
      <c r="F55" s="15"/>
      <c r="G55" s="15" t="s">
        <v>349</v>
      </c>
      <c r="H55" s="2"/>
      <c r="I55" s="2"/>
      <c r="J55" s="2"/>
      <c r="K55" s="3" t="s">
        <v>40</v>
      </c>
      <c r="L55" s="2" t="s">
        <v>196</v>
      </c>
      <c r="M55" s="4" t="s">
        <v>42</v>
      </c>
      <c r="N55" s="2" t="s">
        <v>43</v>
      </c>
      <c r="O55" s="249" t="s">
        <v>350</v>
      </c>
      <c r="P55" s="238"/>
      <c r="Q55" s="285" t="s">
        <v>351</v>
      </c>
      <c r="R55" s="398" t="s">
        <v>352</v>
      </c>
      <c r="S55" s="407" t="s">
        <v>353</v>
      </c>
      <c r="T55" s="304" t="s">
        <v>299</v>
      </c>
      <c r="U55" s="10" t="str">
        <f>VLOOKUP('IMPO TERR'!T55,'Matriz datos'!$J$2:$K$10,2,0)</f>
        <v>CAMINO LO AGUIRRE SUR 537, PUDAHUEL </v>
      </c>
      <c r="V55" s="96" t="s">
        <v>354</v>
      </c>
      <c r="W55" s="97" t="s">
        <v>355</v>
      </c>
      <c r="X55" s="405">
        <v>46087.834062499998</v>
      </c>
      <c r="Y55" s="59">
        <v>46088</v>
      </c>
      <c r="Z55" s="294">
        <v>46087</v>
      </c>
      <c r="AA55" s="309">
        <v>4090180257</v>
      </c>
      <c r="AB55" s="30">
        <v>46090</v>
      </c>
      <c r="AC55" s="58">
        <v>46091</v>
      </c>
      <c r="AD55" s="420">
        <v>46092</v>
      </c>
      <c r="AE55" s="406">
        <v>141516</v>
      </c>
      <c r="AF55" s="406"/>
      <c r="AG55" s="11"/>
      <c r="AH55" s="37"/>
    </row>
    <row r="56" spans="1:34" ht="24.75" customHeight="1">
      <c r="A56" s="235" t="s">
        <v>356</v>
      </c>
      <c r="B56" s="235">
        <v>180261</v>
      </c>
      <c r="C56" s="393" t="s">
        <v>35</v>
      </c>
      <c r="D56" s="56" t="s">
        <v>36</v>
      </c>
      <c r="E56" s="28">
        <v>46086</v>
      </c>
      <c r="F56" s="15"/>
      <c r="G56" s="15"/>
      <c r="H56" s="2"/>
      <c r="I56" s="2"/>
      <c r="J56" s="10"/>
      <c r="K56" s="3" t="s">
        <v>40</v>
      </c>
      <c r="L56" s="2" t="s">
        <v>55</v>
      </c>
      <c r="M56" s="4" t="s">
        <v>42</v>
      </c>
      <c r="N56" s="2" t="s">
        <v>43</v>
      </c>
      <c r="O56" s="407" t="s">
        <v>357</v>
      </c>
      <c r="P56" s="248">
        <v>2026</v>
      </c>
      <c r="Q56" t="s">
        <v>132</v>
      </c>
      <c r="R56" s="398" t="s">
        <v>358</v>
      </c>
      <c r="S56" s="407" t="s">
        <v>359</v>
      </c>
      <c r="T56" s="304" t="s">
        <v>148</v>
      </c>
      <c r="U56" s="10" t="str">
        <f>VLOOKUP('IMPO TERR'!T56,'Matriz datos'!$J$2:$K$10,2,0)</f>
        <v>AV. EL PARRON 345, LA CISTERNA</v>
      </c>
      <c r="V56" s="96" t="s">
        <v>360</v>
      </c>
      <c r="W56" s="97"/>
      <c r="X56" s="408">
        <v>46091</v>
      </c>
      <c r="Y56" s="428">
        <v>46092</v>
      </c>
      <c r="Z56" s="28">
        <v>46090</v>
      </c>
      <c r="AA56" s="307">
        <v>4090180261</v>
      </c>
      <c r="AB56" s="29">
        <v>46092</v>
      </c>
      <c r="AC56" s="290">
        <v>46092</v>
      </c>
      <c r="AD56" s="414">
        <v>46094</v>
      </c>
      <c r="AE56" s="406">
        <v>141554</v>
      </c>
      <c r="AF56" s="403">
        <v>28770000</v>
      </c>
      <c r="AG56" s="11"/>
      <c r="AH56" s="37"/>
    </row>
    <row r="57" spans="1:34" ht="24.75" customHeight="1">
      <c r="A57" s="235" t="s">
        <v>361</v>
      </c>
      <c r="B57" s="235">
        <v>180263</v>
      </c>
      <c r="C57" s="393" t="s">
        <v>35</v>
      </c>
      <c r="D57" s="5" t="s">
        <v>36</v>
      </c>
      <c r="E57" s="28">
        <v>46086</v>
      </c>
      <c r="F57" s="15"/>
      <c r="G57" s="15"/>
      <c r="H57" s="2"/>
      <c r="I57" s="2"/>
      <c r="J57" s="2"/>
      <c r="K57" s="3" t="s">
        <v>40</v>
      </c>
      <c r="L57" s="2" t="s">
        <v>55</v>
      </c>
      <c r="M57" s="4" t="s">
        <v>42</v>
      </c>
      <c r="N57" s="2" t="s">
        <v>43</v>
      </c>
      <c r="O57" s="429" t="s">
        <v>362</v>
      </c>
      <c r="P57" s="238"/>
      <c r="Q57" s="285" t="s">
        <v>57</v>
      </c>
      <c r="R57" s="398" t="s">
        <v>363</v>
      </c>
      <c r="S57" s="407" t="s">
        <v>364</v>
      </c>
      <c r="T57" s="304" t="s">
        <v>299</v>
      </c>
      <c r="U57" s="10" t="str">
        <f>VLOOKUP('IMPO TERR'!T57,'Matriz datos'!$J$2:$K$10,2,0)</f>
        <v>CAMINO LO AGUIRRE SUR 537, PUDAHUEL </v>
      </c>
      <c r="V57" s="96" t="s">
        <v>365</v>
      </c>
      <c r="W57" s="97" t="s">
        <v>366</v>
      </c>
      <c r="X57" s="411">
        <v>46091</v>
      </c>
      <c r="Y57" s="408">
        <v>46091</v>
      </c>
      <c r="Z57" s="292">
        <v>46088</v>
      </c>
      <c r="AA57" s="307">
        <v>4090180263</v>
      </c>
      <c r="AB57" s="29">
        <v>46091</v>
      </c>
      <c r="AC57" s="418">
        <v>46091</v>
      </c>
      <c r="AD57" s="408">
        <v>46092</v>
      </c>
      <c r="AE57" s="406">
        <v>141533</v>
      </c>
      <c r="AF57" s="406"/>
      <c r="AG57" s="11"/>
      <c r="AH57" s="37"/>
    </row>
    <row r="58" spans="1:34" ht="24.75" customHeight="1">
      <c r="A58" s="235" t="s">
        <v>367</v>
      </c>
      <c r="B58" s="235">
        <v>180265</v>
      </c>
      <c r="C58" s="393" t="s">
        <v>35</v>
      </c>
      <c r="D58" s="56" t="s">
        <v>36</v>
      </c>
      <c r="E58" s="28">
        <v>46086</v>
      </c>
      <c r="F58" s="15"/>
      <c r="G58" s="15"/>
      <c r="H58" s="2"/>
      <c r="I58" s="2"/>
      <c r="J58" s="2"/>
      <c r="K58" s="3" t="s">
        <v>40</v>
      </c>
      <c r="L58" s="2" t="s">
        <v>55</v>
      </c>
      <c r="M58" s="4" t="s">
        <v>42</v>
      </c>
      <c r="N58" s="2" t="s">
        <v>43</v>
      </c>
      <c r="O58" s="10" t="s">
        <v>368</v>
      </c>
      <c r="P58" s="238">
        <v>2026</v>
      </c>
      <c r="Q58" s="285" t="s">
        <v>132</v>
      </c>
      <c r="R58" s="23" t="s">
        <v>369</v>
      </c>
      <c r="S58" s="407" t="s">
        <v>370</v>
      </c>
      <c r="T58" s="304" t="s">
        <v>371</v>
      </c>
      <c r="U58" s="10" t="str">
        <f>VLOOKUP('IMPO TERR'!T58,'Matriz datos'!$J$2:$K$10,2,0)</f>
        <v>6 ORIENTE 152-D CALETERA ORIENTE ALTURA KM 39, PAINE</v>
      </c>
      <c r="V58" s="96" t="s">
        <v>372</v>
      </c>
      <c r="W58" s="105"/>
      <c r="X58" s="59">
        <v>46091</v>
      </c>
      <c r="Y58" s="414">
        <v>46092</v>
      </c>
      <c r="Z58" s="7">
        <v>46090</v>
      </c>
      <c r="AA58" s="307">
        <v>4090180265</v>
      </c>
      <c r="AB58" s="29">
        <v>46092</v>
      </c>
      <c r="AC58" s="58">
        <v>46092</v>
      </c>
      <c r="AD58" s="408">
        <v>46093</v>
      </c>
      <c r="AE58" s="406">
        <v>141550</v>
      </c>
      <c r="AF58" s="406"/>
      <c r="AG58" s="11"/>
      <c r="AH58" s="37"/>
    </row>
    <row r="59" spans="1:34" ht="24.75" customHeight="1">
      <c r="A59" s="235" t="s">
        <v>373</v>
      </c>
      <c r="B59" s="235">
        <v>180284</v>
      </c>
      <c r="C59" s="393" t="s">
        <v>35</v>
      </c>
      <c r="D59" s="5" t="s">
        <v>36</v>
      </c>
      <c r="E59" s="28">
        <v>46087</v>
      </c>
      <c r="F59" s="15"/>
      <c r="G59" s="15"/>
      <c r="H59" s="2"/>
      <c r="I59" s="2"/>
      <c r="J59" s="2"/>
      <c r="K59" s="3" t="s">
        <v>40</v>
      </c>
      <c r="L59" s="2" t="s">
        <v>55</v>
      </c>
      <c r="M59" s="4" t="s">
        <v>42</v>
      </c>
      <c r="N59" s="2" t="s">
        <v>43</v>
      </c>
      <c r="O59" s="430" t="s">
        <v>374</v>
      </c>
      <c r="P59" s="238">
        <v>2026</v>
      </c>
      <c r="Q59" s="303" t="s">
        <v>132</v>
      </c>
      <c r="R59" s="398" t="s">
        <v>375</v>
      </c>
      <c r="S59" s="407" t="s">
        <v>376</v>
      </c>
      <c r="T59" s="304" t="s">
        <v>68</v>
      </c>
      <c r="U59" s="10" t="str">
        <f>VLOOKUP('IMPO TERR'!T59,'Matriz datos'!$J$2:$K$10,2,0)</f>
        <v>AV. PDTE. EDUARDO FREI 8301, QUILICURA</v>
      </c>
      <c r="V59" s="96" t="s">
        <v>377</v>
      </c>
      <c r="W59" s="97"/>
      <c r="X59" s="58">
        <v>46091</v>
      </c>
      <c r="Y59" s="411">
        <v>46092</v>
      </c>
      <c r="Z59" s="88">
        <v>46091</v>
      </c>
      <c r="AA59" s="307">
        <v>4090180284</v>
      </c>
      <c r="AB59" s="29">
        <v>46092</v>
      </c>
      <c r="AC59" s="431">
        <v>46092</v>
      </c>
      <c r="AD59" s="408">
        <v>46093</v>
      </c>
      <c r="AE59" s="406">
        <v>141551</v>
      </c>
      <c r="AF59" s="427"/>
      <c r="AG59" s="11"/>
      <c r="AH59" s="37"/>
    </row>
    <row r="60" spans="1:34" ht="24.75" customHeight="1">
      <c r="A60" s="235" t="s">
        <v>378</v>
      </c>
      <c r="B60" s="235">
        <v>180286</v>
      </c>
      <c r="C60" s="393" t="s">
        <v>35</v>
      </c>
      <c r="D60" s="5" t="s">
        <v>36</v>
      </c>
      <c r="E60" s="28">
        <v>46087</v>
      </c>
      <c r="F60" s="15"/>
      <c r="G60" s="15"/>
      <c r="H60" s="2"/>
      <c r="I60" s="2"/>
      <c r="J60" s="2"/>
      <c r="K60" s="3" t="s">
        <v>54</v>
      </c>
      <c r="L60" s="2" t="s">
        <v>41</v>
      </c>
      <c r="M60" s="4" t="s">
        <v>42</v>
      </c>
      <c r="N60" s="2" t="s">
        <v>43</v>
      </c>
      <c r="O60" s="430" t="s">
        <v>379</v>
      </c>
      <c r="P60" s="238"/>
      <c r="Q60" s="285" t="s">
        <v>45</v>
      </c>
      <c r="R60" s="398" t="s">
        <v>380</v>
      </c>
      <c r="S60" s="407" t="s">
        <v>381</v>
      </c>
      <c r="T60" s="304" t="s">
        <v>60</v>
      </c>
      <c r="U60" s="10" t="str">
        <f>VLOOKUP('IMPO TERR'!T60,'Matriz datos'!$J$2:$K$10,2,0)</f>
        <v>CAMINO SANTA MARTA 2101, MAIPU</v>
      </c>
      <c r="V60" s="96" t="s">
        <v>382</v>
      </c>
      <c r="W60" s="106" t="s">
        <v>383</v>
      </c>
      <c r="X60" s="260">
        <v>46093</v>
      </c>
      <c r="Y60" s="59">
        <v>46094</v>
      </c>
      <c r="Z60" s="78">
        <v>46092</v>
      </c>
      <c r="AA60" s="310">
        <v>4090180286</v>
      </c>
      <c r="AC60" s="290">
        <v>46094</v>
      </c>
      <c r="AD60" s="414">
        <v>46094</v>
      </c>
      <c r="AE60" s="406">
        <v>141587</v>
      </c>
      <c r="AF60" s="399">
        <v>16820000</v>
      </c>
      <c r="AG60" s="11"/>
      <c r="AH60" s="37"/>
    </row>
    <row r="61" spans="1:34" ht="24.75" customHeight="1">
      <c r="A61" s="235" t="s">
        <v>384</v>
      </c>
      <c r="B61" s="235">
        <v>180288</v>
      </c>
      <c r="C61" s="393" t="s">
        <v>385</v>
      </c>
      <c r="D61" s="2" t="s">
        <v>52</v>
      </c>
      <c r="E61" s="28">
        <v>46087</v>
      </c>
      <c r="F61" s="15"/>
      <c r="G61" s="15"/>
      <c r="H61" s="2"/>
      <c r="I61" s="2"/>
      <c r="J61" s="2"/>
      <c r="K61" s="3" t="s">
        <v>40</v>
      </c>
      <c r="L61" s="2" t="s">
        <v>41</v>
      </c>
      <c r="M61" s="4" t="s">
        <v>42</v>
      </c>
      <c r="N61" s="2" t="s">
        <v>43</v>
      </c>
      <c r="O61" s="430" t="s">
        <v>386</v>
      </c>
      <c r="P61" s="238"/>
      <c r="Q61" s="285" t="s">
        <v>45</v>
      </c>
      <c r="R61" s="398" t="s">
        <v>387</v>
      </c>
      <c r="S61" s="407" t="s">
        <v>388</v>
      </c>
      <c r="T61" s="304" t="s">
        <v>68</v>
      </c>
      <c r="U61" s="10" t="str">
        <f>VLOOKUP('IMPO TERR'!T61,'Matriz datos'!$J$2:$K$10,2,0)</f>
        <v>AV. PDTE. EDUARDO FREI 8301, QUILICURA</v>
      </c>
      <c r="V61" s="96" t="s">
        <v>389</v>
      </c>
      <c r="W61" s="105" t="s">
        <v>390</v>
      </c>
      <c r="X61" s="432"/>
      <c r="Y61" s="420"/>
      <c r="Z61" s="28">
        <v>46091</v>
      </c>
      <c r="AA61" s="310">
        <v>4090180288</v>
      </c>
      <c r="AC61" s="412"/>
      <c r="AD61" s="398"/>
      <c r="AE61" s="406"/>
      <c r="AF61" s="433"/>
      <c r="AG61" s="11"/>
      <c r="AH61" s="37"/>
    </row>
    <row r="62" spans="1:34" ht="24.75" customHeight="1">
      <c r="A62" s="235" t="s">
        <v>391</v>
      </c>
      <c r="B62" s="235">
        <v>180289</v>
      </c>
      <c r="C62" s="393" t="s">
        <v>392</v>
      </c>
      <c r="D62" s="2" t="s">
        <v>52</v>
      </c>
      <c r="E62" s="28">
        <v>46087</v>
      </c>
      <c r="F62" s="15"/>
      <c r="G62" s="15" t="s">
        <v>393</v>
      </c>
      <c r="H62" s="2"/>
      <c r="I62" s="2"/>
      <c r="J62" s="2"/>
      <c r="K62" s="3" t="s">
        <v>54</v>
      </c>
      <c r="L62" s="2" t="s">
        <v>41</v>
      </c>
      <c r="M62" s="4" t="s">
        <v>42</v>
      </c>
      <c r="N62" s="2" t="s">
        <v>43</v>
      </c>
      <c r="O62" s="430" t="s">
        <v>394</v>
      </c>
      <c r="P62" s="238">
        <v>40322</v>
      </c>
      <c r="Q62" s="285" t="s">
        <v>178</v>
      </c>
      <c r="R62" s="398" t="s">
        <v>395</v>
      </c>
      <c r="S62" s="407" t="s">
        <v>396</v>
      </c>
      <c r="T62" s="304" t="s">
        <v>68</v>
      </c>
      <c r="U62" s="10" t="str">
        <f>VLOOKUP('IMPO TERR'!T62,'Matriz datos'!$J$2:$K$10,2,0)</f>
        <v>AV. PDTE. EDUARDO FREI 8301, QUILICURA</v>
      </c>
      <c r="V62" s="96" t="s">
        <v>397</v>
      </c>
      <c r="W62" s="97" t="s">
        <v>398</v>
      </c>
      <c r="X62" s="59">
        <v>46094</v>
      </c>
      <c r="Y62" s="414">
        <v>46095</v>
      </c>
      <c r="Z62" s="78">
        <v>46091</v>
      </c>
      <c r="AA62" s="310">
        <v>4090180289</v>
      </c>
      <c r="AC62" s="427" t="s">
        <v>399</v>
      </c>
      <c r="AD62" s="398" t="s">
        <v>52</v>
      </c>
      <c r="AE62" s="406"/>
      <c r="AF62" s="399">
        <v>21190000</v>
      </c>
      <c r="AG62" s="11"/>
      <c r="AH62" s="37"/>
    </row>
    <row r="63" spans="1:34" ht="24.75" customHeight="1">
      <c r="A63" s="235" t="s">
        <v>400</v>
      </c>
      <c r="B63" s="235">
        <v>180290</v>
      </c>
      <c r="C63" s="393" t="s">
        <v>392</v>
      </c>
      <c r="D63" s="56" t="s">
        <v>36</v>
      </c>
      <c r="E63" s="28">
        <v>46088</v>
      </c>
      <c r="F63" s="15"/>
      <c r="G63" s="15"/>
      <c r="H63" s="2"/>
      <c r="I63" s="2"/>
      <c r="J63" s="2"/>
      <c r="K63" s="3" t="s">
        <v>40</v>
      </c>
      <c r="L63" s="2" t="s">
        <v>41</v>
      </c>
      <c r="M63" s="4" t="s">
        <v>42</v>
      </c>
      <c r="N63" s="2" t="s">
        <v>43</v>
      </c>
      <c r="O63" s="430" t="s">
        <v>401</v>
      </c>
      <c r="P63" s="238">
        <v>42111</v>
      </c>
      <c r="Q63" s="285" t="s">
        <v>105</v>
      </c>
      <c r="R63" s="398" t="s">
        <v>402</v>
      </c>
      <c r="S63" s="407" t="s">
        <v>403</v>
      </c>
      <c r="T63" s="304" t="s">
        <v>88</v>
      </c>
      <c r="U63" s="10" t="s">
        <v>404</v>
      </c>
      <c r="V63" s="96" t="s">
        <v>405</v>
      </c>
      <c r="W63" s="107" t="s">
        <v>406</v>
      </c>
      <c r="X63" s="420">
        <v>46097</v>
      </c>
      <c r="Y63" s="408">
        <v>46098</v>
      </c>
      <c r="Z63" s="28">
        <v>46090</v>
      </c>
      <c r="AA63" s="310">
        <v>4090180290</v>
      </c>
      <c r="AB63" s="10"/>
      <c r="AC63" s="59">
        <v>46098</v>
      </c>
      <c r="AD63" s="406" t="s">
        <v>52</v>
      </c>
      <c r="AE63" s="406"/>
      <c r="AF63" s="402">
        <v>27800000</v>
      </c>
      <c r="AG63" s="11"/>
      <c r="AH63" s="37"/>
    </row>
    <row r="64" spans="1:34" ht="24.75" customHeight="1">
      <c r="A64" s="235" t="s">
        <v>407</v>
      </c>
      <c r="B64" s="235">
        <v>180291</v>
      </c>
      <c r="C64" s="393" t="s">
        <v>35</v>
      </c>
      <c r="D64" s="5" t="s">
        <v>36</v>
      </c>
      <c r="E64" s="28">
        <v>46088</v>
      </c>
      <c r="F64" s="15"/>
      <c r="G64" s="15"/>
      <c r="H64" s="2"/>
      <c r="I64" s="2"/>
      <c r="J64" s="2"/>
      <c r="K64" s="3" t="s">
        <v>54</v>
      </c>
      <c r="L64" s="2" t="s">
        <v>41</v>
      </c>
      <c r="M64" s="4" t="s">
        <v>42</v>
      </c>
      <c r="N64" s="2" t="s">
        <v>43</v>
      </c>
      <c r="O64" s="430" t="s">
        <v>408</v>
      </c>
      <c r="P64" s="238">
        <v>40320</v>
      </c>
      <c r="Q64" s="285" t="s">
        <v>45</v>
      </c>
      <c r="R64" s="398" t="s">
        <v>409</v>
      </c>
      <c r="S64" s="407" t="s">
        <v>410</v>
      </c>
      <c r="T64" s="304" t="s">
        <v>68</v>
      </c>
      <c r="U64" s="10" t="str">
        <f>VLOOKUP('IMPO TERR'!T64,'Matriz datos'!$J$2:$K$10,2,0)</f>
        <v>AV. PDTE. EDUARDO FREI 8301, QUILICURA</v>
      </c>
      <c r="V64" s="96" t="s">
        <v>411</v>
      </c>
      <c r="W64" s="106" t="s">
        <v>412</v>
      </c>
      <c r="X64" s="408">
        <v>46094</v>
      </c>
      <c r="Y64" s="411">
        <v>46095</v>
      </c>
      <c r="Z64" s="28">
        <v>46091</v>
      </c>
      <c r="AA64" s="310">
        <v>4090180291</v>
      </c>
      <c r="AC64" s="418">
        <v>46095</v>
      </c>
      <c r="AD64" s="408">
        <v>46095</v>
      </c>
      <c r="AE64" s="406">
        <v>141598</v>
      </c>
      <c r="AF64" s="404">
        <v>20440000</v>
      </c>
      <c r="AG64" s="11"/>
      <c r="AH64" s="37"/>
    </row>
    <row r="65" spans="1:34" ht="24.75" customHeight="1">
      <c r="A65" s="235" t="s">
        <v>413</v>
      </c>
      <c r="B65" s="235">
        <v>180292</v>
      </c>
      <c r="C65" s="393" t="s">
        <v>35</v>
      </c>
      <c r="D65" s="5" t="s">
        <v>36</v>
      </c>
      <c r="E65" s="28">
        <v>46088</v>
      </c>
      <c r="F65" s="15"/>
      <c r="G65" s="15"/>
      <c r="H65" s="2"/>
      <c r="I65" s="2"/>
      <c r="J65" s="2"/>
      <c r="K65" s="3" t="s">
        <v>40</v>
      </c>
      <c r="L65" s="2" t="s">
        <v>41</v>
      </c>
      <c r="M65" s="4" t="s">
        <v>42</v>
      </c>
      <c r="N65" s="2" t="s">
        <v>43</v>
      </c>
      <c r="O65" s="430" t="s">
        <v>414</v>
      </c>
      <c r="P65" s="238">
        <v>41046</v>
      </c>
      <c r="Q65" s="285" t="s">
        <v>45</v>
      </c>
      <c r="R65" s="398" t="s">
        <v>415</v>
      </c>
      <c r="S65" s="407" t="s">
        <v>415</v>
      </c>
      <c r="T65" s="304" t="s">
        <v>68</v>
      </c>
      <c r="U65" s="10" t="str">
        <f>VLOOKUP('IMPO TERR'!T65,'Matriz datos'!$J$2:$K$10,2,0)</f>
        <v>AV. PDTE. EDUARDO FREI 8301, QUILICURA</v>
      </c>
      <c r="V65" s="96" t="s">
        <v>416</v>
      </c>
      <c r="W65" s="97" t="s">
        <v>417</v>
      </c>
      <c r="X65" s="413">
        <v>46096</v>
      </c>
      <c r="Y65" s="59">
        <v>46097</v>
      </c>
      <c r="Z65" s="333">
        <v>46090</v>
      </c>
      <c r="AA65" s="310">
        <v>4090180292</v>
      </c>
      <c r="AB65" s="29">
        <v>46097</v>
      </c>
      <c r="AC65" s="414">
        <v>46097</v>
      </c>
      <c r="AD65" s="408">
        <v>46098</v>
      </c>
      <c r="AE65" s="406">
        <v>141638</v>
      </c>
      <c r="AF65" s="399">
        <v>26080000</v>
      </c>
      <c r="AG65" s="11"/>
      <c r="AH65" s="37"/>
    </row>
    <row r="66" spans="1:34" ht="24.75" customHeight="1">
      <c r="A66" s="235" t="s">
        <v>418</v>
      </c>
      <c r="B66" s="235">
        <v>180293</v>
      </c>
      <c r="C66" s="393" t="s">
        <v>35</v>
      </c>
      <c r="D66" s="5" t="s">
        <v>115</v>
      </c>
      <c r="E66" s="28">
        <v>46088</v>
      </c>
      <c r="F66" s="15"/>
      <c r="G66" s="15"/>
      <c r="H66" s="2"/>
      <c r="I66" s="2"/>
      <c r="J66" s="2"/>
      <c r="K66" s="3" t="s">
        <v>40</v>
      </c>
      <c r="L66" s="2" t="s">
        <v>41</v>
      </c>
      <c r="M66" s="4" t="s">
        <v>42</v>
      </c>
      <c r="N66" s="2" t="s">
        <v>43</v>
      </c>
      <c r="O66" s="430" t="s">
        <v>419</v>
      </c>
      <c r="P66" s="238">
        <v>41312</v>
      </c>
      <c r="Q66" s="288" t="s">
        <v>45</v>
      </c>
      <c r="R66" s="398" t="s">
        <v>420</v>
      </c>
      <c r="S66" s="407" t="s">
        <v>421</v>
      </c>
      <c r="T66" s="304" t="s">
        <v>68</v>
      </c>
      <c r="U66" s="249" t="str">
        <f>VLOOKUP('IMPO TERR'!T66,'Matriz datos'!$J$2:$K$10,2,0)</f>
        <v>AV. PDTE. EDUARDO FREI 8301, QUILICURA</v>
      </c>
      <c r="V66" s="96" t="s">
        <v>422</v>
      </c>
      <c r="W66" s="105" t="s">
        <v>423</v>
      </c>
      <c r="X66" s="411">
        <v>46096</v>
      </c>
      <c r="Y66" s="420">
        <v>46097</v>
      </c>
      <c r="Z66" s="79">
        <v>46091</v>
      </c>
      <c r="AA66" s="307">
        <v>4090180293</v>
      </c>
      <c r="AB66" s="29">
        <v>46097</v>
      </c>
      <c r="AC66" s="414">
        <v>46098</v>
      </c>
      <c r="AD66" s="408">
        <v>46098</v>
      </c>
      <c r="AE66" s="406">
        <v>141650</v>
      </c>
      <c r="AF66" s="434">
        <v>24400000</v>
      </c>
      <c r="AG66" s="11"/>
      <c r="AH66" s="37"/>
    </row>
    <row r="67" spans="1:34" ht="24.75" customHeight="1">
      <c r="A67" s="235" t="s">
        <v>424</v>
      </c>
      <c r="B67" s="235">
        <v>180311</v>
      </c>
      <c r="C67" s="393" t="s">
        <v>35</v>
      </c>
      <c r="D67" s="56" t="s">
        <v>36</v>
      </c>
      <c r="E67" s="28">
        <v>46090</v>
      </c>
      <c r="F67" s="15"/>
      <c r="G67" s="15"/>
      <c r="H67" s="2"/>
      <c r="I67" s="2"/>
      <c r="J67" s="2"/>
      <c r="K67" s="3" t="s">
        <v>54</v>
      </c>
      <c r="L67" s="2" t="s">
        <v>41</v>
      </c>
      <c r="M67" s="4" t="s">
        <v>42</v>
      </c>
      <c r="N67" s="2" t="s">
        <v>43</v>
      </c>
      <c r="O67" s="430" t="s">
        <v>425</v>
      </c>
      <c r="P67" s="238">
        <v>40314</v>
      </c>
      <c r="Q67" s="285"/>
      <c r="R67" s="398" t="s">
        <v>426</v>
      </c>
      <c r="S67" s="407" t="s">
        <v>427</v>
      </c>
      <c r="T67" s="304" t="s">
        <v>88</v>
      </c>
      <c r="U67" s="407" t="s">
        <v>174</v>
      </c>
      <c r="V67" s="298" t="s">
        <v>428</v>
      </c>
      <c r="W67" s="97">
        <v>24625000</v>
      </c>
      <c r="X67" s="59">
        <v>46094</v>
      </c>
      <c r="Y67" s="414">
        <v>46095</v>
      </c>
      <c r="Z67" s="28">
        <v>46092</v>
      </c>
      <c r="AA67" s="310">
        <v>4090180311</v>
      </c>
      <c r="AC67" s="414">
        <v>46095</v>
      </c>
      <c r="AD67" s="408">
        <v>46095</v>
      </c>
      <c r="AE67" s="406">
        <v>141604</v>
      </c>
      <c r="AF67" s="402">
        <v>17540000</v>
      </c>
      <c r="AG67" s="11"/>
      <c r="AH67" s="37"/>
    </row>
    <row r="68" spans="1:34" ht="24.75" customHeight="1">
      <c r="A68" s="235" t="s">
        <v>429</v>
      </c>
      <c r="B68" s="235">
        <v>180312</v>
      </c>
      <c r="C68" s="393" t="s">
        <v>35</v>
      </c>
      <c r="D68" s="5" t="s">
        <v>115</v>
      </c>
      <c r="E68" s="28">
        <v>46090</v>
      </c>
      <c r="F68" s="15"/>
      <c r="G68" s="15"/>
      <c r="H68" s="2"/>
      <c r="I68" s="2"/>
      <c r="J68" s="2"/>
      <c r="K68" s="3" t="s">
        <v>40</v>
      </c>
      <c r="L68" s="2" t="s">
        <v>41</v>
      </c>
      <c r="M68" s="4" t="s">
        <v>42</v>
      </c>
      <c r="N68" s="2" t="s">
        <v>43</v>
      </c>
      <c r="O68" s="430" t="s">
        <v>430</v>
      </c>
      <c r="P68" s="238">
        <v>40978</v>
      </c>
      <c r="Q68" s="285" t="s">
        <v>45</v>
      </c>
      <c r="R68" s="398" t="s">
        <v>431</v>
      </c>
      <c r="S68" s="407" t="s">
        <v>432</v>
      </c>
      <c r="T68" s="304" t="s">
        <v>68</v>
      </c>
      <c r="U68" s="332" t="str">
        <f>VLOOKUP('IMPO TERR'!T68,'Matriz datos'!$J$2:$K$10,2,0)</f>
        <v>AV. PDTE. EDUARDO FREI 8301, QUILICURA</v>
      </c>
      <c r="V68" s="96" t="s">
        <v>433</v>
      </c>
      <c r="W68" s="107" t="s">
        <v>434</v>
      </c>
      <c r="X68" s="420">
        <v>46096</v>
      </c>
      <c r="Y68" s="411">
        <v>46097</v>
      </c>
      <c r="Z68" s="295">
        <v>46091</v>
      </c>
      <c r="AA68" s="307">
        <v>4090180312</v>
      </c>
      <c r="AB68" s="29">
        <v>46097</v>
      </c>
      <c r="AC68" s="414">
        <v>46098</v>
      </c>
      <c r="AD68" s="408">
        <v>46098</v>
      </c>
      <c r="AE68" s="406">
        <v>141647</v>
      </c>
      <c r="AF68" s="403">
        <v>24110000</v>
      </c>
      <c r="AG68" s="11"/>
      <c r="AH68" s="37"/>
    </row>
    <row r="69" spans="1:34" ht="24.75" customHeight="1">
      <c r="A69" s="235" t="s">
        <v>435</v>
      </c>
      <c r="B69" s="235">
        <v>180313</v>
      </c>
      <c r="C69" s="393" t="s">
        <v>35</v>
      </c>
      <c r="D69" s="5" t="s">
        <v>36</v>
      </c>
      <c r="E69" s="28">
        <v>46090</v>
      </c>
      <c r="F69" s="15"/>
      <c r="G69" s="15"/>
      <c r="H69" s="2"/>
      <c r="I69" s="2"/>
      <c r="J69" s="2"/>
      <c r="K69" s="3" t="s">
        <v>54</v>
      </c>
      <c r="L69" s="2" t="s">
        <v>41</v>
      </c>
      <c r="M69" s="4" t="s">
        <v>42</v>
      </c>
      <c r="N69" s="2" t="s">
        <v>43</v>
      </c>
      <c r="O69" s="430" t="s">
        <v>436</v>
      </c>
      <c r="P69" s="238">
        <v>40485</v>
      </c>
      <c r="Q69" s="285"/>
      <c r="R69" s="398" t="s">
        <v>437</v>
      </c>
      <c r="S69" s="407" t="s">
        <v>438</v>
      </c>
      <c r="T69" s="15" t="s">
        <v>60</v>
      </c>
      <c r="U69" s="10" t="str">
        <f>VLOOKUP('IMPO TERR'!T69,'Matriz datos'!$J$2:$K$10,2,0)</f>
        <v>CAMINO SANTA MARTA 2101, MAIPU</v>
      </c>
      <c r="V69" s="96" t="s">
        <v>439</v>
      </c>
      <c r="W69" s="107" t="s">
        <v>440</v>
      </c>
      <c r="X69" s="435">
        <v>46094</v>
      </c>
      <c r="Y69" s="59">
        <v>46095</v>
      </c>
      <c r="Z69" s="79">
        <v>46093</v>
      </c>
      <c r="AA69" s="307">
        <v>4090180313</v>
      </c>
      <c r="AC69" s="414">
        <v>46095</v>
      </c>
      <c r="AD69" s="408">
        <v>46095</v>
      </c>
      <c r="AE69" s="406">
        <v>141610</v>
      </c>
      <c r="AF69" s="403">
        <v>16870000</v>
      </c>
      <c r="AG69" s="11"/>
      <c r="AH69" s="37"/>
    </row>
    <row r="70" spans="1:34" ht="24.75" customHeight="1">
      <c r="A70" s="235" t="s">
        <v>441</v>
      </c>
      <c r="B70" s="235">
        <v>180314</v>
      </c>
      <c r="C70" s="393" t="s">
        <v>35</v>
      </c>
      <c r="D70" s="5" t="s">
        <v>36</v>
      </c>
      <c r="E70" s="28">
        <v>46090</v>
      </c>
      <c r="F70" s="15"/>
      <c r="G70" s="15" t="s">
        <v>442</v>
      </c>
      <c r="H70" s="2"/>
      <c r="I70" s="2"/>
      <c r="J70" s="2"/>
      <c r="K70" s="3" t="s">
        <v>40</v>
      </c>
      <c r="L70" s="2" t="s">
        <v>41</v>
      </c>
      <c r="M70" s="4" t="s">
        <v>42</v>
      </c>
      <c r="N70" s="2" t="s">
        <v>43</v>
      </c>
      <c r="O70" s="430" t="s">
        <v>443</v>
      </c>
      <c r="P70" s="238">
        <v>37030</v>
      </c>
      <c r="Q70" s="303" t="s">
        <v>45</v>
      </c>
      <c r="R70" s="398" t="s">
        <v>444</v>
      </c>
      <c r="S70" s="407" t="s">
        <v>445</v>
      </c>
      <c r="T70" s="15" t="s">
        <v>68</v>
      </c>
      <c r="U70" s="10" t="str">
        <f>VLOOKUP('IMPO TERR'!T70,'Matriz datos'!$J$2:$K$10,2,0)</f>
        <v>AV. PDTE. EDUARDO FREI 8301, QUILICURA</v>
      </c>
      <c r="V70" s="96" t="s">
        <v>446</v>
      </c>
      <c r="W70" s="106" t="s">
        <v>447</v>
      </c>
      <c r="X70" s="59">
        <v>46089</v>
      </c>
      <c r="Y70" s="418">
        <v>46090</v>
      </c>
      <c r="Z70" s="28">
        <v>46093</v>
      </c>
      <c r="AA70" s="307">
        <v>4090180314</v>
      </c>
      <c r="AB70" s="29">
        <v>46094</v>
      </c>
      <c r="AC70" s="260">
        <v>46094</v>
      </c>
      <c r="AD70" s="69">
        <v>46094</v>
      </c>
      <c r="AE70" s="406">
        <v>141596</v>
      </c>
      <c r="AF70" s="403">
        <v>25560000</v>
      </c>
      <c r="AG70" s="11"/>
      <c r="AH70" s="37"/>
    </row>
    <row r="71" spans="1:34" ht="24.75" customHeight="1">
      <c r="A71" s="235" t="s">
        <v>448</v>
      </c>
      <c r="B71" s="235">
        <v>180318</v>
      </c>
      <c r="C71" s="393" t="s">
        <v>392</v>
      </c>
      <c r="D71" s="2" t="s">
        <v>52</v>
      </c>
      <c r="E71" s="28">
        <v>46090</v>
      </c>
      <c r="F71" s="15"/>
      <c r="G71" s="15"/>
      <c r="H71" s="2"/>
      <c r="I71" s="2"/>
      <c r="J71" s="2"/>
      <c r="K71" s="3" t="s">
        <v>40</v>
      </c>
      <c r="L71" s="2" t="s">
        <v>55</v>
      </c>
      <c r="M71" s="4" t="s">
        <v>42</v>
      </c>
      <c r="N71" s="2" t="s">
        <v>43</v>
      </c>
      <c r="O71" s="430" t="s">
        <v>449</v>
      </c>
      <c r="P71" s="238">
        <v>40724</v>
      </c>
      <c r="Q71" s="285" t="s">
        <v>57</v>
      </c>
      <c r="R71" s="398" t="s">
        <v>450</v>
      </c>
      <c r="S71" s="407" t="s">
        <v>451</v>
      </c>
      <c r="T71" s="15" t="s">
        <v>68</v>
      </c>
      <c r="U71" s="10" t="str">
        <f>VLOOKUP('IMPO TERR'!T71,'Matriz datos'!$J$2:$K$10,2,0)</f>
        <v>AV. PDTE. EDUARDO FREI 8301, QUILICURA</v>
      </c>
      <c r="V71" s="96" t="s">
        <v>452</v>
      </c>
      <c r="W71" s="97" t="s">
        <v>453</v>
      </c>
      <c r="X71" s="420">
        <v>46095</v>
      </c>
      <c r="Y71" s="408">
        <v>46096</v>
      </c>
      <c r="Z71" s="77">
        <v>46091</v>
      </c>
      <c r="AA71" s="307">
        <v>4090180318</v>
      </c>
      <c r="AB71" s="29">
        <v>46097</v>
      </c>
      <c r="AC71" s="414">
        <v>46097</v>
      </c>
      <c r="AD71" s="398" t="s">
        <v>52</v>
      </c>
      <c r="AE71" s="406">
        <v>141614</v>
      </c>
      <c r="AF71" s="403">
        <v>27060000</v>
      </c>
      <c r="AG71" s="11"/>
      <c r="AH71" s="37"/>
    </row>
    <row r="72" spans="1:34" ht="24.75" customHeight="1">
      <c r="A72" s="235" t="s">
        <v>454</v>
      </c>
      <c r="B72" s="235">
        <v>180319</v>
      </c>
      <c r="C72" s="393" t="s">
        <v>35</v>
      </c>
      <c r="D72" s="5" t="s">
        <v>36</v>
      </c>
      <c r="E72" s="28">
        <v>46090</v>
      </c>
      <c r="F72" s="15"/>
      <c r="G72" s="15"/>
      <c r="H72" s="2"/>
      <c r="I72" s="2"/>
      <c r="K72" s="3" t="s">
        <v>40</v>
      </c>
      <c r="L72" s="2" t="s">
        <v>41</v>
      </c>
      <c r="M72" s="4" t="s">
        <v>42</v>
      </c>
      <c r="N72" s="2" t="s">
        <v>43</v>
      </c>
      <c r="O72" s="430" t="s">
        <v>455</v>
      </c>
      <c r="P72" s="238">
        <v>41073</v>
      </c>
      <c r="Q72" s="286"/>
      <c r="R72" s="398" t="s">
        <v>456</v>
      </c>
      <c r="S72" s="407" t="s">
        <v>457</v>
      </c>
      <c r="T72" s="15" t="s">
        <v>68</v>
      </c>
      <c r="U72" s="10" t="str">
        <f>VLOOKUP('IMPO TERR'!T72,'Matriz datos'!$J$2:$K$10,2,0)</f>
        <v>AV. PDTE. EDUARDO FREI 8301, QUILICURA</v>
      </c>
      <c r="V72" s="111" t="s">
        <v>458</v>
      </c>
      <c r="W72" s="113" t="s">
        <v>459</v>
      </c>
      <c r="X72" s="408">
        <v>46096</v>
      </c>
      <c r="Y72" s="408">
        <v>46097</v>
      </c>
      <c r="Z72" s="28">
        <v>46092</v>
      </c>
      <c r="AA72" s="310">
        <v>4090180319</v>
      </c>
      <c r="AB72" s="29">
        <v>46097</v>
      </c>
      <c r="AC72" s="414">
        <v>46098</v>
      </c>
      <c r="AD72" s="411">
        <v>46098</v>
      </c>
      <c r="AE72" s="406">
        <v>141643</v>
      </c>
      <c r="AF72" s="403">
        <v>24760000</v>
      </c>
      <c r="AG72" s="11"/>
      <c r="AH72" s="37"/>
    </row>
    <row r="73" spans="1:34" ht="24.75" customHeight="1">
      <c r="A73" s="235" t="s">
        <v>460</v>
      </c>
      <c r="B73" s="235">
        <v>180320</v>
      </c>
      <c r="C73" s="393" t="s">
        <v>35</v>
      </c>
      <c r="D73" s="2" t="s">
        <v>52</v>
      </c>
      <c r="E73" s="28">
        <v>45360</v>
      </c>
      <c r="F73" s="15"/>
      <c r="G73" s="15"/>
      <c r="H73" s="2"/>
      <c r="I73" s="2"/>
      <c r="J73" s="2"/>
      <c r="K73" s="3" t="s">
        <v>40</v>
      </c>
      <c r="L73" s="2" t="s">
        <v>55</v>
      </c>
      <c r="M73" s="4" t="s">
        <v>42</v>
      </c>
      <c r="N73" s="2" t="s">
        <v>43</v>
      </c>
      <c r="O73" s="430" t="s">
        <v>461</v>
      </c>
      <c r="P73" s="238">
        <v>40725</v>
      </c>
      <c r="Q73" s="285" t="s">
        <v>57</v>
      </c>
      <c r="R73" s="398" t="s">
        <v>462</v>
      </c>
      <c r="S73" s="407" t="s">
        <v>463</v>
      </c>
      <c r="T73" s="15" t="s">
        <v>299</v>
      </c>
      <c r="U73" s="10" t="str">
        <f>VLOOKUP('IMPO TERR'!T73,'Matriz datos'!$J$2:$K$10,2,0)</f>
        <v>CAMINO LO AGUIRRE SUR 537, PUDAHUEL </v>
      </c>
      <c r="V73" s="111" t="s">
        <v>464</v>
      </c>
      <c r="W73" s="106" t="s">
        <v>465</v>
      </c>
      <c r="X73" s="408">
        <v>46095</v>
      </c>
      <c r="Y73" s="408">
        <v>46096</v>
      </c>
      <c r="Z73" s="79">
        <v>46091</v>
      </c>
      <c r="AA73" s="307">
        <v>4090180320</v>
      </c>
      <c r="AB73" s="29">
        <v>46097</v>
      </c>
      <c r="AC73" s="419">
        <v>46097</v>
      </c>
      <c r="AD73" s="59">
        <v>46098</v>
      </c>
      <c r="AE73" s="406">
        <v>141613</v>
      </c>
      <c r="AF73" s="403">
        <v>34020000</v>
      </c>
      <c r="AG73" s="11"/>
      <c r="AH73" s="37"/>
    </row>
    <row r="74" spans="1:34" ht="24.75" customHeight="1">
      <c r="A74" s="235" t="s">
        <v>466</v>
      </c>
      <c r="B74" s="235">
        <v>180328</v>
      </c>
      <c r="C74" s="393" t="s">
        <v>35</v>
      </c>
      <c r="D74" s="5" t="s">
        <v>36</v>
      </c>
      <c r="E74" s="28">
        <v>46090</v>
      </c>
      <c r="F74" s="15"/>
      <c r="G74" s="15" t="s">
        <v>467</v>
      </c>
      <c r="H74" s="2"/>
      <c r="I74" s="2"/>
      <c r="J74" s="2"/>
      <c r="K74" s="2" t="s">
        <v>54</v>
      </c>
      <c r="L74" s="2" t="s">
        <v>41</v>
      </c>
      <c r="M74" s="4" t="s">
        <v>42</v>
      </c>
      <c r="N74" s="2" t="s">
        <v>43</v>
      </c>
      <c r="O74" s="430" t="s">
        <v>468</v>
      </c>
      <c r="P74" s="238">
        <v>39870</v>
      </c>
      <c r="Q74" s="285" t="s">
        <v>171</v>
      </c>
      <c r="R74" s="398" t="s">
        <v>469</v>
      </c>
      <c r="S74" s="407" t="s">
        <v>470</v>
      </c>
      <c r="T74" s="15" t="s">
        <v>60</v>
      </c>
      <c r="U74" s="10" t="str">
        <f>VLOOKUP('IMPO TERR'!T74,'Matriz datos'!$J$2:$K$10,2,0)</f>
        <v>CAMINO SANTA MARTA 2101, MAIPU</v>
      </c>
      <c r="V74" s="96" t="s">
        <v>471</v>
      </c>
      <c r="W74" s="97"/>
      <c r="X74" s="408">
        <v>46093</v>
      </c>
      <c r="Y74" s="408">
        <v>46094</v>
      </c>
      <c r="Z74" s="28">
        <v>46093</v>
      </c>
      <c r="AA74" s="307">
        <v>4090180328</v>
      </c>
      <c r="AB74" s="29">
        <v>46094</v>
      </c>
      <c r="AC74" s="58">
        <v>46094</v>
      </c>
      <c r="AD74" s="87">
        <v>46095</v>
      </c>
      <c r="AE74" s="406">
        <v>141594</v>
      </c>
      <c r="AF74" s="406" t="s">
        <v>472</v>
      </c>
      <c r="AG74" s="11"/>
      <c r="AH74" s="37"/>
    </row>
    <row r="75" spans="1:34" ht="24.75" customHeight="1">
      <c r="A75" s="235" t="s">
        <v>473</v>
      </c>
      <c r="B75" s="235">
        <v>180329</v>
      </c>
      <c r="C75" s="393" t="s">
        <v>35</v>
      </c>
      <c r="D75" s="5" t="s">
        <v>36</v>
      </c>
      <c r="E75" s="28">
        <v>46090</v>
      </c>
      <c r="F75" s="15"/>
      <c r="G75" s="15"/>
      <c r="H75" s="2"/>
      <c r="I75" s="2"/>
      <c r="J75" s="2"/>
      <c r="K75" s="2" t="s">
        <v>40</v>
      </c>
      <c r="L75" s="2" t="s">
        <v>196</v>
      </c>
      <c r="M75" s="4" t="s">
        <v>42</v>
      </c>
      <c r="N75" s="2" t="s">
        <v>43</v>
      </c>
      <c r="O75" s="430" t="s">
        <v>474</v>
      </c>
      <c r="P75" s="238"/>
      <c r="Q75" s="285" t="s">
        <v>198</v>
      </c>
      <c r="R75" s="18" t="s">
        <v>475</v>
      </c>
      <c r="S75" s="2" t="s">
        <v>476</v>
      </c>
      <c r="T75" s="15" t="s">
        <v>299</v>
      </c>
      <c r="U75" s="10" t="str">
        <f>VLOOKUP('IMPO TERR'!T75,'Matriz datos'!$J$2:$K$10,2,0)</f>
        <v>CAMINO LO AGUIRRE SUR 537, PUDAHUEL </v>
      </c>
      <c r="V75" s="96" t="s">
        <v>477</v>
      </c>
      <c r="W75" s="97" t="s">
        <v>478</v>
      </c>
      <c r="X75" s="408">
        <v>46091</v>
      </c>
      <c r="Y75" s="408">
        <v>46092</v>
      </c>
      <c r="Z75" s="296">
        <v>46092</v>
      </c>
      <c r="AA75" s="307">
        <v>4090180329</v>
      </c>
      <c r="AB75" s="29">
        <v>46092</v>
      </c>
      <c r="AC75" s="414">
        <v>46092</v>
      </c>
      <c r="AD75" s="410">
        <v>46092</v>
      </c>
      <c r="AE75" s="406">
        <v>141569</v>
      </c>
      <c r="AF75" s="403">
        <v>29110000</v>
      </c>
      <c r="AG75" s="11"/>
      <c r="AH75" s="37"/>
    </row>
    <row r="76" spans="1:34" ht="24.75" customHeight="1">
      <c r="A76" s="235" t="s">
        <v>479</v>
      </c>
      <c r="B76" s="235">
        <v>180331</v>
      </c>
      <c r="C76" s="393" t="s">
        <v>35</v>
      </c>
      <c r="D76" s="5" t="s">
        <v>36</v>
      </c>
      <c r="E76" s="28">
        <v>46090</v>
      </c>
      <c r="F76" s="15"/>
      <c r="G76" s="15" t="s">
        <v>480</v>
      </c>
      <c r="H76" s="2"/>
      <c r="I76" s="2"/>
      <c r="J76" s="2"/>
      <c r="K76" s="2" t="s">
        <v>40</v>
      </c>
      <c r="L76" s="2" t="s">
        <v>196</v>
      </c>
      <c r="M76" s="4" t="s">
        <v>42</v>
      </c>
      <c r="N76" s="2" t="s">
        <v>43</v>
      </c>
      <c r="O76" s="430" t="s">
        <v>481</v>
      </c>
      <c r="P76" s="306" t="s">
        <v>482</v>
      </c>
      <c r="Q76" s="285"/>
      <c r="R76" s="398" t="s">
        <v>483</v>
      </c>
      <c r="S76" s="407" t="s">
        <v>484</v>
      </c>
      <c r="T76" s="15" t="s">
        <v>485</v>
      </c>
      <c r="U76" s="10" t="s">
        <v>486</v>
      </c>
      <c r="V76" s="96" t="s">
        <v>487</v>
      </c>
      <c r="W76" s="97" t="s">
        <v>488</v>
      </c>
      <c r="X76" s="408">
        <v>46093</v>
      </c>
      <c r="Y76" s="69">
        <v>46093</v>
      </c>
      <c r="Z76" s="69">
        <v>46092</v>
      </c>
      <c r="AA76" s="311">
        <v>4090180331</v>
      </c>
      <c r="AB76" s="29">
        <v>46093</v>
      </c>
      <c r="AC76" s="315">
        <v>46093</v>
      </c>
      <c r="AD76" s="64">
        <v>46094</v>
      </c>
      <c r="AE76" s="406">
        <v>141573</v>
      </c>
      <c r="AF76" s="403">
        <v>36780000</v>
      </c>
      <c r="AG76" s="11"/>
      <c r="AH76" s="37"/>
    </row>
    <row r="77" spans="1:34" ht="24.75" customHeight="1">
      <c r="A77" s="235" t="s">
        <v>489</v>
      </c>
      <c r="B77" s="235">
        <v>180332</v>
      </c>
      <c r="C77" s="393" t="s">
        <v>35</v>
      </c>
      <c r="D77" s="5" t="s">
        <v>36</v>
      </c>
      <c r="E77" s="28">
        <v>46304</v>
      </c>
      <c r="F77" s="15"/>
      <c r="G77" s="15"/>
      <c r="H77" s="2"/>
      <c r="I77" s="2"/>
      <c r="J77" s="2"/>
      <c r="K77" s="2" t="s">
        <v>40</v>
      </c>
      <c r="L77" s="2" t="s">
        <v>55</v>
      </c>
      <c r="M77" s="4" t="s">
        <v>42</v>
      </c>
      <c r="N77" s="2" t="s">
        <v>43</v>
      </c>
      <c r="O77" s="430" t="s">
        <v>490</v>
      </c>
      <c r="P77" s="238">
        <v>40352</v>
      </c>
      <c r="Q77" s="285"/>
      <c r="R77" s="398" t="s">
        <v>491</v>
      </c>
      <c r="S77" s="407" t="s">
        <v>492</v>
      </c>
      <c r="T77" s="15" t="s">
        <v>68</v>
      </c>
      <c r="U77" s="10" t="str">
        <f>VLOOKUP('IMPO TERR'!T77,'Matriz datos'!$J$2:$K$10,2,0)</f>
        <v>AV. PDTE. EDUARDO FREI 8301, QUILICURA</v>
      </c>
      <c r="V77" s="96" t="s">
        <v>493</v>
      </c>
      <c r="W77" s="97"/>
      <c r="X77" s="413">
        <v>46094</v>
      </c>
      <c r="Y77" s="408">
        <v>46095</v>
      </c>
      <c r="Z77" s="28">
        <v>46092</v>
      </c>
      <c r="AA77" s="307">
        <v>4090180332</v>
      </c>
      <c r="AC77" s="419">
        <v>46095</v>
      </c>
      <c r="AD77" s="64">
        <v>46097</v>
      </c>
      <c r="AE77" s="406">
        <v>141606</v>
      </c>
      <c r="AF77" s="403">
        <v>9010000</v>
      </c>
      <c r="AG77" s="11"/>
      <c r="AH77" s="37"/>
    </row>
    <row r="78" spans="1:34" ht="24.75" customHeight="1">
      <c r="A78" s="235" t="s">
        <v>494</v>
      </c>
      <c r="B78" s="235">
        <v>180333</v>
      </c>
      <c r="C78" s="393" t="s">
        <v>35</v>
      </c>
      <c r="D78" s="5" t="s">
        <v>36</v>
      </c>
      <c r="E78" s="28">
        <v>46304</v>
      </c>
      <c r="F78" s="15"/>
      <c r="G78" s="15"/>
      <c r="H78" s="2"/>
      <c r="I78" s="2"/>
      <c r="J78" s="2"/>
      <c r="K78" s="2" t="s">
        <v>40</v>
      </c>
      <c r="L78" s="2" t="s">
        <v>55</v>
      </c>
      <c r="M78" s="4" t="s">
        <v>42</v>
      </c>
      <c r="N78" s="2" t="s">
        <v>43</v>
      </c>
      <c r="O78" s="430" t="s">
        <v>495</v>
      </c>
      <c r="P78" s="238">
        <v>40352</v>
      </c>
      <c r="Q78" s="285"/>
      <c r="R78" s="398" t="s">
        <v>491</v>
      </c>
      <c r="S78" s="407" t="s">
        <v>492</v>
      </c>
      <c r="T78" s="15" t="s">
        <v>68</v>
      </c>
      <c r="U78" s="10" t="str">
        <f>VLOOKUP('IMPO TERR'!T78,'Matriz datos'!$J$2:$K$10,2,0)</f>
        <v>AV. PDTE. EDUARDO FREI 8301, QUILICURA</v>
      </c>
      <c r="V78" s="96" t="s">
        <v>493</v>
      </c>
      <c r="W78" s="97"/>
      <c r="X78" s="420">
        <v>46094</v>
      </c>
      <c r="Y78" s="420">
        <v>46095</v>
      </c>
      <c r="Z78" s="295">
        <v>46092</v>
      </c>
      <c r="AA78" s="307">
        <v>4090180333</v>
      </c>
      <c r="AC78" s="436">
        <v>46095</v>
      </c>
      <c r="AD78" s="59">
        <v>46097</v>
      </c>
      <c r="AE78" s="406">
        <v>141606</v>
      </c>
      <c r="AF78" s="403">
        <v>18520000</v>
      </c>
      <c r="AG78" s="11"/>
      <c r="AH78" s="37"/>
    </row>
    <row r="79" spans="1:34" ht="24.75" customHeight="1">
      <c r="A79" s="235" t="s">
        <v>496</v>
      </c>
      <c r="B79" s="235">
        <v>180334</v>
      </c>
      <c r="C79" s="393" t="s">
        <v>35</v>
      </c>
      <c r="D79" s="5" t="s">
        <v>36</v>
      </c>
      <c r="E79" s="28">
        <v>46090</v>
      </c>
      <c r="F79" s="15"/>
      <c r="G79" s="15"/>
      <c r="H79" s="2"/>
      <c r="I79" s="2"/>
      <c r="J79" s="2"/>
      <c r="K79" s="2" t="s">
        <v>40</v>
      </c>
      <c r="L79" s="2" t="s">
        <v>41</v>
      </c>
      <c r="M79" s="4" t="s">
        <v>42</v>
      </c>
      <c r="N79" s="2" t="s">
        <v>43</v>
      </c>
      <c r="O79" s="430" t="s">
        <v>497</v>
      </c>
      <c r="P79" s="238"/>
      <c r="Q79" s="286" t="s">
        <v>45</v>
      </c>
      <c r="R79" s="23" t="s">
        <v>498</v>
      </c>
      <c r="S79" s="407" t="s">
        <v>499</v>
      </c>
      <c r="T79" s="15" t="s">
        <v>68</v>
      </c>
      <c r="U79" s="10" t="str">
        <f>VLOOKUP('IMPO TERR'!T79,'Matriz datos'!$J$2:$K$10,2,0)</f>
        <v>AV. PDTE. EDUARDO FREI 8301, QUILICURA</v>
      </c>
      <c r="V79" s="96" t="s">
        <v>500</v>
      </c>
      <c r="W79" s="97" t="s">
        <v>501</v>
      </c>
      <c r="X79" s="58">
        <v>46089</v>
      </c>
      <c r="Y79" s="408">
        <v>46090</v>
      </c>
      <c r="Z79" s="77">
        <v>46092</v>
      </c>
      <c r="AA79" s="307">
        <v>4090180334</v>
      </c>
      <c r="AB79" s="29">
        <v>46092</v>
      </c>
      <c r="AC79" s="414">
        <v>46092</v>
      </c>
      <c r="AD79" s="420">
        <v>46092</v>
      </c>
      <c r="AE79" s="406">
        <v>141566</v>
      </c>
      <c r="AF79" s="403">
        <v>25590000</v>
      </c>
      <c r="AG79" s="11"/>
      <c r="AH79" s="37"/>
    </row>
    <row r="80" spans="1:34" ht="24.75" customHeight="1">
      <c r="A80" s="235" t="s">
        <v>502</v>
      </c>
      <c r="B80" s="235">
        <v>180338</v>
      </c>
      <c r="C80" s="393" t="s">
        <v>35</v>
      </c>
      <c r="D80" s="5" t="s">
        <v>36</v>
      </c>
      <c r="E80" s="28">
        <v>46091</v>
      </c>
      <c r="F80" s="15"/>
      <c r="G80" s="15"/>
      <c r="H80" s="2"/>
      <c r="I80" s="2"/>
      <c r="J80" s="2"/>
      <c r="K80" s="2" t="s">
        <v>40</v>
      </c>
      <c r="L80" s="2" t="s">
        <v>196</v>
      </c>
      <c r="M80" s="4" t="s">
        <v>42</v>
      </c>
      <c r="N80" s="2" t="s">
        <v>43</v>
      </c>
      <c r="O80" s="430" t="s">
        <v>503</v>
      </c>
      <c r="P80" s="238"/>
      <c r="Q80" s="285" t="s">
        <v>198</v>
      </c>
      <c r="R80" s="18" t="s">
        <v>504</v>
      </c>
      <c r="S80" s="22" t="s">
        <v>505</v>
      </c>
      <c r="T80" s="15" t="s">
        <v>68</v>
      </c>
      <c r="U80" s="10" t="str">
        <f>VLOOKUP('IMPO TERR'!T80,'Matriz datos'!$J$2:$K$10,2,0)</f>
        <v>AV. PDTE. EDUARDO FREI 8301, QUILICURA</v>
      </c>
      <c r="V80" s="96" t="s">
        <v>506</v>
      </c>
      <c r="W80" s="97" t="s">
        <v>507</v>
      </c>
      <c r="X80" s="408">
        <v>46091</v>
      </c>
      <c r="Y80" s="408">
        <v>46092</v>
      </c>
      <c r="Z80" s="28">
        <v>46091</v>
      </c>
      <c r="AA80" s="310">
        <v>4090180338</v>
      </c>
      <c r="AB80" s="29">
        <v>46091</v>
      </c>
      <c r="AC80" s="414">
        <v>46092</v>
      </c>
      <c r="AD80" s="408">
        <v>46092</v>
      </c>
      <c r="AE80" s="406">
        <v>141565</v>
      </c>
      <c r="AF80" s="403">
        <v>49300000</v>
      </c>
      <c r="AG80" s="11"/>
      <c r="AH80" s="37"/>
    </row>
    <row r="81" spans="1:34" ht="24.75" customHeight="1">
      <c r="A81" s="235" t="s">
        <v>508</v>
      </c>
      <c r="B81" s="235">
        <v>180339</v>
      </c>
      <c r="C81" s="393" t="s">
        <v>392</v>
      </c>
      <c r="D81" s="2" t="s">
        <v>52</v>
      </c>
      <c r="E81" s="28">
        <v>46091</v>
      </c>
      <c r="F81" s="15"/>
      <c r="G81" s="15"/>
      <c r="H81" s="2"/>
      <c r="I81" s="2"/>
      <c r="J81" s="2"/>
      <c r="K81" s="2" t="s">
        <v>54</v>
      </c>
      <c r="L81" s="2" t="s">
        <v>55</v>
      </c>
      <c r="M81" s="4" t="s">
        <v>42</v>
      </c>
      <c r="N81" s="2" t="s">
        <v>43</v>
      </c>
      <c r="O81" s="430" t="s">
        <v>509</v>
      </c>
      <c r="P81" s="238">
        <v>40765</v>
      </c>
      <c r="Q81" s="285"/>
      <c r="R81" s="398" t="s">
        <v>510</v>
      </c>
      <c r="S81" s="407" t="s">
        <v>511</v>
      </c>
      <c r="T81" s="15" t="s">
        <v>88</v>
      </c>
      <c r="U81" s="10" t="str">
        <f>VLOOKUP('IMPO TERR'!T81,'Matriz datos'!$J$2:$K$10,2,0)</f>
        <v>AV. AMERICO VESPUCIO 0350, QUILICURA</v>
      </c>
      <c r="V81" s="118" t="s">
        <v>512</v>
      </c>
      <c r="W81" s="437" t="s">
        <v>513</v>
      </c>
      <c r="X81" s="408">
        <v>46095</v>
      </c>
      <c r="Y81" s="408">
        <v>46096</v>
      </c>
      <c r="Z81" s="79">
        <v>46092</v>
      </c>
      <c r="AA81" s="307">
        <v>4090180339</v>
      </c>
      <c r="AB81" s="29">
        <v>46097</v>
      </c>
      <c r="AC81" s="414">
        <v>46097</v>
      </c>
      <c r="AD81" s="398" t="s">
        <v>52</v>
      </c>
      <c r="AE81" s="406">
        <v>141636</v>
      </c>
      <c r="AF81" s="403">
        <v>24530000</v>
      </c>
      <c r="AG81" s="11"/>
      <c r="AH81" s="37"/>
    </row>
    <row r="82" spans="1:34" ht="24.75" customHeight="1">
      <c r="A82" s="235" t="s">
        <v>514</v>
      </c>
      <c r="B82" s="235">
        <v>180340</v>
      </c>
      <c r="C82" s="393" t="s">
        <v>35</v>
      </c>
      <c r="D82" s="5" t="s">
        <v>36</v>
      </c>
      <c r="E82" s="28">
        <v>46091</v>
      </c>
      <c r="F82" s="15"/>
      <c r="G82" s="15"/>
      <c r="H82" s="2"/>
      <c r="I82" s="2"/>
      <c r="J82" s="2"/>
      <c r="K82" s="2" t="s">
        <v>40</v>
      </c>
      <c r="L82" s="2" t="s">
        <v>55</v>
      </c>
      <c r="M82" s="4" t="s">
        <v>42</v>
      </c>
      <c r="N82" s="2" t="s">
        <v>43</v>
      </c>
      <c r="O82" s="430" t="s">
        <v>515</v>
      </c>
      <c r="P82" s="238">
        <v>40471</v>
      </c>
      <c r="Q82" s="285"/>
      <c r="R82" s="398" t="s">
        <v>516</v>
      </c>
      <c r="S82" s="407" t="s">
        <v>517</v>
      </c>
      <c r="T82" s="15" t="s">
        <v>68</v>
      </c>
      <c r="U82" s="10" t="str">
        <f>VLOOKUP('IMPO TERR'!T82,'Matriz datos'!$J$2:$K$10,2,0)</f>
        <v>AV. PDTE. EDUARDO FREI 8301, QUILICURA</v>
      </c>
      <c r="V82" s="398" t="s">
        <v>518</v>
      </c>
      <c r="W82" s="237" t="s">
        <v>519</v>
      </c>
      <c r="X82" s="408">
        <v>46094</v>
      </c>
      <c r="Y82" s="408">
        <v>46095</v>
      </c>
      <c r="Z82" s="28">
        <v>46092</v>
      </c>
      <c r="AA82" s="307">
        <v>4090180340</v>
      </c>
      <c r="AC82" s="414">
        <v>46095</v>
      </c>
      <c r="AD82" s="408">
        <v>46098</v>
      </c>
      <c r="AE82" s="406">
        <v>141605</v>
      </c>
      <c r="AF82" s="403">
        <v>13560000</v>
      </c>
      <c r="AG82" s="11"/>
      <c r="AH82" s="37"/>
    </row>
    <row r="83" spans="1:34" ht="24.75" customHeight="1">
      <c r="A83" s="235" t="s">
        <v>520</v>
      </c>
      <c r="B83" s="235">
        <v>180341</v>
      </c>
      <c r="C83" s="393" t="s">
        <v>35</v>
      </c>
      <c r="D83" s="5" t="s">
        <v>36</v>
      </c>
      <c r="E83" s="78" t="s">
        <v>521</v>
      </c>
      <c r="F83" s="15"/>
      <c r="G83" s="15"/>
      <c r="H83" s="2"/>
      <c r="I83" s="2"/>
      <c r="J83" s="2"/>
      <c r="K83" s="2" t="s">
        <v>40</v>
      </c>
      <c r="L83" s="2" t="s">
        <v>55</v>
      </c>
      <c r="M83" s="4" t="s">
        <v>42</v>
      </c>
      <c r="N83" s="2" t="s">
        <v>43</v>
      </c>
      <c r="O83" s="430" t="s">
        <v>522</v>
      </c>
      <c r="P83" s="238">
        <v>40471</v>
      </c>
      <c r="R83" s="398" t="s">
        <v>516</v>
      </c>
      <c r="S83" s="322" t="s">
        <v>517</v>
      </c>
      <c r="T83" s="15" t="s">
        <v>68</v>
      </c>
      <c r="U83" s="10" t="str">
        <f>VLOOKUP('IMPO TERR'!T83,'Matriz datos'!$J$2:$K$10,2,0)</f>
        <v>AV. PDTE. EDUARDO FREI 8301, QUILICURA</v>
      </c>
      <c r="V83" s="398" t="s">
        <v>518</v>
      </c>
      <c r="W83" s="237" t="s">
        <v>519</v>
      </c>
      <c r="X83" s="408">
        <v>46094</v>
      </c>
      <c r="Y83" s="408">
        <v>46095</v>
      </c>
      <c r="Z83" s="28">
        <v>46092</v>
      </c>
      <c r="AA83" s="307">
        <v>4090180341</v>
      </c>
      <c r="AC83" s="431">
        <v>46095</v>
      </c>
      <c r="AD83" s="408">
        <v>46098</v>
      </c>
      <c r="AE83" s="406">
        <v>141605</v>
      </c>
      <c r="AF83" s="403">
        <v>13640000</v>
      </c>
      <c r="AG83" s="11"/>
      <c r="AH83" s="37"/>
    </row>
    <row r="84" spans="1:34" ht="24.75" customHeight="1">
      <c r="A84" s="235" t="s">
        <v>523</v>
      </c>
      <c r="B84" s="235">
        <v>180356</v>
      </c>
      <c r="C84" s="393" t="s">
        <v>35</v>
      </c>
      <c r="D84" s="56" t="s">
        <v>36</v>
      </c>
      <c r="E84" s="28">
        <v>46091</v>
      </c>
      <c r="F84" s="15"/>
      <c r="G84" s="15"/>
      <c r="H84" s="2"/>
      <c r="I84" s="2"/>
      <c r="J84" s="2"/>
      <c r="K84" s="2" t="s">
        <v>40</v>
      </c>
      <c r="L84" s="2" t="s">
        <v>196</v>
      </c>
      <c r="M84" s="4" t="s">
        <v>42</v>
      </c>
      <c r="N84" s="2" t="s">
        <v>43</v>
      </c>
      <c r="O84" s="430" t="s">
        <v>524</v>
      </c>
      <c r="P84" s="238"/>
      <c r="Q84" s="285" t="s">
        <v>525</v>
      </c>
      <c r="R84" s="398" t="s">
        <v>526</v>
      </c>
      <c r="S84" s="407" t="s">
        <v>527</v>
      </c>
      <c r="T84" s="15" t="s">
        <v>68</v>
      </c>
      <c r="U84" s="10" t="str">
        <f>VLOOKUP('IMPO TERR'!T84,'Matriz datos'!$J$2:$K$10,2,0)</f>
        <v>AV. PDTE. EDUARDO FREI 8301, QUILICURA</v>
      </c>
      <c r="V84" s="96" t="s">
        <v>528</v>
      </c>
      <c r="W84" s="106" t="s">
        <v>529</v>
      </c>
      <c r="X84" s="408">
        <v>46093</v>
      </c>
      <c r="Y84" s="260">
        <v>46093</v>
      </c>
      <c r="Z84" s="28">
        <v>46092</v>
      </c>
      <c r="AA84" s="307">
        <v>4090180356</v>
      </c>
      <c r="AB84" s="29">
        <v>46093</v>
      </c>
      <c r="AC84" s="290">
        <v>46094</v>
      </c>
      <c r="AD84" s="414">
        <v>46094</v>
      </c>
      <c r="AE84" s="406">
        <v>141148</v>
      </c>
      <c r="AF84" s="403">
        <v>49180000</v>
      </c>
      <c r="AG84" s="11"/>
      <c r="AH84" s="37"/>
    </row>
    <row r="85" spans="1:34" ht="24.75" customHeight="1">
      <c r="A85" s="235" t="s">
        <v>530</v>
      </c>
      <c r="B85" s="235">
        <v>180357</v>
      </c>
      <c r="C85" s="393" t="s">
        <v>35</v>
      </c>
      <c r="D85" s="5" t="s">
        <v>36</v>
      </c>
      <c r="E85" s="28">
        <v>46091</v>
      </c>
      <c r="F85" s="15"/>
      <c r="G85" s="15"/>
      <c r="H85" s="2"/>
      <c r="I85" s="2"/>
      <c r="J85" s="2"/>
      <c r="K85" s="2" t="s">
        <v>40</v>
      </c>
      <c r="L85" s="2" t="s">
        <v>196</v>
      </c>
      <c r="M85" s="4" t="s">
        <v>42</v>
      </c>
      <c r="N85" s="2" t="s">
        <v>43</v>
      </c>
      <c r="O85" s="430" t="s">
        <v>531</v>
      </c>
      <c r="P85" s="238"/>
      <c r="Q85" s="285" t="s">
        <v>198</v>
      </c>
      <c r="R85" s="398" t="s">
        <v>532</v>
      </c>
      <c r="S85" s="407" t="s">
        <v>533</v>
      </c>
      <c r="T85" s="15" t="s">
        <v>68</v>
      </c>
      <c r="U85" s="10" t="str">
        <f>VLOOKUP('IMPO TERR'!T85,'Matriz datos'!$J$2:$K$10,2,0)</f>
        <v>AV. PDTE. EDUARDO FREI 8301, QUILICURA</v>
      </c>
      <c r="V85" s="96" t="s">
        <v>534</v>
      </c>
      <c r="W85" s="113" t="s">
        <v>535</v>
      </c>
      <c r="X85" s="120">
        <v>46092</v>
      </c>
      <c r="Y85" s="261">
        <v>46093</v>
      </c>
      <c r="Z85" s="28">
        <v>46093</v>
      </c>
      <c r="AA85" s="307">
        <v>4090180357</v>
      </c>
      <c r="AB85" s="29">
        <v>46093</v>
      </c>
      <c r="AC85" s="291">
        <v>46093</v>
      </c>
      <c r="AD85" s="419">
        <v>46093</v>
      </c>
      <c r="AE85" s="398">
        <v>141578</v>
      </c>
      <c r="AF85" s="403">
        <v>30550000</v>
      </c>
      <c r="AG85" s="11"/>
      <c r="AH85" s="37"/>
    </row>
    <row r="86" spans="1:34" ht="24.75" customHeight="1">
      <c r="A86" s="235" t="s">
        <v>536</v>
      </c>
      <c r="B86" s="235">
        <v>180358</v>
      </c>
      <c r="C86" s="393"/>
      <c r="D86" s="2" t="s">
        <v>52</v>
      </c>
      <c r="E86" s="28">
        <v>46091</v>
      </c>
      <c r="F86" s="15"/>
      <c r="G86" s="15"/>
      <c r="H86" s="2"/>
      <c r="I86" s="2"/>
      <c r="J86" s="2"/>
      <c r="K86" s="2" t="s">
        <v>54</v>
      </c>
      <c r="L86" s="2" t="s">
        <v>41</v>
      </c>
      <c r="M86" s="4" t="s">
        <v>42</v>
      </c>
      <c r="N86" s="2" t="s">
        <v>43</v>
      </c>
      <c r="O86" s="430" t="s">
        <v>537</v>
      </c>
      <c r="P86" s="238"/>
      <c r="Q86" s="285" t="s">
        <v>171</v>
      </c>
      <c r="R86" s="398" t="s">
        <v>538</v>
      </c>
      <c r="S86" s="407" t="s">
        <v>539</v>
      </c>
      <c r="T86" s="15" t="s">
        <v>88</v>
      </c>
      <c r="U86" s="10" t="str">
        <f>VLOOKUP('IMPO TERR'!T86,'Matriz datos'!$J$2:$K$10,2,0)</f>
        <v>AV. AMERICO VESPUCIO 0350, QUILICURA</v>
      </c>
      <c r="V86" s="118" t="s">
        <v>540</v>
      </c>
      <c r="W86" s="106" t="s">
        <v>541</v>
      </c>
      <c r="X86" s="398"/>
      <c r="Y86" s="408"/>
      <c r="Z86" s="77">
        <v>46094</v>
      </c>
      <c r="AA86" s="307">
        <v>4090180358</v>
      </c>
      <c r="AC86" s="412"/>
      <c r="AD86" s="398"/>
      <c r="AE86" s="398"/>
      <c r="AF86" s="403">
        <v>14980000</v>
      </c>
      <c r="AG86" s="11"/>
      <c r="AH86" s="37"/>
    </row>
    <row r="87" spans="1:34" ht="24.75" customHeight="1">
      <c r="A87" s="235" t="s">
        <v>542</v>
      </c>
      <c r="B87" s="235">
        <v>180359</v>
      </c>
      <c r="C87" s="393" t="s">
        <v>392</v>
      </c>
      <c r="D87" s="2" t="s">
        <v>52</v>
      </c>
      <c r="E87" s="28">
        <v>46091</v>
      </c>
      <c r="F87" s="15"/>
      <c r="G87" s="15"/>
      <c r="H87" s="2"/>
      <c r="I87" s="2"/>
      <c r="J87" s="2"/>
      <c r="K87" s="2" t="s">
        <v>40</v>
      </c>
      <c r="L87" s="2" t="s">
        <v>41</v>
      </c>
      <c r="M87" s="4" t="s">
        <v>42</v>
      </c>
      <c r="N87" s="2" t="s">
        <v>43</v>
      </c>
      <c r="O87" s="10" t="s">
        <v>543</v>
      </c>
      <c r="P87" s="238">
        <v>41827</v>
      </c>
      <c r="Q87" s="285" t="s">
        <v>45</v>
      </c>
      <c r="R87" s="18" t="s">
        <v>544</v>
      </c>
      <c r="S87" s="2" t="s">
        <v>545</v>
      </c>
      <c r="T87" s="15" t="s">
        <v>68</v>
      </c>
      <c r="U87" s="10" t="str">
        <f>VLOOKUP('IMPO TERR'!T87,'Matriz datos'!$J$2:$K$10,2,0)</f>
        <v>AV. PDTE. EDUARDO FREI 8301, QUILICURA</v>
      </c>
      <c r="V87" s="398" t="s">
        <v>546</v>
      </c>
      <c r="W87" s="97" t="s">
        <v>547</v>
      </c>
      <c r="X87" s="408">
        <v>46097</v>
      </c>
      <c r="Y87" s="408">
        <v>46098</v>
      </c>
      <c r="Z87" s="28">
        <v>46093</v>
      </c>
      <c r="AA87" s="310">
        <v>4090180359</v>
      </c>
      <c r="AB87" s="29">
        <v>46097</v>
      </c>
      <c r="AC87" s="406" t="s">
        <v>399</v>
      </c>
      <c r="AD87" s="398" t="s">
        <v>52</v>
      </c>
      <c r="AE87" s="398"/>
      <c r="AF87" s="403">
        <v>25420000</v>
      </c>
      <c r="AG87" s="11"/>
      <c r="AH87" s="37"/>
    </row>
    <row r="88" spans="1:34" ht="24.75" customHeight="1">
      <c r="A88" s="235" t="s">
        <v>548</v>
      </c>
      <c r="B88" s="235">
        <v>180360</v>
      </c>
      <c r="C88" s="393" t="s">
        <v>392</v>
      </c>
      <c r="D88" s="2" t="s">
        <v>52</v>
      </c>
      <c r="E88" s="28">
        <v>46091</v>
      </c>
      <c r="F88" s="15"/>
      <c r="G88" s="15"/>
      <c r="H88" s="2"/>
      <c r="I88" s="2"/>
      <c r="J88" s="2"/>
      <c r="K88" s="2" t="s">
        <v>40</v>
      </c>
      <c r="L88" s="2" t="s">
        <v>55</v>
      </c>
      <c r="M88" s="4" t="s">
        <v>42</v>
      </c>
      <c r="N88" s="2" t="s">
        <v>43</v>
      </c>
      <c r="O88" s="430" t="s">
        <v>549</v>
      </c>
      <c r="P88" s="238">
        <v>41146</v>
      </c>
      <c r="Q88" s="285" t="s">
        <v>57</v>
      </c>
      <c r="R88" s="18" t="s">
        <v>550</v>
      </c>
      <c r="S88" s="2" t="s">
        <v>551</v>
      </c>
      <c r="T88" s="15" t="s">
        <v>306</v>
      </c>
      <c r="U88" s="10" t="str">
        <f>VLOOKUP('IMPO TERR'!T88,'Matriz datos'!$J$2:$K$10,2,0)</f>
        <v>CORDILLERA 451, QUILICURA</v>
      </c>
      <c r="V88" s="438" t="s">
        <v>552</v>
      </c>
      <c r="W88" s="97" t="s">
        <v>553</v>
      </c>
      <c r="X88" s="408">
        <v>46096</v>
      </c>
      <c r="Y88" s="408">
        <v>46097</v>
      </c>
      <c r="Z88" s="250">
        <v>46093</v>
      </c>
      <c r="AA88" s="311">
        <v>4090180360</v>
      </c>
      <c r="AB88" s="29">
        <v>46097</v>
      </c>
      <c r="AC88" s="414">
        <v>46097</v>
      </c>
      <c r="AD88" s="398" t="s">
        <v>52</v>
      </c>
      <c r="AE88" s="398">
        <v>141622</v>
      </c>
      <c r="AF88" s="403">
        <v>28710000</v>
      </c>
      <c r="AG88" s="11"/>
      <c r="AH88" s="37"/>
    </row>
    <row r="89" spans="1:34" ht="24.75" customHeight="1">
      <c r="A89" s="235" t="s">
        <v>554</v>
      </c>
      <c r="B89" s="235">
        <v>180361</v>
      </c>
      <c r="C89" s="393" t="s">
        <v>392</v>
      </c>
      <c r="D89" s="5" t="s">
        <v>115</v>
      </c>
      <c r="E89" s="28">
        <v>46091</v>
      </c>
      <c r="F89" s="15"/>
      <c r="G89" s="15"/>
      <c r="H89" s="2"/>
      <c r="I89" s="2"/>
      <c r="J89" s="2"/>
      <c r="K89" s="2" t="s">
        <v>40</v>
      </c>
      <c r="L89" s="2" t="s">
        <v>55</v>
      </c>
      <c r="M89" s="4" t="s">
        <v>42</v>
      </c>
      <c r="N89" s="2" t="s">
        <v>43</v>
      </c>
      <c r="O89" s="430" t="s">
        <v>555</v>
      </c>
      <c r="P89" s="238">
        <v>40911</v>
      </c>
      <c r="Q89" s="285" t="s">
        <v>556</v>
      </c>
      <c r="R89" s="398" t="s">
        <v>557</v>
      </c>
      <c r="S89" s="407" t="s">
        <v>558</v>
      </c>
      <c r="T89" s="15" t="s">
        <v>148</v>
      </c>
      <c r="U89" s="10" t="str">
        <f>VLOOKUP('IMPO TERR'!T89,'Matriz datos'!$J$2:$K$10,2,0)</f>
        <v>AV. EL PARRON 345, LA CISTERNA</v>
      </c>
      <c r="V89" s="438" t="s">
        <v>559</v>
      </c>
      <c r="W89" s="97"/>
      <c r="X89" s="408">
        <v>46096</v>
      </c>
      <c r="Y89" s="408">
        <v>46097</v>
      </c>
      <c r="Z89" s="77">
        <v>46084</v>
      </c>
      <c r="AA89" s="311">
        <v>4090180361</v>
      </c>
      <c r="AB89" s="29">
        <v>46097</v>
      </c>
      <c r="AC89" s="414">
        <v>46098</v>
      </c>
      <c r="AD89" s="398" t="s">
        <v>52</v>
      </c>
      <c r="AE89" s="398">
        <v>141639</v>
      </c>
      <c r="AF89" s="403">
        <v>28790000</v>
      </c>
      <c r="AG89" s="11"/>
      <c r="AH89" s="37"/>
    </row>
    <row r="90" spans="1:34" ht="24.75" customHeight="1">
      <c r="A90" s="235" t="s">
        <v>560</v>
      </c>
      <c r="B90" s="235">
        <v>180365</v>
      </c>
      <c r="C90" s="393" t="s">
        <v>35</v>
      </c>
      <c r="D90" s="2" t="s">
        <v>52</v>
      </c>
      <c r="E90" s="28">
        <v>46091</v>
      </c>
      <c r="F90" s="15"/>
      <c r="G90" s="15"/>
      <c r="H90" s="2"/>
      <c r="I90" s="2"/>
      <c r="J90" s="2"/>
      <c r="K90" s="2" t="s">
        <v>40</v>
      </c>
      <c r="L90" s="2" t="s">
        <v>41</v>
      </c>
      <c r="M90" s="2" t="s">
        <v>42</v>
      </c>
      <c r="N90" s="2" t="s">
        <v>43</v>
      </c>
      <c r="O90" s="430" t="s">
        <v>561</v>
      </c>
      <c r="P90" s="238"/>
      <c r="Q90" s="285" t="s">
        <v>45</v>
      </c>
      <c r="R90" s="398" t="s">
        <v>562</v>
      </c>
      <c r="S90" s="407" t="s">
        <v>563</v>
      </c>
      <c r="T90" s="15" t="s">
        <v>68</v>
      </c>
      <c r="U90" s="10" t="str">
        <f>VLOOKUP('IMPO TERR'!T90,'Matriz datos'!$J$2:$K$10,2,0)</f>
        <v>AV. PDTE. EDUARDO FREI 8301, QUILICURA</v>
      </c>
      <c r="V90" s="40" t="s">
        <v>564</v>
      </c>
      <c r="W90" s="121" t="s">
        <v>565</v>
      </c>
      <c r="X90" s="398"/>
      <c r="Y90" s="408"/>
      <c r="Z90" s="28">
        <v>46093</v>
      </c>
      <c r="AA90" s="307">
        <v>4090180365</v>
      </c>
      <c r="AC90" s="427"/>
      <c r="AD90" s="398"/>
      <c r="AE90" s="398"/>
      <c r="AF90" s="403">
        <v>24380000</v>
      </c>
      <c r="AG90" s="11"/>
      <c r="AH90" s="37"/>
    </row>
    <row r="91" spans="1:34" ht="24.75" customHeight="1">
      <c r="A91" s="235" t="s">
        <v>566</v>
      </c>
      <c r="B91" s="235">
        <v>180366</v>
      </c>
      <c r="C91" s="393" t="s">
        <v>392</v>
      </c>
      <c r="D91" s="5" t="s">
        <v>36</v>
      </c>
      <c r="E91" s="28">
        <v>46091</v>
      </c>
      <c r="F91" s="15"/>
      <c r="G91" s="15"/>
      <c r="H91" s="2"/>
      <c r="I91" s="2"/>
      <c r="J91" s="2"/>
      <c r="K91" s="2" t="s">
        <v>40</v>
      </c>
      <c r="L91" s="2" t="s">
        <v>55</v>
      </c>
      <c r="M91" s="2" t="s">
        <v>42</v>
      </c>
      <c r="N91" s="2" t="s">
        <v>43</v>
      </c>
      <c r="O91" s="430" t="s">
        <v>567</v>
      </c>
      <c r="P91" s="238">
        <v>40910</v>
      </c>
      <c r="Q91" s="285" t="s">
        <v>556</v>
      </c>
      <c r="R91" s="398" t="s">
        <v>568</v>
      </c>
      <c r="S91" s="407" t="s">
        <v>569</v>
      </c>
      <c r="T91" s="15" t="s">
        <v>299</v>
      </c>
      <c r="U91" s="10" t="str">
        <f>VLOOKUP('IMPO TERR'!T91,'Matriz datos'!$J$2:$K$10,2,0)</f>
        <v>CAMINO LO AGUIRRE SUR 537, PUDAHUEL </v>
      </c>
      <c r="V91" s="111" t="s">
        <v>570</v>
      </c>
      <c r="W91" s="107" t="s">
        <v>571</v>
      </c>
      <c r="X91" s="408">
        <v>46096</v>
      </c>
      <c r="Y91" s="408">
        <v>46097</v>
      </c>
      <c r="Z91" s="79">
        <v>46093</v>
      </c>
      <c r="AA91" s="307">
        <v>4090180366</v>
      </c>
      <c r="AB91" s="329">
        <v>46097</v>
      </c>
      <c r="AC91" s="59">
        <v>46098</v>
      </c>
      <c r="AD91" s="406" t="s">
        <v>52</v>
      </c>
      <c r="AE91" s="398"/>
      <c r="AF91" s="403">
        <v>34270000</v>
      </c>
      <c r="AG91" s="11"/>
      <c r="AH91" s="37"/>
    </row>
    <row r="92" spans="1:34" ht="24.75" customHeight="1">
      <c r="A92" s="235" t="s">
        <v>572</v>
      </c>
      <c r="B92" s="235">
        <v>180369</v>
      </c>
      <c r="C92" s="393"/>
      <c r="D92" s="2" t="s">
        <v>52</v>
      </c>
      <c r="E92" s="28">
        <v>46091</v>
      </c>
      <c r="F92" s="15"/>
      <c r="G92" s="15"/>
      <c r="H92" s="2"/>
      <c r="I92" s="2"/>
      <c r="J92" s="2"/>
      <c r="K92" s="2" t="s">
        <v>54</v>
      </c>
      <c r="L92" s="2" t="s">
        <v>41</v>
      </c>
      <c r="M92" s="2" t="s">
        <v>42</v>
      </c>
      <c r="N92" s="2" t="s">
        <v>43</v>
      </c>
      <c r="O92" s="430" t="s">
        <v>567</v>
      </c>
      <c r="P92" s="238"/>
      <c r="Q92" s="285" t="s">
        <v>171</v>
      </c>
      <c r="R92" s="398" t="s">
        <v>573</v>
      </c>
      <c r="S92" s="407" t="s">
        <v>574</v>
      </c>
      <c r="T92" s="15" t="s">
        <v>88</v>
      </c>
      <c r="U92" s="10" t="str">
        <f>VLOOKUP('IMPO TERR'!T92,'Matriz datos'!$J$2:$K$10,2,0)</f>
        <v>AV. AMERICO VESPUCIO 0350, QUILICURA</v>
      </c>
      <c r="V92" s="111" t="s">
        <v>575</v>
      </c>
      <c r="W92" s="113" t="s">
        <v>576</v>
      </c>
      <c r="X92" s="398"/>
      <c r="Y92" s="408"/>
      <c r="Z92" s="28">
        <v>46093</v>
      </c>
      <c r="AA92" s="307">
        <v>4090180369</v>
      </c>
      <c r="AC92" s="412"/>
      <c r="AD92" s="398"/>
      <c r="AE92" s="398"/>
      <c r="AF92" s="403">
        <v>14830000</v>
      </c>
      <c r="AG92" s="11"/>
      <c r="AH92" s="37"/>
    </row>
    <row r="93" spans="1:34" ht="24.75" customHeight="1">
      <c r="A93" s="235" t="s">
        <v>577</v>
      </c>
      <c r="B93" s="235">
        <v>180370</v>
      </c>
      <c r="C93" s="393"/>
      <c r="D93" s="2" t="s">
        <v>52</v>
      </c>
      <c r="E93" s="28">
        <v>46091</v>
      </c>
      <c r="F93" s="15"/>
      <c r="G93" s="15"/>
      <c r="H93" s="2"/>
      <c r="I93" s="2"/>
      <c r="J93" s="2"/>
      <c r="K93" s="2" t="s">
        <v>40</v>
      </c>
      <c r="L93" s="2" t="s">
        <v>41</v>
      </c>
      <c r="M93" s="2" t="s">
        <v>42</v>
      </c>
      <c r="N93" s="2" t="s">
        <v>43</v>
      </c>
      <c r="O93" s="430" t="s">
        <v>578</v>
      </c>
      <c r="P93" s="238"/>
      <c r="Q93" s="285" t="s">
        <v>45</v>
      </c>
      <c r="R93" s="398" t="s">
        <v>579</v>
      </c>
      <c r="S93" s="407" t="s">
        <v>580</v>
      </c>
      <c r="T93" s="15" t="s">
        <v>68</v>
      </c>
      <c r="U93" s="10" t="str">
        <f>VLOOKUP('IMPO TERR'!T93,'Matriz datos'!$J$2:$K$10,2,0)</f>
        <v>AV. PDTE. EDUARDO FREI 8301, QUILICURA</v>
      </c>
      <c r="V93" s="118" t="s">
        <v>581</v>
      </c>
      <c r="W93" s="106" t="s">
        <v>582</v>
      </c>
      <c r="X93" s="398"/>
      <c r="Y93" s="408"/>
      <c r="Z93" s="28">
        <v>46094</v>
      </c>
      <c r="AA93" s="307">
        <v>4090180370</v>
      </c>
      <c r="AC93" s="406"/>
      <c r="AD93" s="398"/>
      <c r="AE93" s="398"/>
      <c r="AF93" s="403">
        <v>24220000</v>
      </c>
      <c r="AG93" s="11"/>
      <c r="AH93" s="37"/>
    </row>
    <row r="94" spans="1:34" ht="24.75" customHeight="1">
      <c r="A94" s="235" t="s">
        <v>583</v>
      </c>
      <c r="B94" s="235">
        <v>180385</v>
      </c>
      <c r="C94" s="393"/>
      <c r="D94" s="2" t="s">
        <v>52</v>
      </c>
      <c r="E94" s="28">
        <v>46092</v>
      </c>
      <c r="F94" s="15"/>
      <c r="G94" s="15"/>
      <c r="H94" s="2"/>
      <c r="I94" s="2"/>
      <c r="J94" s="2"/>
      <c r="K94" s="2" t="s">
        <v>40</v>
      </c>
      <c r="L94" s="2" t="s">
        <v>41</v>
      </c>
      <c r="M94" s="2" t="s">
        <v>42</v>
      </c>
      <c r="N94" s="2" t="s">
        <v>43</v>
      </c>
      <c r="O94" s="430" t="s">
        <v>584</v>
      </c>
      <c r="P94" s="238"/>
      <c r="Q94" s="285" t="s">
        <v>45</v>
      </c>
      <c r="R94" s="398" t="s">
        <v>585</v>
      </c>
      <c r="S94" s="439" t="s">
        <v>586</v>
      </c>
      <c r="T94" s="15" t="s">
        <v>68</v>
      </c>
      <c r="U94" s="10" t="str">
        <f>VLOOKUP('IMPO TERR'!T94,'Matriz datos'!$J$2:$K$10,2,0)</f>
        <v>AV. PDTE. EDUARDO FREI 8301, QUILICURA</v>
      </c>
      <c r="V94" s="398" t="s">
        <v>587</v>
      </c>
      <c r="W94" s="97" t="s">
        <v>588</v>
      </c>
      <c r="X94" s="398"/>
      <c r="Y94" s="408"/>
      <c r="Z94" s="28">
        <v>46093</v>
      </c>
      <c r="AA94" s="307">
        <v>4090180385</v>
      </c>
      <c r="AC94" s="406"/>
      <c r="AD94" s="398"/>
      <c r="AE94" s="398"/>
      <c r="AF94" s="403">
        <v>24270000</v>
      </c>
      <c r="AG94" s="11"/>
      <c r="AH94" s="37"/>
    </row>
    <row r="95" spans="1:34" ht="24.75" customHeight="1">
      <c r="A95" s="235" t="s">
        <v>589</v>
      </c>
      <c r="B95" s="235">
        <v>180400</v>
      </c>
      <c r="C95" s="393" t="s">
        <v>392</v>
      </c>
      <c r="D95" s="2" t="s">
        <v>52</v>
      </c>
      <c r="E95" s="28">
        <v>46092</v>
      </c>
      <c r="F95" s="15"/>
      <c r="G95" s="15"/>
      <c r="H95" s="2"/>
      <c r="I95" s="2"/>
      <c r="J95" s="2"/>
      <c r="K95" s="2" t="s">
        <v>54</v>
      </c>
      <c r="L95" s="2" t="s">
        <v>41</v>
      </c>
      <c r="M95" s="2" t="s">
        <v>42</v>
      </c>
      <c r="N95" s="2" t="s">
        <v>43</v>
      </c>
      <c r="O95" s="430" t="s">
        <v>590</v>
      </c>
      <c r="P95" s="238">
        <v>42173</v>
      </c>
      <c r="Q95" s="285" t="s">
        <v>45</v>
      </c>
      <c r="R95" s="398" t="s">
        <v>591</v>
      </c>
      <c r="S95" s="407" t="s">
        <v>592</v>
      </c>
      <c r="T95" s="15" t="s">
        <v>68</v>
      </c>
      <c r="U95" s="10" t="str">
        <f>VLOOKUP('IMPO TERR'!T95,'Matriz datos'!$J$2:$K$10,2,0)</f>
        <v>AV. PDTE. EDUARDO FREI 8301, QUILICURA</v>
      </c>
      <c r="V95" s="122" t="s">
        <v>593</v>
      </c>
      <c r="W95" s="97">
        <v>57217642</v>
      </c>
      <c r="X95" s="408">
        <v>46097</v>
      </c>
      <c r="Y95" s="408">
        <v>46098</v>
      </c>
      <c r="Z95" s="28">
        <v>46094</v>
      </c>
      <c r="AA95" s="307">
        <v>4090180400</v>
      </c>
      <c r="AC95" s="406" t="s">
        <v>399</v>
      </c>
      <c r="AD95" s="398" t="s">
        <v>52</v>
      </c>
      <c r="AE95" s="398"/>
      <c r="AF95" s="403">
        <v>21200000</v>
      </c>
      <c r="AG95" s="11"/>
      <c r="AH95" s="37"/>
    </row>
    <row r="96" spans="1:34" ht="24.75" customHeight="1">
      <c r="A96" s="235" t="s">
        <v>594</v>
      </c>
      <c r="B96" s="235">
        <v>180401</v>
      </c>
      <c r="C96" s="393" t="s">
        <v>595</v>
      </c>
      <c r="D96" s="2" t="s">
        <v>52</v>
      </c>
      <c r="E96" s="28">
        <v>46092</v>
      </c>
      <c r="F96" s="15"/>
      <c r="G96" s="15"/>
      <c r="H96" s="2"/>
      <c r="I96" s="2"/>
      <c r="J96" s="2"/>
      <c r="K96" s="2" t="s">
        <v>54</v>
      </c>
      <c r="L96" s="2" t="s">
        <v>41</v>
      </c>
      <c r="M96" s="2" t="s">
        <v>42</v>
      </c>
      <c r="N96" s="2" t="s">
        <v>43</v>
      </c>
      <c r="O96" s="430" t="s">
        <v>596</v>
      </c>
      <c r="P96" s="238">
        <v>42786</v>
      </c>
      <c r="Q96" s="288" t="s">
        <v>178</v>
      </c>
      <c r="R96" s="398" t="s">
        <v>597</v>
      </c>
      <c r="S96" s="407" t="s">
        <v>598</v>
      </c>
      <c r="T96" s="15" t="s">
        <v>68</v>
      </c>
      <c r="U96" s="10" t="str">
        <f>VLOOKUP('IMPO TERR'!T96,'Matriz datos'!$J$2:$K$10,2,0)</f>
        <v>AV. PDTE. EDUARDO FREI 8301, QUILICURA</v>
      </c>
      <c r="V96" s="111" t="s">
        <v>599</v>
      </c>
      <c r="W96" s="97" t="s">
        <v>600</v>
      </c>
      <c r="X96" s="408">
        <v>46098</v>
      </c>
      <c r="Y96" s="408" t="s">
        <v>52</v>
      </c>
      <c r="Z96" s="28">
        <v>46094</v>
      </c>
      <c r="AA96" s="307">
        <v>4090180401</v>
      </c>
      <c r="AC96" s="406" t="s">
        <v>52</v>
      </c>
      <c r="AD96" s="398" t="s">
        <v>52</v>
      </c>
      <c r="AE96" s="398"/>
      <c r="AF96" s="403">
        <v>21200000</v>
      </c>
      <c r="AG96" s="11"/>
      <c r="AH96" s="37"/>
    </row>
    <row r="97" spans="1:34" ht="24.75" customHeight="1">
      <c r="A97" s="235" t="s">
        <v>601</v>
      </c>
      <c r="B97" s="235">
        <v>180402</v>
      </c>
      <c r="C97" s="393" t="s">
        <v>35</v>
      </c>
      <c r="D97" s="2" t="s">
        <v>52</v>
      </c>
      <c r="E97" s="28">
        <v>46092</v>
      </c>
      <c r="F97" s="15"/>
      <c r="G97" s="15"/>
      <c r="H97" s="2"/>
      <c r="I97" s="2"/>
      <c r="J97" s="2"/>
      <c r="K97" s="2" t="s">
        <v>40</v>
      </c>
      <c r="L97" s="2" t="s">
        <v>41</v>
      </c>
      <c r="M97" s="2" t="s">
        <v>42</v>
      </c>
      <c r="N97" s="2" t="s">
        <v>43</v>
      </c>
      <c r="O97" s="430" t="s">
        <v>602</v>
      </c>
      <c r="P97" s="263"/>
      <c r="Q97" s="287"/>
      <c r="R97" s="398" t="s">
        <v>603</v>
      </c>
      <c r="S97" s="407" t="s">
        <v>604</v>
      </c>
      <c r="T97" s="15" t="s">
        <v>68</v>
      </c>
      <c r="U97" s="10" t="str">
        <f>VLOOKUP('IMPO TERR'!T97,'Matriz datos'!$J$2:$K$10,2,0)</f>
        <v>AV. PDTE. EDUARDO FREI 8301, QUILICURA</v>
      </c>
      <c r="V97" s="123" t="s">
        <v>605</v>
      </c>
      <c r="W97" s="97" t="s">
        <v>606</v>
      </c>
      <c r="X97" s="398"/>
      <c r="Y97" s="408"/>
      <c r="Z97" s="28">
        <v>46095</v>
      </c>
      <c r="AA97" s="327">
        <v>4090180402</v>
      </c>
      <c r="AC97" s="406"/>
      <c r="AD97" s="398"/>
      <c r="AE97" s="398"/>
      <c r="AF97" s="403">
        <v>25760000</v>
      </c>
      <c r="AG97" s="11"/>
      <c r="AH97" s="37"/>
    </row>
    <row r="98" spans="1:34" ht="24.75" customHeight="1">
      <c r="A98" s="235" t="s">
        <v>607</v>
      </c>
      <c r="B98" s="235">
        <v>180403</v>
      </c>
      <c r="C98" s="393" t="s">
        <v>392</v>
      </c>
      <c r="D98" s="2" t="s">
        <v>52</v>
      </c>
      <c r="E98" s="28">
        <v>46092</v>
      </c>
      <c r="F98" s="15"/>
      <c r="G98" s="262" t="s">
        <v>608</v>
      </c>
      <c r="H98" s="2"/>
      <c r="I98" s="2"/>
      <c r="J98" s="2"/>
      <c r="K98" s="2" t="s">
        <v>40</v>
      </c>
      <c r="L98" s="2" t="s">
        <v>196</v>
      </c>
      <c r="M98" s="2" t="s">
        <v>42</v>
      </c>
      <c r="N98" s="2" t="s">
        <v>43</v>
      </c>
      <c r="O98" s="430" t="s">
        <v>609</v>
      </c>
      <c r="P98" s="348" t="s">
        <v>610</v>
      </c>
      <c r="Q98" s="287"/>
      <c r="R98" s="398" t="s">
        <v>611</v>
      </c>
      <c r="S98" s="407" t="s">
        <v>612</v>
      </c>
      <c r="T98" s="15" t="s">
        <v>485</v>
      </c>
      <c r="U98" s="10" t="e">
        <f>VLOOKUP('IMPO TERR'!T98,'Matriz datos'!$J$2:$K$10,2,0)</f>
        <v>#N/A</v>
      </c>
      <c r="V98" s="111" t="s">
        <v>613</v>
      </c>
      <c r="W98" s="440" t="s">
        <v>614</v>
      </c>
      <c r="X98" s="411">
        <v>46097</v>
      </c>
      <c r="Y98" s="408">
        <v>46098</v>
      </c>
      <c r="Z98" s="28">
        <v>46097</v>
      </c>
      <c r="AA98" s="307">
        <v>4090180403</v>
      </c>
      <c r="AC98" s="406" t="s">
        <v>52</v>
      </c>
      <c r="AD98" s="398" t="s">
        <v>52</v>
      </c>
      <c r="AE98" s="398"/>
      <c r="AF98" s="403">
        <v>35880000</v>
      </c>
      <c r="AG98" s="11"/>
      <c r="AH98" s="37"/>
    </row>
    <row r="99" spans="1:34" ht="24.75" customHeight="1">
      <c r="A99" s="235" t="s">
        <v>615</v>
      </c>
      <c r="B99" s="235">
        <v>180405</v>
      </c>
      <c r="C99" s="393" t="s">
        <v>595</v>
      </c>
      <c r="D99" s="2" t="s">
        <v>52</v>
      </c>
      <c r="E99" s="28">
        <v>46092</v>
      </c>
      <c r="F99" s="15"/>
      <c r="G99" s="15"/>
      <c r="H99" s="2"/>
      <c r="I99" s="2"/>
      <c r="J99" s="2"/>
      <c r="K99" s="2" t="s">
        <v>40</v>
      </c>
      <c r="L99" s="2" t="s">
        <v>41</v>
      </c>
      <c r="M99" s="2" t="s">
        <v>42</v>
      </c>
      <c r="N99" s="2" t="s">
        <v>43</v>
      </c>
      <c r="O99" s="430" t="s">
        <v>616</v>
      </c>
      <c r="P99" s="263">
        <v>42857</v>
      </c>
      <c r="Q99" s="263" t="s">
        <v>45</v>
      </c>
      <c r="R99" s="398" t="s">
        <v>617</v>
      </c>
      <c r="S99" s="407" t="s">
        <v>618</v>
      </c>
      <c r="T99" s="15" t="s">
        <v>68</v>
      </c>
      <c r="U99" s="10" t="str">
        <f>VLOOKUP('IMPO TERR'!T99,'Matriz datos'!$J$2:$K$10,2,0)</f>
        <v>AV. PDTE. EDUARDO FREI 8301, QUILICURA</v>
      </c>
      <c r="V99" s="102" t="s">
        <v>619</v>
      </c>
      <c r="W99" s="97" t="s">
        <v>620</v>
      </c>
      <c r="X99" s="59">
        <v>46098</v>
      </c>
      <c r="Y99" s="414" t="s">
        <v>52</v>
      </c>
      <c r="Z99" s="79">
        <v>46094</v>
      </c>
      <c r="AA99" s="307">
        <v>4090180405</v>
      </c>
      <c r="AC99" s="406" t="s">
        <v>52</v>
      </c>
      <c r="AD99" s="398" t="s">
        <v>52</v>
      </c>
      <c r="AE99" s="398"/>
      <c r="AF99" s="403">
        <v>25090000</v>
      </c>
      <c r="AG99" s="11"/>
      <c r="AH99" s="37"/>
    </row>
    <row r="100" spans="1:34" ht="24.75" customHeight="1">
      <c r="A100" s="235" t="s">
        <v>621</v>
      </c>
      <c r="B100" s="235">
        <v>180407</v>
      </c>
      <c r="C100" s="393" t="s">
        <v>35</v>
      </c>
      <c r="D100" s="5" t="s">
        <v>36</v>
      </c>
      <c r="E100" s="28">
        <v>46092</v>
      </c>
      <c r="F100" s="15"/>
      <c r="G100" s="15"/>
      <c r="H100" s="2"/>
      <c r="I100" s="2"/>
      <c r="J100" s="47"/>
      <c r="K100" s="47" t="s">
        <v>54</v>
      </c>
      <c r="L100" s="47" t="s">
        <v>41</v>
      </c>
      <c r="M100" s="47" t="s">
        <v>42</v>
      </c>
      <c r="N100" s="47" t="s">
        <v>43</v>
      </c>
      <c r="O100" s="429" t="s">
        <v>622</v>
      </c>
      <c r="P100" s="238">
        <v>41498</v>
      </c>
      <c r="Q100" s="303" t="s">
        <v>623</v>
      </c>
      <c r="R100" s="398" t="s">
        <v>624</v>
      </c>
      <c r="S100" s="407" t="s">
        <v>625</v>
      </c>
      <c r="T100" s="15" t="s">
        <v>60</v>
      </c>
      <c r="U100" s="10" t="str">
        <f>VLOOKUP('IMPO TERR'!T100,'Matriz datos'!$J$2:$K$10,2,0)</f>
        <v>CAMINO SANTA MARTA 2101, MAIPU</v>
      </c>
      <c r="V100" s="398" t="s">
        <v>626</v>
      </c>
      <c r="W100" s="113" t="s">
        <v>627</v>
      </c>
      <c r="X100" s="420">
        <v>46097</v>
      </c>
      <c r="Y100" s="408">
        <v>46097</v>
      </c>
      <c r="Z100" s="28">
        <v>46093</v>
      </c>
      <c r="AA100" s="307">
        <v>4090180407</v>
      </c>
      <c r="AB100" s="29">
        <v>46097</v>
      </c>
      <c r="AC100" s="414">
        <v>46097</v>
      </c>
      <c r="AD100" s="408">
        <v>46098</v>
      </c>
      <c r="AE100" s="398">
        <v>141621</v>
      </c>
      <c r="AF100" s="403">
        <v>16090000</v>
      </c>
      <c r="AG100" s="11"/>
      <c r="AH100" s="37"/>
    </row>
    <row r="101" spans="1:34" ht="24.75" customHeight="1">
      <c r="A101" s="235" t="s">
        <v>628</v>
      </c>
      <c r="B101" s="235">
        <v>180408</v>
      </c>
      <c r="C101" s="393" t="s">
        <v>392</v>
      </c>
      <c r="D101" s="5" t="s">
        <v>36</v>
      </c>
      <c r="E101" s="28">
        <v>46092</v>
      </c>
      <c r="F101" s="15"/>
      <c r="G101" s="15"/>
      <c r="H101" s="2"/>
      <c r="I101" s="2"/>
      <c r="J101" s="2"/>
      <c r="K101" s="2" t="s">
        <v>40</v>
      </c>
      <c r="L101" s="2" t="s">
        <v>55</v>
      </c>
      <c r="M101" s="2" t="s">
        <v>42</v>
      </c>
      <c r="N101" s="2" t="s">
        <v>43</v>
      </c>
      <c r="O101" s="430" t="s">
        <v>629</v>
      </c>
      <c r="P101" s="238">
        <v>42034</v>
      </c>
      <c r="Q101" s="285"/>
      <c r="R101" s="398" t="s">
        <v>630</v>
      </c>
      <c r="S101" s="407" t="s">
        <v>631</v>
      </c>
      <c r="T101" s="15" t="s">
        <v>148</v>
      </c>
      <c r="U101" s="10" t="str">
        <f>VLOOKUP('IMPO TERR'!T101,'Matriz datos'!$J$2:$K$10,2,0)</f>
        <v>AV. EL PARRON 345, LA CISTERNA</v>
      </c>
      <c r="V101" s="438" t="s">
        <v>632</v>
      </c>
      <c r="W101" s="97" t="s">
        <v>633</v>
      </c>
      <c r="X101" s="408">
        <v>46097</v>
      </c>
      <c r="Y101" s="408">
        <v>46098</v>
      </c>
      <c r="Z101" s="28">
        <v>46095</v>
      </c>
      <c r="AA101" s="327">
        <v>4090180408</v>
      </c>
      <c r="AC101" s="427" t="s">
        <v>399</v>
      </c>
      <c r="AD101" s="398" t="s">
        <v>52</v>
      </c>
      <c r="AE101" s="398"/>
      <c r="AF101" s="403">
        <v>28740000</v>
      </c>
      <c r="AG101" s="11"/>
      <c r="AH101" s="37"/>
    </row>
    <row r="102" spans="1:34" ht="24.75" customHeight="1">
      <c r="A102" s="235" t="s">
        <v>634</v>
      </c>
      <c r="B102" s="235">
        <v>180409</v>
      </c>
      <c r="C102" s="393" t="s">
        <v>392</v>
      </c>
      <c r="D102" s="5" t="s">
        <v>36</v>
      </c>
      <c r="E102" s="28">
        <v>46092</v>
      </c>
      <c r="F102" s="15"/>
      <c r="G102" s="15"/>
      <c r="H102" s="2"/>
      <c r="I102" s="2"/>
      <c r="J102" s="2"/>
      <c r="K102" s="2" t="s">
        <v>40</v>
      </c>
      <c r="L102" s="2" t="s">
        <v>55</v>
      </c>
      <c r="M102" s="2" t="s">
        <v>42</v>
      </c>
      <c r="N102" s="2" t="s">
        <v>43</v>
      </c>
      <c r="O102" s="429" t="s">
        <v>635</v>
      </c>
      <c r="P102" s="238">
        <v>40915</v>
      </c>
      <c r="Q102" s="288" t="s">
        <v>556</v>
      </c>
      <c r="R102" s="398" t="s">
        <v>636</v>
      </c>
      <c r="S102" s="407" t="s">
        <v>637</v>
      </c>
      <c r="T102" s="15" t="s">
        <v>148</v>
      </c>
      <c r="U102" s="10" t="str">
        <f>VLOOKUP('IMPO TERR'!T102,'Matriz datos'!$J$2:$K$10,2,0)</f>
        <v>AV. EL PARRON 345, LA CISTERNA</v>
      </c>
      <c r="V102" s="438" t="s">
        <v>638</v>
      </c>
      <c r="W102" s="107" t="s">
        <v>639</v>
      </c>
      <c r="X102" s="408">
        <v>46096</v>
      </c>
      <c r="Y102" s="408">
        <v>46097</v>
      </c>
      <c r="Z102" s="250">
        <v>46094</v>
      </c>
      <c r="AA102" s="312">
        <v>4090180409</v>
      </c>
      <c r="AB102" s="329">
        <v>46097</v>
      </c>
      <c r="AC102" s="59">
        <v>46098</v>
      </c>
      <c r="AD102" s="406" t="s">
        <v>52</v>
      </c>
      <c r="AE102" s="398"/>
      <c r="AF102" s="403">
        <v>25360000</v>
      </c>
      <c r="AG102" s="11"/>
      <c r="AH102" s="37"/>
    </row>
    <row r="103" spans="1:34" ht="24.75" customHeight="1">
      <c r="A103" s="235" t="s">
        <v>640</v>
      </c>
      <c r="B103" s="235">
        <v>180410</v>
      </c>
      <c r="C103" s="393" t="s">
        <v>595</v>
      </c>
      <c r="D103" s="2" t="s">
        <v>52</v>
      </c>
      <c r="E103" s="28">
        <v>46092</v>
      </c>
      <c r="F103" s="15"/>
      <c r="G103" s="15"/>
      <c r="H103" s="2"/>
      <c r="I103" s="2"/>
      <c r="J103" s="2"/>
      <c r="K103" s="2" t="s">
        <v>40</v>
      </c>
      <c r="L103" s="2" t="s">
        <v>41</v>
      </c>
      <c r="M103" s="2" t="s">
        <v>42</v>
      </c>
      <c r="N103" s="2" t="s">
        <v>43</v>
      </c>
      <c r="O103" s="430" t="s">
        <v>641</v>
      </c>
      <c r="P103" s="263">
        <v>42858</v>
      </c>
      <c r="Q103" s="287" t="s">
        <v>45</v>
      </c>
      <c r="R103" s="398" t="s">
        <v>642</v>
      </c>
      <c r="S103" s="407" t="s">
        <v>643</v>
      </c>
      <c r="T103" s="15" t="s">
        <v>68</v>
      </c>
      <c r="U103" s="10" t="str">
        <f>VLOOKUP('IMPO TERR'!T103,'Matriz datos'!$J$2:$K$10,2,0)</f>
        <v>AV. PDTE. EDUARDO FREI 8301, QUILICURA</v>
      </c>
      <c r="V103" s="104" t="s">
        <v>644</v>
      </c>
      <c r="W103" s="97" t="s">
        <v>645</v>
      </c>
      <c r="X103" s="411">
        <v>46098</v>
      </c>
      <c r="Y103" s="408" t="s">
        <v>52</v>
      </c>
      <c r="Z103" s="28">
        <v>46094</v>
      </c>
      <c r="AA103" s="307">
        <v>4090180410</v>
      </c>
      <c r="AC103" s="412" t="s">
        <v>52</v>
      </c>
      <c r="AD103" s="398" t="s">
        <v>52</v>
      </c>
      <c r="AE103" s="398"/>
      <c r="AF103" s="403">
        <v>25360000</v>
      </c>
      <c r="AG103" s="11"/>
      <c r="AH103" s="37"/>
    </row>
    <row r="104" spans="1:34" ht="24.75" customHeight="1">
      <c r="A104" s="235" t="s">
        <v>646</v>
      </c>
      <c r="B104" s="235">
        <v>180411</v>
      </c>
      <c r="C104" s="393" t="s">
        <v>595</v>
      </c>
      <c r="D104" s="2" t="s">
        <v>52</v>
      </c>
      <c r="E104" s="28">
        <v>46092</v>
      </c>
      <c r="F104" s="15"/>
      <c r="G104" s="15"/>
      <c r="H104" s="2"/>
      <c r="I104" s="2"/>
      <c r="J104" s="2"/>
      <c r="K104" s="2" t="s">
        <v>40</v>
      </c>
      <c r="L104" s="2" t="s">
        <v>41</v>
      </c>
      <c r="M104" s="2" t="s">
        <v>42</v>
      </c>
      <c r="N104" s="2" t="s">
        <v>43</v>
      </c>
      <c r="O104" s="430" t="s">
        <v>647</v>
      </c>
      <c r="P104" s="263"/>
      <c r="Q104" s="263"/>
      <c r="R104" s="398" t="s">
        <v>648</v>
      </c>
      <c r="S104" s="407" t="s">
        <v>649</v>
      </c>
      <c r="T104" s="15" t="s">
        <v>68</v>
      </c>
      <c r="U104" s="10" t="str">
        <f>VLOOKUP('IMPO TERR'!T104,'Matriz datos'!$J$2:$K$10,2,0)</f>
        <v>AV. PDTE. EDUARDO FREI 8301, QUILICURA</v>
      </c>
      <c r="V104" s="96" t="s">
        <v>650</v>
      </c>
      <c r="W104" s="97" t="s">
        <v>651</v>
      </c>
      <c r="X104" s="59">
        <v>46098</v>
      </c>
      <c r="Y104" s="431" t="s">
        <v>52</v>
      </c>
      <c r="Z104" s="28">
        <v>46095</v>
      </c>
      <c r="AA104" s="327">
        <v>4090180411</v>
      </c>
      <c r="AC104" s="406" t="s">
        <v>52</v>
      </c>
      <c r="AD104" s="398" t="s">
        <v>52</v>
      </c>
      <c r="AE104" s="398"/>
      <c r="AF104" s="403">
        <v>22740000</v>
      </c>
      <c r="AG104" s="11"/>
      <c r="AH104" s="37"/>
    </row>
    <row r="105" spans="1:34" ht="24.75" customHeight="1">
      <c r="A105" s="235" t="s">
        <v>652</v>
      </c>
      <c r="B105" s="235">
        <v>180412</v>
      </c>
      <c r="C105" s="393" t="s">
        <v>392</v>
      </c>
      <c r="D105" s="2" t="s">
        <v>52</v>
      </c>
      <c r="E105" s="28">
        <v>46092</v>
      </c>
      <c r="F105" s="15"/>
      <c r="G105" s="15"/>
      <c r="H105" s="2"/>
      <c r="I105" s="2"/>
      <c r="J105" s="2"/>
      <c r="K105" s="2" t="s">
        <v>40</v>
      </c>
      <c r="L105" s="2" t="s">
        <v>55</v>
      </c>
      <c r="M105" s="2" t="s">
        <v>42</v>
      </c>
      <c r="N105" s="2" t="s">
        <v>43</v>
      </c>
      <c r="O105" s="430" t="s">
        <v>653</v>
      </c>
      <c r="P105" s="238">
        <v>42781</v>
      </c>
      <c r="Q105" s="303" t="s">
        <v>132</v>
      </c>
      <c r="R105" s="398" t="s">
        <v>654</v>
      </c>
      <c r="S105" s="407" t="s">
        <v>655</v>
      </c>
      <c r="T105" s="15" t="s">
        <v>68</v>
      </c>
      <c r="U105" s="10" t="str">
        <f>VLOOKUP('IMPO TERR'!T105,'Matriz datos'!$J$2:$K$10,2,0)</f>
        <v>AV. PDTE. EDUARDO FREI 8301, QUILICURA</v>
      </c>
      <c r="W105" s="97"/>
      <c r="X105" s="428">
        <v>46098</v>
      </c>
      <c r="Y105" s="59">
        <v>46098</v>
      </c>
      <c r="Z105" s="333">
        <v>46094</v>
      </c>
      <c r="AA105" s="307">
        <v>4090180412</v>
      </c>
      <c r="AC105" s="406" t="s">
        <v>52</v>
      </c>
      <c r="AD105" s="398" t="s">
        <v>52</v>
      </c>
      <c r="AE105" s="398"/>
      <c r="AF105" s="403">
        <v>18270000</v>
      </c>
      <c r="AG105" s="11"/>
      <c r="AH105" s="37"/>
    </row>
    <row r="106" spans="1:34" ht="24.75" customHeight="1">
      <c r="A106" s="235" t="s">
        <v>656</v>
      </c>
      <c r="B106" s="235">
        <v>180413</v>
      </c>
      <c r="C106" s="393" t="s">
        <v>392</v>
      </c>
      <c r="D106" s="2" t="s">
        <v>52</v>
      </c>
      <c r="E106" s="28">
        <v>46092</v>
      </c>
      <c r="F106" s="15"/>
      <c r="G106" s="15"/>
      <c r="H106" s="2"/>
      <c r="I106" s="2"/>
      <c r="J106" s="2"/>
      <c r="K106" s="2" t="s">
        <v>40</v>
      </c>
      <c r="L106" s="2" t="s">
        <v>55</v>
      </c>
      <c r="M106" s="2" t="s">
        <v>42</v>
      </c>
      <c r="N106" s="2" t="s">
        <v>43</v>
      </c>
      <c r="O106" s="430" t="s">
        <v>657</v>
      </c>
      <c r="P106" s="238">
        <v>42781</v>
      </c>
      <c r="Q106" s="285" t="s">
        <v>132</v>
      </c>
      <c r="R106" s="398" t="s">
        <v>654</v>
      </c>
      <c r="S106" s="407" t="s">
        <v>655</v>
      </c>
      <c r="T106" s="15" t="s">
        <v>68</v>
      </c>
      <c r="U106" s="10" t="str">
        <f>VLOOKUP('IMPO TERR'!T106,'Matriz datos'!$J$2:$K$10,2,0)</f>
        <v>AV. PDTE. EDUARDO FREI 8301, QUILICURA</v>
      </c>
      <c r="W106" s="97"/>
      <c r="X106" s="408">
        <v>46098</v>
      </c>
      <c r="Y106" s="420">
        <v>46098</v>
      </c>
      <c r="Z106" s="28">
        <v>46094</v>
      </c>
      <c r="AA106" s="327">
        <v>4090180413</v>
      </c>
      <c r="AC106" s="42" t="s">
        <v>52</v>
      </c>
      <c r="AD106" s="18" t="s">
        <v>52</v>
      </c>
      <c r="AE106" s="398"/>
      <c r="AF106" s="403">
        <v>8830000</v>
      </c>
      <c r="AG106" s="11"/>
      <c r="AH106" s="37"/>
    </row>
    <row r="107" spans="1:34" ht="24.75" customHeight="1">
      <c r="A107" s="235" t="s">
        <v>658</v>
      </c>
      <c r="B107" s="235">
        <v>180418</v>
      </c>
      <c r="C107" s="393"/>
      <c r="D107" s="2" t="s">
        <v>52</v>
      </c>
      <c r="E107" s="28">
        <v>46093</v>
      </c>
      <c r="F107" s="15"/>
      <c r="G107" s="15"/>
      <c r="H107" s="2"/>
      <c r="I107" s="2"/>
      <c r="J107" s="2"/>
      <c r="K107" s="2" t="s">
        <v>40</v>
      </c>
      <c r="L107" s="2" t="s">
        <v>41</v>
      </c>
      <c r="M107" s="2" t="s">
        <v>42</v>
      </c>
      <c r="N107" s="2" t="s">
        <v>43</v>
      </c>
      <c r="O107" s="430" t="s">
        <v>659</v>
      </c>
      <c r="P107" s="238"/>
      <c r="Q107" s="285" t="s">
        <v>45</v>
      </c>
      <c r="R107" s="398" t="s">
        <v>660</v>
      </c>
      <c r="S107" s="407" t="s">
        <v>661</v>
      </c>
      <c r="T107" s="15" t="s">
        <v>68</v>
      </c>
      <c r="U107" s="10" t="str">
        <f>VLOOKUP('IMPO TERR'!T107,'Matriz datos'!$J$2:$K$10,2,0)</f>
        <v>AV. PDTE. EDUARDO FREI 8301, QUILICURA</v>
      </c>
      <c r="V107" s="96" t="s">
        <v>662</v>
      </c>
      <c r="W107" s="97" t="s">
        <v>663</v>
      </c>
      <c r="X107" s="398"/>
      <c r="Y107" s="408"/>
      <c r="Z107" s="28">
        <v>46094</v>
      </c>
      <c r="AA107" s="307">
        <v>4090180418</v>
      </c>
      <c r="AC107" s="42"/>
      <c r="AD107" s="18"/>
      <c r="AE107" s="398"/>
      <c r="AF107" s="403">
        <v>24820000</v>
      </c>
      <c r="AG107" s="11"/>
      <c r="AH107" s="37"/>
    </row>
    <row r="108" spans="1:34" ht="24.75" customHeight="1">
      <c r="A108" s="235" t="s">
        <v>664</v>
      </c>
      <c r="B108" s="235">
        <v>180419</v>
      </c>
      <c r="C108" s="393"/>
      <c r="D108" s="2" t="s">
        <v>52</v>
      </c>
      <c r="E108" s="28">
        <v>46093</v>
      </c>
      <c r="F108" s="15"/>
      <c r="G108" s="15"/>
      <c r="H108" s="2"/>
      <c r="I108" s="2"/>
      <c r="J108" s="2"/>
      <c r="K108" s="2" t="s">
        <v>40</v>
      </c>
      <c r="L108" s="2" t="s">
        <v>41</v>
      </c>
      <c r="M108" s="2" t="s">
        <v>42</v>
      </c>
      <c r="N108" s="2" t="s">
        <v>43</v>
      </c>
      <c r="O108" s="430" t="s">
        <v>665</v>
      </c>
      <c r="P108" s="238"/>
      <c r="Q108" s="288" t="s">
        <v>45</v>
      </c>
      <c r="R108" s="398" t="s">
        <v>666</v>
      </c>
      <c r="S108" s="407" t="s">
        <v>667</v>
      </c>
      <c r="T108" s="15" t="s">
        <v>88</v>
      </c>
      <c r="U108" s="10" t="str">
        <f>VLOOKUP('IMPO TERR'!T108,'Matriz datos'!$J$2:$K$10,2,0)</f>
        <v>AV. AMERICO VESPUCIO 0350, QUILICURA</v>
      </c>
      <c r="V108" s="96" t="s">
        <v>668</v>
      </c>
      <c r="W108" s="97" t="s">
        <v>669</v>
      </c>
      <c r="X108" s="432"/>
      <c r="Y108" s="408"/>
      <c r="Z108" s="28">
        <v>46094</v>
      </c>
      <c r="AA108" s="307">
        <v>4090180419</v>
      </c>
      <c r="AC108" s="42"/>
      <c r="AD108" s="18"/>
      <c r="AE108" s="398"/>
      <c r="AF108" s="403">
        <v>25210000</v>
      </c>
      <c r="AG108" s="11"/>
      <c r="AH108" s="37"/>
    </row>
    <row r="109" spans="1:34" ht="24.75" customHeight="1">
      <c r="A109" s="235" t="s">
        <v>670</v>
      </c>
      <c r="B109" s="235">
        <v>180420</v>
      </c>
      <c r="C109" s="393" t="s">
        <v>392</v>
      </c>
      <c r="D109" s="2" t="s">
        <v>52</v>
      </c>
      <c r="E109" s="28">
        <v>46093</v>
      </c>
      <c r="F109" s="15"/>
      <c r="G109" s="15" t="s">
        <v>671</v>
      </c>
      <c r="H109" s="2"/>
      <c r="I109" s="2"/>
      <c r="J109" s="2"/>
      <c r="K109" s="2" t="s">
        <v>54</v>
      </c>
      <c r="L109" s="2" t="s">
        <v>41</v>
      </c>
      <c r="M109" s="2" t="s">
        <v>42</v>
      </c>
      <c r="N109" s="2" t="s">
        <v>43</v>
      </c>
      <c r="O109" s="430" t="s">
        <v>672</v>
      </c>
      <c r="P109" s="263">
        <v>42692</v>
      </c>
      <c r="Q109" s="263"/>
      <c r="R109" s="432" t="s">
        <v>673</v>
      </c>
      <c r="S109" s="407" t="s">
        <v>674</v>
      </c>
      <c r="T109" s="15" t="s">
        <v>88</v>
      </c>
      <c r="U109" s="10" t="str">
        <f>VLOOKUP('IMPO TERR'!T109,'Matriz datos'!$J$2:$K$10,2,0)</f>
        <v>AV. AMERICO VESPUCIO 0350, QUILICURA</v>
      </c>
      <c r="V109" s="96" t="s">
        <v>675</v>
      </c>
      <c r="W109" s="97" t="s">
        <v>676</v>
      </c>
      <c r="X109" s="64">
        <v>46098</v>
      </c>
      <c r="Y109" s="414">
        <v>46098</v>
      </c>
      <c r="Z109" s="2" t="s">
        <v>677</v>
      </c>
      <c r="AA109" s="10">
        <v>4090180420</v>
      </c>
      <c r="AC109" s="42" t="s">
        <v>52</v>
      </c>
      <c r="AD109" s="18" t="s">
        <v>52</v>
      </c>
      <c r="AE109" s="398"/>
      <c r="AF109" s="403">
        <v>14420000</v>
      </c>
      <c r="AG109" s="11"/>
      <c r="AH109" s="37"/>
    </row>
    <row r="110" spans="1:34" ht="24.75" customHeight="1">
      <c r="A110" s="235" t="s">
        <v>678</v>
      </c>
      <c r="B110" s="235">
        <v>180423</v>
      </c>
      <c r="C110" s="393" t="s">
        <v>392</v>
      </c>
      <c r="D110" s="2" t="s">
        <v>52</v>
      </c>
      <c r="E110" s="28">
        <v>46093</v>
      </c>
      <c r="F110" s="15"/>
      <c r="G110" s="15" t="s">
        <v>679</v>
      </c>
      <c r="H110" s="2"/>
      <c r="I110" s="2"/>
      <c r="J110" s="2"/>
      <c r="K110" s="2" t="s">
        <v>54</v>
      </c>
      <c r="L110" s="2" t="s">
        <v>41</v>
      </c>
      <c r="M110" s="2" t="s">
        <v>42</v>
      </c>
      <c r="N110" s="2" t="s">
        <v>43</v>
      </c>
      <c r="O110" s="430" t="s">
        <v>680</v>
      </c>
      <c r="P110" s="238">
        <v>42692</v>
      </c>
      <c r="Q110" s="303"/>
      <c r="R110" s="23" t="s">
        <v>673</v>
      </c>
      <c r="S110" s="441" t="s">
        <v>674</v>
      </c>
      <c r="T110" s="15" t="s">
        <v>88</v>
      </c>
      <c r="U110" s="10" t="str">
        <f>VLOOKUP('IMPO TERR'!T110,'Matriz datos'!$J$2:$K$10,2,0)</f>
        <v>AV. AMERICO VESPUCIO 0350, QUILICURA</v>
      </c>
      <c r="V110" s="96" t="s">
        <v>675</v>
      </c>
      <c r="W110" s="97" t="s">
        <v>676</v>
      </c>
      <c r="X110" s="59">
        <v>46098</v>
      </c>
      <c r="Y110" s="414">
        <v>46098</v>
      </c>
      <c r="Z110" s="2" t="s">
        <v>677</v>
      </c>
      <c r="AA110" s="10">
        <v>4090180423</v>
      </c>
      <c r="AC110" s="42" t="s">
        <v>52</v>
      </c>
      <c r="AD110" s="18" t="s">
        <v>52</v>
      </c>
      <c r="AE110" s="398"/>
      <c r="AF110" s="403">
        <v>3540000</v>
      </c>
      <c r="AG110" s="11"/>
      <c r="AH110" s="37"/>
    </row>
    <row r="111" spans="1:34" ht="24.75" customHeight="1">
      <c r="A111" s="235" t="s">
        <v>681</v>
      </c>
      <c r="B111" s="235">
        <v>180433</v>
      </c>
      <c r="C111" s="393" t="s">
        <v>35</v>
      </c>
      <c r="D111" s="2" t="s">
        <v>52</v>
      </c>
      <c r="E111" s="28">
        <v>46093</v>
      </c>
      <c r="F111" s="15"/>
      <c r="G111" s="15" t="s">
        <v>682</v>
      </c>
      <c r="H111" s="2"/>
      <c r="I111" s="2"/>
      <c r="J111" s="2"/>
      <c r="K111" s="2" t="s">
        <v>40</v>
      </c>
      <c r="L111" s="2" t="s">
        <v>41</v>
      </c>
      <c r="M111" s="2" t="s">
        <v>42</v>
      </c>
      <c r="N111" s="2" t="s">
        <v>43</v>
      </c>
      <c r="O111" s="10" t="s">
        <v>683</v>
      </c>
      <c r="P111" s="238"/>
      <c r="Q111" s="285"/>
      <c r="R111" s="442" t="s">
        <v>684</v>
      </c>
      <c r="S111" s="407" t="s">
        <v>685</v>
      </c>
      <c r="T111" s="15" t="s">
        <v>68</v>
      </c>
      <c r="U111" s="10" t="str">
        <f>VLOOKUP('IMPO TERR'!T111,'Matriz datos'!$J$2:$K$10,2,0)</f>
        <v>AV. PDTE. EDUARDO FREI 8301, QUILICURA</v>
      </c>
      <c r="V111" s="96" t="s">
        <v>686</v>
      </c>
      <c r="W111" s="97" t="s">
        <v>687</v>
      </c>
      <c r="X111" s="442"/>
      <c r="Y111" s="408"/>
      <c r="Z111" s="28">
        <v>46097</v>
      </c>
      <c r="AA111" s="307">
        <v>4090180433</v>
      </c>
      <c r="AC111" s="42"/>
      <c r="AD111" s="18"/>
      <c r="AE111" s="398"/>
      <c r="AF111" s="403">
        <v>25980000</v>
      </c>
      <c r="AG111" s="11"/>
      <c r="AH111" s="37"/>
    </row>
    <row r="112" spans="1:34" ht="24.75" customHeight="1">
      <c r="A112" s="235" t="s">
        <v>688</v>
      </c>
      <c r="B112" s="235">
        <v>180436</v>
      </c>
      <c r="C112" s="393" t="s">
        <v>35</v>
      </c>
      <c r="D112" s="2" t="s">
        <v>52</v>
      </c>
      <c r="E112" s="28">
        <v>46093</v>
      </c>
      <c r="F112" s="15"/>
      <c r="G112" s="15"/>
      <c r="H112" s="2"/>
      <c r="I112" s="2"/>
      <c r="J112" s="2"/>
      <c r="K112" s="2" t="s">
        <v>40</v>
      </c>
      <c r="L112" s="2" t="s">
        <v>41</v>
      </c>
      <c r="M112" s="2" t="s">
        <v>42</v>
      </c>
      <c r="N112" s="2" t="s">
        <v>43</v>
      </c>
      <c r="O112" s="10" t="s">
        <v>689</v>
      </c>
      <c r="P112" s="238"/>
      <c r="Q112" s="285"/>
      <c r="R112" s="398" t="s">
        <v>690</v>
      </c>
      <c r="S112" s="407" t="s">
        <v>691</v>
      </c>
      <c r="T112" s="15" t="s">
        <v>68</v>
      </c>
      <c r="U112" s="10" t="str">
        <f>VLOOKUP('IMPO TERR'!T112,'Matriz datos'!$J$2:$K$10,2,0)</f>
        <v>AV. PDTE. EDUARDO FREI 8301, QUILICURA</v>
      </c>
      <c r="V112" s="96" t="s">
        <v>692</v>
      </c>
      <c r="W112" s="97" t="s">
        <v>693</v>
      </c>
      <c r="X112" s="398"/>
      <c r="Y112" s="408"/>
      <c r="Z112" s="28">
        <v>46094</v>
      </c>
      <c r="AA112" s="307">
        <v>4090180436</v>
      </c>
      <c r="AC112" s="386"/>
      <c r="AD112" s="20"/>
      <c r="AE112" s="398"/>
      <c r="AF112" s="403">
        <v>24670000</v>
      </c>
      <c r="AG112" s="11"/>
      <c r="AH112" s="37"/>
    </row>
    <row r="113" spans="1:34" ht="24.75" customHeight="1">
      <c r="A113" s="235" t="s">
        <v>694</v>
      </c>
      <c r="B113" s="235">
        <v>180438</v>
      </c>
      <c r="C113" s="393" t="s">
        <v>35</v>
      </c>
      <c r="D113" s="5" t="s">
        <v>115</v>
      </c>
      <c r="E113" s="28">
        <v>46093</v>
      </c>
      <c r="F113" s="15"/>
      <c r="G113" s="15"/>
      <c r="H113" s="2"/>
      <c r="I113" s="2"/>
      <c r="J113" s="2"/>
      <c r="K113" s="2" t="s">
        <v>40</v>
      </c>
      <c r="L113" s="2" t="s">
        <v>41</v>
      </c>
      <c r="M113" s="2" t="s">
        <v>42</v>
      </c>
      <c r="N113" s="2" t="s">
        <v>43</v>
      </c>
      <c r="O113" s="10" t="s">
        <v>695</v>
      </c>
      <c r="P113" s="238">
        <v>41050</v>
      </c>
      <c r="Q113" s="285"/>
      <c r="R113" s="398" t="s">
        <v>696</v>
      </c>
      <c r="S113" s="407" t="s">
        <v>697</v>
      </c>
      <c r="T113" s="15" t="s">
        <v>698</v>
      </c>
      <c r="U113" s="10" t="s">
        <v>699</v>
      </c>
      <c r="V113" s="96" t="s">
        <v>700</v>
      </c>
      <c r="W113" s="97"/>
      <c r="X113" s="408">
        <v>46096</v>
      </c>
      <c r="Y113" s="408">
        <v>46097</v>
      </c>
      <c r="Z113" s="28">
        <v>46097</v>
      </c>
      <c r="AA113" s="327">
        <v>4090180438</v>
      </c>
      <c r="AB113" s="329">
        <v>46097</v>
      </c>
      <c r="AC113" s="59">
        <v>46098</v>
      </c>
      <c r="AD113" s="59">
        <v>46098</v>
      </c>
      <c r="AE113" s="406"/>
      <c r="AF113" s="403">
        <v>25900000</v>
      </c>
      <c r="AG113" s="11"/>
      <c r="AH113" s="37"/>
    </row>
    <row r="114" spans="1:34" ht="24.75" customHeight="1">
      <c r="A114" s="235" t="s">
        <v>701</v>
      </c>
      <c r="B114" s="235">
        <v>180441</v>
      </c>
      <c r="C114" s="393" t="s">
        <v>35</v>
      </c>
      <c r="D114" s="2" t="s">
        <v>52</v>
      </c>
      <c r="E114" s="28">
        <v>46093</v>
      </c>
      <c r="F114" s="15"/>
      <c r="G114" s="15"/>
      <c r="H114" s="2"/>
      <c r="I114" s="2"/>
      <c r="J114" s="2"/>
      <c r="K114" s="2" t="s">
        <v>54</v>
      </c>
      <c r="L114" s="2" t="s">
        <v>41</v>
      </c>
      <c r="M114" s="2" t="s">
        <v>42</v>
      </c>
      <c r="N114" s="2" t="s">
        <v>43</v>
      </c>
      <c r="O114" s="10" t="s">
        <v>702</v>
      </c>
      <c r="P114" s="238"/>
      <c r="Q114" s="285"/>
      <c r="R114" s="398" t="s">
        <v>703</v>
      </c>
      <c r="S114" s="407" t="s">
        <v>704</v>
      </c>
      <c r="T114" s="15" t="s">
        <v>68</v>
      </c>
      <c r="U114" s="10" t="str">
        <f>VLOOKUP('IMPO TERR'!T114,'Matriz datos'!$J$2:$K$10,2,0)</f>
        <v>AV. PDTE. EDUARDO FREI 8301, QUILICURA</v>
      </c>
      <c r="V114" s="96" t="s">
        <v>705</v>
      </c>
      <c r="W114" s="97" t="s">
        <v>706</v>
      </c>
      <c r="X114" s="398"/>
      <c r="Y114" s="408"/>
      <c r="Z114" s="28">
        <v>46095</v>
      </c>
      <c r="AA114" s="219">
        <v>4090180441</v>
      </c>
      <c r="AC114" s="387"/>
      <c r="AD114" s="221"/>
      <c r="AE114" s="398"/>
      <c r="AF114" s="403">
        <v>20910000</v>
      </c>
      <c r="AG114" s="11"/>
      <c r="AH114" s="37"/>
    </row>
    <row r="115" spans="1:34" ht="24.75" customHeight="1">
      <c r="A115" s="235" t="s">
        <v>707</v>
      </c>
      <c r="B115" s="235">
        <v>180450</v>
      </c>
      <c r="C115" s="393" t="s">
        <v>392</v>
      </c>
      <c r="D115" s="5" t="s">
        <v>36</v>
      </c>
      <c r="E115" s="28">
        <v>46093</v>
      </c>
      <c r="F115" s="15"/>
      <c r="G115" s="15"/>
      <c r="H115" s="2"/>
      <c r="I115" s="2"/>
      <c r="J115" s="2"/>
      <c r="K115" s="2" t="s">
        <v>40</v>
      </c>
      <c r="L115" s="2" t="s">
        <v>55</v>
      </c>
      <c r="M115" s="2" t="s">
        <v>42</v>
      </c>
      <c r="N115" s="2" t="s">
        <v>43</v>
      </c>
      <c r="O115" s="10" t="s">
        <v>708</v>
      </c>
      <c r="P115" s="238">
        <v>41987</v>
      </c>
      <c r="Q115" s="285"/>
      <c r="R115" s="398" t="s">
        <v>709</v>
      </c>
      <c r="S115" s="407" t="s">
        <v>710</v>
      </c>
      <c r="T115" s="15" t="s">
        <v>68</v>
      </c>
      <c r="U115" s="10" t="str">
        <f>VLOOKUP('IMPO TERR'!T115,'Matriz datos'!$J$2:$K$10,2,0)</f>
        <v>AV. PDTE. EDUARDO FREI 8301, QUILICURA</v>
      </c>
      <c r="V115" s="96" t="s">
        <v>711</v>
      </c>
      <c r="W115" s="97" t="s">
        <v>712</v>
      </c>
      <c r="X115" s="69">
        <v>46097</v>
      </c>
      <c r="Y115" s="408">
        <v>46098</v>
      </c>
      <c r="Z115" s="28">
        <v>46094</v>
      </c>
      <c r="AA115" s="307">
        <v>4090180450</v>
      </c>
      <c r="AB115" s="29">
        <v>46097</v>
      </c>
      <c r="AC115" s="42" t="s">
        <v>52</v>
      </c>
      <c r="AD115" s="18" t="s">
        <v>52</v>
      </c>
      <c r="AE115" s="398"/>
      <c r="AF115" s="403">
        <v>26190000</v>
      </c>
      <c r="AG115" s="11"/>
      <c r="AH115" s="37"/>
    </row>
    <row r="116" spans="1:34" ht="24.75" customHeight="1">
      <c r="A116" s="235" t="s">
        <v>713</v>
      </c>
      <c r="B116" s="235">
        <v>180456</v>
      </c>
      <c r="C116" s="393" t="s">
        <v>35</v>
      </c>
      <c r="D116" s="2" t="s">
        <v>52</v>
      </c>
      <c r="E116" s="28">
        <v>46093</v>
      </c>
      <c r="F116" s="15"/>
      <c r="G116" s="15"/>
      <c r="H116" s="2"/>
      <c r="I116" s="2"/>
      <c r="J116" s="2"/>
      <c r="K116" s="2" t="s">
        <v>40</v>
      </c>
      <c r="L116" s="2" t="s">
        <v>41</v>
      </c>
      <c r="M116" s="2" t="s">
        <v>42</v>
      </c>
      <c r="N116" s="2" t="s">
        <v>43</v>
      </c>
      <c r="O116" s="10" t="s">
        <v>714</v>
      </c>
      <c r="P116" s="238"/>
      <c r="Q116" s="285"/>
      <c r="R116" s="432"/>
      <c r="S116" s="407"/>
      <c r="T116" s="15" t="s">
        <v>68</v>
      </c>
      <c r="U116" s="10" t="str">
        <f>VLOOKUP('IMPO TERR'!T116,'Matriz datos'!$J$2:$K$10,2,0)</f>
        <v>AV. PDTE. EDUARDO FREI 8301, QUILICURA</v>
      </c>
      <c r="W116" s="97"/>
      <c r="X116" s="432"/>
      <c r="Y116" s="408"/>
      <c r="Z116" s="2" t="s">
        <v>677</v>
      </c>
      <c r="AA116" s="10">
        <v>4090180456</v>
      </c>
      <c r="AC116" s="42"/>
      <c r="AD116" s="18"/>
      <c r="AE116" s="398"/>
      <c r="AF116" s="403">
        <v>23790000</v>
      </c>
      <c r="AG116" s="11"/>
      <c r="AH116" s="37"/>
    </row>
    <row r="117" spans="1:34" ht="24.75" customHeight="1">
      <c r="A117" s="235" t="s">
        <v>715</v>
      </c>
      <c r="B117" s="235">
        <v>180457</v>
      </c>
      <c r="C117" s="393" t="s">
        <v>392</v>
      </c>
      <c r="D117" s="2" t="s">
        <v>52</v>
      </c>
      <c r="E117" s="28">
        <v>12</v>
      </c>
      <c r="F117" s="15"/>
      <c r="G117" s="15"/>
      <c r="H117" s="2"/>
      <c r="I117" s="2"/>
      <c r="J117" s="2"/>
      <c r="K117" s="2" t="s">
        <v>40</v>
      </c>
      <c r="L117" s="2" t="s">
        <v>55</v>
      </c>
      <c r="M117" s="2" t="s">
        <v>42</v>
      </c>
      <c r="N117" s="2" t="s">
        <v>43</v>
      </c>
      <c r="O117" s="10" t="s">
        <v>716</v>
      </c>
      <c r="P117" s="238">
        <v>42796</v>
      </c>
      <c r="Q117" s="285"/>
      <c r="R117" s="23" t="s">
        <v>717</v>
      </c>
      <c r="S117" s="441" t="s">
        <v>718</v>
      </c>
      <c r="T117" s="15" t="s">
        <v>88</v>
      </c>
      <c r="U117" s="10" t="str">
        <f>VLOOKUP('IMPO TERR'!T117,'Matriz datos'!$J$2:$K$10,2,0)</f>
        <v>AV. AMERICO VESPUCIO 0350, QUILICURA</v>
      </c>
      <c r="V117" s="324"/>
      <c r="W117" s="97"/>
      <c r="X117" s="59">
        <v>46098</v>
      </c>
      <c r="Y117" s="414">
        <v>46098</v>
      </c>
      <c r="Z117" s="28">
        <v>46097</v>
      </c>
      <c r="AA117" s="327">
        <v>4090180457</v>
      </c>
      <c r="AC117" s="42" t="s">
        <v>52</v>
      </c>
      <c r="AD117" s="18" t="s">
        <v>52</v>
      </c>
      <c r="AE117" s="398"/>
      <c r="AF117" s="403">
        <v>32880000</v>
      </c>
      <c r="AG117" s="11"/>
      <c r="AH117" s="37"/>
    </row>
    <row r="118" spans="1:34" ht="33" customHeight="1">
      <c r="A118" s="235" t="s">
        <v>719</v>
      </c>
      <c r="B118" s="235">
        <v>180458</v>
      </c>
      <c r="C118" s="393" t="s">
        <v>392</v>
      </c>
      <c r="D118" s="5" t="s">
        <v>36</v>
      </c>
      <c r="E118" s="28">
        <v>12</v>
      </c>
      <c r="F118" s="15"/>
      <c r="G118" s="15"/>
      <c r="H118" s="2"/>
      <c r="I118" s="2"/>
      <c r="J118" s="2"/>
      <c r="K118" s="2" t="s">
        <v>40</v>
      </c>
      <c r="L118" s="2" t="s">
        <v>196</v>
      </c>
      <c r="M118" s="2" t="s">
        <v>42</v>
      </c>
      <c r="N118" s="2" t="s">
        <v>43</v>
      </c>
      <c r="O118" s="10" t="s">
        <v>720</v>
      </c>
      <c r="P118" s="326" t="s">
        <v>721</v>
      </c>
      <c r="Q118" s="285"/>
      <c r="R118" s="442" t="s">
        <v>722</v>
      </c>
      <c r="S118" s="407" t="s">
        <v>723</v>
      </c>
      <c r="T118" s="15" t="s">
        <v>299</v>
      </c>
      <c r="U118" s="10" t="str">
        <f>VLOOKUP('IMPO TERR'!T118,'Matriz datos'!$J$2:$K$10,2,0)</f>
        <v>CAMINO LO AGUIRRE SUR 537, PUDAHUEL </v>
      </c>
      <c r="V118" s="323" t="s">
        <v>724</v>
      </c>
      <c r="W118" s="325" t="s">
        <v>725</v>
      </c>
      <c r="X118" s="420">
        <v>46094</v>
      </c>
      <c r="Y118" s="408">
        <v>46095</v>
      </c>
      <c r="Z118" s="28">
        <v>46097</v>
      </c>
      <c r="AA118" s="327">
        <v>4090180458</v>
      </c>
      <c r="AB118" s="29">
        <v>46097</v>
      </c>
      <c r="AC118" s="386" t="s">
        <v>52</v>
      </c>
      <c r="AD118" s="18" t="s">
        <v>52</v>
      </c>
      <c r="AE118" s="398"/>
      <c r="AF118" s="404">
        <v>47480000</v>
      </c>
      <c r="AG118" s="11"/>
      <c r="AH118" s="37"/>
    </row>
    <row r="119" spans="1:34" ht="24.75" customHeight="1">
      <c r="A119" s="235" t="s">
        <v>726</v>
      </c>
      <c r="B119" s="235">
        <v>180462</v>
      </c>
      <c r="C119" s="393" t="s">
        <v>392</v>
      </c>
      <c r="D119" s="5" t="s">
        <v>36</v>
      </c>
      <c r="E119" s="28">
        <v>12</v>
      </c>
      <c r="F119" s="15"/>
      <c r="G119" s="15"/>
      <c r="H119" s="2"/>
      <c r="I119" s="2"/>
      <c r="J119" s="2"/>
      <c r="K119" s="2" t="s">
        <v>40</v>
      </c>
      <c r="L119" s="2" t="s">
        <v>196</v>
      </c>
      <c r="M119" s="2" t="s">
        <v>42</v>
      </c>
      <c r="N119" s="2" t="s">
        <v>43</v>
      </c>
      <c r="O119" s="10" t="s">
        <v>727</v>
      </c>
      <c r="P119" s="326" t="s">
        <v>728</v>
      </c>
      <c r="Q119" s="285"/>
      <c r="R119" s="398" t="s">
        <v>729</v>
      </c>
      <c r="S119" s="407" t="s">
        <v>205</v>
      </c>
      <c r="T119" s="15" t="s">
        <v>68</v>
      </c>
      <c r="U119" s="10" t="str">
        <f>VLOOKUP('IMPO TERR'!T119,'Matriz datos'!$J$2:$K$10,2,0)</f>
        <v>AV. PDTE. EDUARDO FREI 8301, QUILICURA</v>
      </c>
      <c r="V119" s="104" t="s">
        <v>730</v>
      </c>
      <c r="W119" s="97" t="s">
        <v>731</v>
      </c>
      <c r="X119" s="408">
        <v>46095</v>
      </c>
      <c r="Y119" s="408">
        <v>46097</v>
      </c>
      <c r="Z119" s="28">
        <v>46094</v>
      </c>
      <c r="AA119" s="327">
        <v>4090180462</v>
      </c>
      <c r="AB119" s="329">
        <v>46097</v>
      </c>
      <c r="AC119" s="59">
        <v>46098</v>
      </c>
      <c r="AD119" s="42" t="s">
        <v>52</v>
      </c>
      <c r="AE119" s="398">
        <v>141655</v>
      </c>
      <c r="AF119" s="399">
        <v>30470000</v>
      </c>
      <c r="AG119" s="11"/>
      <c r="AH119" s="37"/>
    </row>
    <row r="120" spans="1:34" ht="24.75" customHeight="1">
      <c r="A120" s="235" t="s">
        <v>732</v>
      </c>
      <c r="B120" s="235">
        <v>180464</v>
      </c>
      <c r="C120" s="393" t="s">
        <v>595</v>
      </c>
      <c r="D120" s="2" t="s">
        <v>52</v>
      </c>
      <c r="E120" s="28">
        <v>12</v>
      </c>
      <c r="G120" s="2"/>
      <c r="H120" s="2"/>
      <c r="I120" s="2"/>
      <c r="J120" s="2"/>
      <c r="K120" s="2" t="s">
        <v>40</v>
      </c>
      <c r="L120" s="2" t="s">
        <v>55</v>
      </c>
      <c r="M120" s="2" t="s">
        <v>42</v>
      </c>
      <c r="N120" s="2" t="s">
        <v>43</v>
      </c>
      <c r="O120" s="10" t="s">
        <v>733</v>
      </c>
      <c r="P120" s="238">
        <v>42747</v>
      </c>
      <c r="Q120" s="285"/>
      <c r="R120" s="398" t="s">
        <v>734</v>
      </c>
      <c r="S120" s="407" t="s">
        <v>735</v>
      </c>
      <c r="T120" s="15" t="s">
        <v>736</v>
      </c>
      <c r="U120" s="10" t="e">
        <f>VLOOKUP('IMPO TERR'!T120,'Matriz datos'!$J$2:$K$10,2,0)</f>
        <v>#N/A</v>
      </c>
      <c r="V120" s="96" t="s">
        <v>737</v>
      </c>
      <c r="W120" s="97" t="s">
        <v>738</v>
      </c>
      <c r="X120" s="408">
        <v>46098</v>
      </c>
      <c r="Y120" s="408" t="s">
        <v>52</v>
      </c>
      <c r="Z120" s="2" t="s">
        <v>677</v>
      </c>
      <c r="AA120" s="10">
        <v>4090180464</v>
      </c>
      <c r="AC120" s="387" t="s">
        <v>52</v>
      </c>
      <c r="AD120" s="18" t="s">
        <v>52</v>
      </c>
      <c r="AE120" s="398"/>
      <c r="AF120" s="402">
        <v>27370000</v>
      </c>
      <c r="AG120" s="11"/>
      <c r="AH120" s="37"/>
    </row>
    <row r="121" spans="1:34" ht="24.75" customHeight="1">
      <c r="A121" s="235" t="s">
        <v>739</v>
      </c>
      <c r="B121" s="235">
        <v>180465</v>
      </c>
      <c r="C121" s="393" t="s">
        <v>595</v>
      </c>
      <c r="D121" s="2" t="s">
        <v>52</v>
      </c>
      <c r="E121" s="28">
        <v>12</v>
      </c>
      <c r="F121" s="15"/>
      <c r="G121" s="15"/>
      <c r="H121" s="2"/>
      <c r="I121" s="2"/>
      <c r="J121" s="2"/>
      <c r="K121" s="2" t="s">
        <v>54</v>
      </c>
      <c r="L121" s="2" t="s">
        <v>55</v>
      </c>
      <c r="M121" s="2" t="s">
        <v>42</v>
      </c>
      <c r="N121" s="2" t="s">
        <v>43</v>
      </c>
      <c r="O121" s="10" t="s">
        <v>740</v>
      </c>
      <c r="P121" s="238">
        <v>42808</v>
      </c>
      <c r="Q121" s="285"/>
      <c r="R121" s="398" t="s">
        <v>741</v>
      </c>
      <c r="S121" s="407" t="s">
        <v>742</v>
      </c>
      <c r="T121" s="15" t="s">
        <v>88</v>
      </c>
      <c r="U121" s="10" t="str">
        <f>VLOOKUP('IMPO TERR'!T121,'Matriz datos'!$J$2:$K$10,2,0)</f>
        <v>AV. AMERICO VESPUCIO 0350, QUILICURA</v>
      </c>
      <c r="V121" s="96" t="s">
        <v>743</v>
      </c>
      <c r="W121" s="97" t="s">
        <v>744</v>
      </c>
      <c r="X121" s="408">
        <v>46098</v>
      </c>
      <c r="Y121" s="408" t="s">
        <v>52</v>
      </c>
      <c r="Z121" s="328" t="s">
        <v>745</v>
      </c>
      <c r="AA121" s="327">
        <v>4090180465</v>
      </c>
      <c r="AC121" s="42" t="s">
        <v>52</v>
      </c>
      <c r="AD121" s="18" t="s">
        <v>52</v>
      </c>
      <c r="AE121" s="398"/>
      <c r="AF121" s="403">
        <v>26360000</v>
      </c>
      <c r="AG121" s="11"/>
      <c r="AH121" s="37"/>
    </row>
    <row r="122" spans="1:34" ht="24.75" customHeight="1">
      <c r="A122" s="235" t="s">
        <v>746</v>
      </c>
      <c r="B122" s="235">
        <v>180466</v>
      </c>
      <c r="C122" s="393"/>
      <c r="D122" s="2" t="s">
        <v>52</v>
      </c>
      <c r="E122" s="28">
        <v>46093</v>
      </c>
      <c r="F122" s="15"/>
      <c r="G122" s="15"/>
      <c r="H122" s="2"/>
      <c r="I122" s="2"/>
      <c r="J122" s="2"/>
      <c r="K122" s="2" t="s">
        <v>40</v>
      </c>
      <c r="L122" s="2" t="s">
        <v>55</v>
      </c>
      <c r="M122" s="2" t="s">
        <v>42</v>
      </c>
      <c r="N122" s="2" t="s">
        <v>43</v>
      </c>
      <c r="O122" s="10" t="s">
        <v>747</v>
      </c>
      <c r="P122" s="238"/>
      <c r="Q122" s="285"/>
      <c r="R122" s="398" t="s">
        <v>748</v>
      </c>
      <c r="S122" s="407" t="s">
        <v>749</v>
      </c>
      <c r="T122" s="15" t="s">
        <v>68</v>
      </c>
      <c r="U122" s="10" t="str">
        <f>VLOOKUP('IMPO TERR'!T122,'Matriz datos'!$J$2:$K$10,2,0)</f>
        <v>AV. PDTE. EDUARDO FREI 8301, QUILICURA</v>
      </c>
      <c r="V122" s="96" t="s">
        <v>750</v>
      </c>
      <c r="W122" s="97" t="s">
        <v>751</v>
      </c>
      <c r="X122" s="398"/>
      <c r="Y122" s="408"/>
      <c r="Z122" s="28">
        <v>46097</v>
      </c>
      <c r="AA122" s="307">
        <v>4090180466</v>
      </c>
      <c r="AC122" s="42"/>
      <c r="AD122" s="18"/>
      <c r="AE122" s="398"/>
      <c r="AF122" s="403">
        <v>25500000</v>
      </c>
      <c r="AG122" s="11"/>
      <c r="AH122" s="37"/>
    </row>
    <row r="123" spans="1:34" ht="24.75" customHeight="1">
      <c r="A123" s="391" t="s">
        <v>752</v>
      </c>
      <c r="B123" s="235">
        <v>180472</v>
      </c>
      <c r="C123" s="393"/>
      <c r="D123" s="2" t="s">
        <v>52</v>
      </c>
      <c r="E123" s="28">
        <v>46093</v>
      </c>
      <c r="F123" s="15"/>
      <c r="G123" s="15"/>
      <c r="H123" s="2"/>
      <c r="I123" s="2"/>
      <c r="J123" s="2"/>
      <c r="K123" s="2" t="s">
        <v>54</v>
      </c>
      <c r="L123" s="2" t="s">
        <v>41</v>
      </c>
      <c r="M123" s="2" t="s">
        <v>42</v>
      </c>
      <c r="N123" s="2" t="s">
        <v>43</v>
      </c>
      <c r="O123" s="10" t="s">
        <v>753</v>
      </c>
      <c r="P123" s="238"/>
      <c r="Q123" s="285"/>
      <c r="R123" s="398" t="s">
        <v>754</v>
      </c>
      <c r="S123" s="407" t="s">
        <v>755</v>
      </c>
      <c r="T123" s="15" t="s">
        <v>88</v>
      </c>
      <c r="U123" s="10" t="str">
        <f>VLOOKUP('IMPO TERR'!T123,'Matriz datos'!$J$2:$K$10,2,0)</f>
        <v>AV. AMERICO VESPUCIO 0350, QUILICURA</v>
      </c>
      <c r="V123" s="96" t="s">
        <v>756</v>
      </c>
      <c r="W123" s="97" t="s">
        <v>757</v>
      </c>
      <c r="X123" s="398"/>
      <c r="Y123" s="408"/>
      <c r="Z123" s="443">
        <v>46095</v>
      </c>
      <c r="AA123" s="327">
        <v>4090180472</v>
      </c>
      <c r="AC123" s="42"/>
      <c r="AD123" s="18"/>
      <c r="AE123" s="398"/>
      <c r="AF123" s="403">
        <v>20950000</v>
      </c>
      <c r="AG123" s="11"/>
      <c r="AH123" s="37"/>
    </row>
    <row r="124" spans="1:34" ht="24.75" customHeight="1">
      <c r="A124" s="235" t="s">
        <v>758</v>
      </c>
      <c r="B124" s="235">
        <v>180475</v>
      </c>
      <c r="C124" s="393" t="s">
        <v>392</v>
      </c>
      <c r="D124" s="2" t="s">
        <v>52</v>
      </c>
      <c r="E124" s="28">
        <v>46093</v>
      </c>
      <c r="F124" s="15"/>
      <c r="G124" s="15"/>
      <c r="H124" s="2"/>
      <c r="I124" s="2"/>
      <c r="J124" s="2"/>
      <c r="K124" s="2" t="s">
        <v>40</v>
      </c>
      <c r="L124" s="2" t="s">
        <v>41</v>
      </c>
      <c r="M124" s="2" t="s">
        <v>42</v>
      </c>
      <c r="N124" s="2" t="s">
        <v>43</v>
      </c>
      <c r="O124" s="10" t="s">
        <v>759</v>
      </c>
      <c r="P124" s="238">
        <v>42393</v>
      </c>
      <c r="Q124" s="285"/>
      <c r="R124" s="398" t="s">
        <v>760</v>
      </c>
      <c r="S124" s="407" t="s">
        <v>761</v>
      </c>
      <c r="T124" s="15" t="s">
        <v>88</v>
      </c>
      <c r="U124" s="10" t="str">
        <f>VLOOKUP('IMPO TERR'!T124,'Matriz datos'!$J$2:$K$10,2,0)</f>
        <v>AV. AMERICO VESPUCIO 0350, QUILICURA</v>
      </c>
      <c r="V124" s="96" t="s">
        <v>762</v>
      </c>
      <c r="W124" s="97" t="s">
        <v>763</v>
      </c>
      <c r="X124" s="408">
        <v>46097</v>
      </c>
      <c r="Y124" s="58">
        <v>46098</v>
      </c>
      <c r="Z124" s="2" t="s">
        <v>677</v>
      </c>
      <c r="AA124" s="10">
        <v>4090180475</v>
      </c>
      <c r="AC124" s="42" t="s">
        <v>52</v>
      </c>
      <c r="AD124" s="18" t="s">
        <v>52</v>
      </c>
      <c r="AE124" s="398"/>
      <c r="AF124" s="403">
        <v>28670000</v>
      </c>
      <c r="AG124" s="11"/>
      <c r="AH124" s="37"/>
    </row>
    <row r="125" spans="1:34" ht="24.75" customHeight="1">
      <c r="A125" s="235" t="s">
        <v>764</v>
      </c>
      <c r="B125" s="235">
        <v>180481</v>
      </c>
      <c r="C125" s="393"/>
      <c r="D125" s="2" t="s">
        <v>52</v>
      </c>
      <c r="E125" s="28">
        <v>46094</v>
      </c>
      <c r="F125" s="15"/>
      <c r="G125" s="15"/>
      <c r="H125" s="2"/>
      <c r="I125" s="2"/>
      <c r="J125" s="2"/>
      <c r="K125" s="2" t="s">
        <v>54</v>
      </c>
      <c r="L125" s="2" t="s">
        <v>41</v>
      </c>
      <c r="M125" s="2" t="s">
        <v>42</v>
      </c>
      <c r="N125" s="2" t="s">
        <v>43</v>
      </c>
      <c r="O125" s="10" t="s">
        <v>765</v>
      </c>
      <c r="P125" s="238"/>
      <c r="Q125" s="285"/>
      <c r="R125" s="398" t="s">
        <v>766</v>
      </c>
      <c r="S125" s="407" t="s">
        <v>767</v>
      </c>
      <c r="T125" s="15" t="s">
        <v>68</v>
      </c>
      <c r="U125" s="10" t="str">
        <f>VLOOKUP('IMPO TERR'!T125,'Matriz datos'!$J$2:$K$10,2,0)</f>
        <v>AV. PDTE. EDUARDO FREI 8301, QUILICURA</v>
      </c>
      <c r="V125" s="96" t="s">
        <v>768</v>
      </c>
      <c r="W125" s="97" t="s">
        <v>769</v>
      </c>
      <c r="X125" s="398"/>
      <c r="Y125" s="408"/>
      <c r="Z125" s="28">
        <v>46095</v>
      </c>
      <c r="AA125" s="327">
        <v>4090180481</v>
      </c>
      <c r="AC125" s="42"/>
      <c r="AD125" s="18"/>
      <c r="AE125" s="398"/>
      <c r="AF125" s="403">
        <v>25720000</v>
      </c>
      <c r="AG125" s="11"/>
      <c r="AH125" s="37"/>
    </row>
    <row r="126" spans="1:34" ht="24.75" customHeight="1">
      <c r="A126" s="235" t="s">
        <v>770</v>
      </c>
      <c r="B126" s="235">
        <v>180496</v>
      </c>
      <c r="C126" s="393"/>
      <c r="D126" s="2" t="s">
        <v>52</v>
      </c>
      <c r="E126" s="28">
        <v>46094</v>
      </c>
      <c r="F126" s="15"/>
      <c r="G126" s="15"/>
      <c r="H126" s="2"/>
      <c r="I126" s="2"/>
      <c r="J126" s="2"/>
      <c r="K126" s="2" t="s">
        <v>40</v>
      </c>
      <c r="L126" s="2" t="s">
        <v>55</v>
      </c>
      <c r="M126" s="2" t="s">
        <v>42</v>
      </c>
      <c r="N126" s="2" t="s">
        <v>43</v>
      </c>
      <c r="O126" s="10" t="s">
        <v>771</v>
      </c>
      <c r="P126" s="238"/>
      <c r="Q126" s="285"/>
      <c r="R126" s="398"/>
      <c r="S126" s="407"/>
      <c r="T126" s="15" t="s">
        <v>88</v>
      </c>
      <c r="U126" s="10" t="str">
        <f>VLOOKUP('IMPO TERR'!T126,'Matriz datos'!$J$2:$K$10,2,0)</f>
        <v>AV. AMERICO VESPUCIO 0350, QUILICURA</v>
      </c>
      <c r="W126" s="97"/>
      <c r="X126" s="398"/>
      <c r="Y126" s="408"/>
      <c r="Z126" s="2" t="s">
        <v>677</v>
      </c>
      <c r="AA126" s="10">
        <v>4090180496</v>
      </c>
      <c r="AC126" s="42"/>
      <c r="AD126" s="18"/>
      <c r="AE126" s="398"/>
      <c r="AF126" s="403">
        <v>27740000</v>
      </c>
      <c r="AG126" s="11"/>
      <c r="AH126" s="37"/>
    </row>
    <row r="127" spans="1:34" ht="24.75" customHeight="1">
      <c r="A127" s="235" t="s">
        <v>772</v>
      </c>
      <c r="B127" s="235">
        <v>180497</v>
      </c>
      <c r="C127" s="393"/>
      <c r="D127" s="2" t="s">
        <v>52</v>
      </c>
      <c r="E127" s="28">
        <v>46094</v>
      </c>
      <c r="F127" s="15"/>
      <c r="G127" s="15"/>
      <c r="H127" s="2"/>
      <c r="I127" s="2"/>
      <c r="J127" s="2"/>
      <c r="K127" s="2" t="s">
        <v>40</v>
      </c>
      <c r="L127" s="2" t="s">
        <v>55</v>
      </c>
      <c r="M127" s="2" t="s">
        <v>42</v>
      </c>
      <c r="N127" s="2" t="s">
        <v>43</v>
      </c>
      <c r="O127" s="10" t="s">
        <v>773</v>
      </c>
      <c r="P127" s="238"/>
      <c r="Q127" s="285"/>
      <c r="R127" s="398" t="s">
        <v>774</v>
      </c>
      <c r="S127" s="407" t="s">
        <v>775</v>
      </c>
      <c r="T127" s="15" t="s">
        <v>299</v>
      </c>
      <c r="U127" s="10" t="str">
        <f>VLOOKUP('IMPO TERR'!T127,'Matriz datos'!$J$2:$K$10,2,0)</f>
        <v>CAMINO LO AGUIRRE SUR 537, PUDAHUEL </v>
      </c>
      <c r="V127" s="96" t="s">
        <v>776</v>
      </c>
      <c r="W127" s="97" t="s">
        <v>777</v>
      </c>
      <c r="X127" s="398"/>
      <c r="Y127" s="408"/>
      <c r="Z127" s="28">
        <v>46097</v>
      </c>
      <c r="AA127" s="307">
        <v>4090180497</v>
      </c>
      <c r="AC127" s="42"/>
      <c r="AD127" s="18"/>
      <c r="AE127" s="398"/>
      <c r="AF127" s="403">
        <v>30650000</v>
      </c>
      <c r="AG127" s="11"/>
      <c r="AH127" s="37"/>
    </row>
    <row r="128" spans="1:34" ht="24.75" customHeight="1">
      <c r="A128" s="235" t="s">
        <v>778</v>
      </c>
      <c r="B128" s="235">
        <v>180498</v>
      </c>
      <c r="C128" s="393"/>
      <c r="D128" s="2" t="s">
        <v>52</v>
      </c>
      <c r="E128" s="28">
        <v>46035</v>
      </c>
      <c r="F128" s="15"/>
      <c r="G128" s="15"/>
      <c r="H128" s="2"/>
      <c r="I128" s="2"/>
      <c r="J128" s="2"/>
      <c r="K128" s="2" t="s">
        <v>40</v>
      </c>
      <c r="L128" s="2" t="s">
        <v>55</v>
      </c>
      <c r="M128" s="2" t="s">
        <v>42</v>
      </c>
      <c r="N128" s="2" t="s">
        <v>43</v>
      </c>
      <c r="O128" s="10" t="s">
        <v>779</v>
      </c>
      <c r="P128" s="238"/>
      <c r="Q128" s="285"/>
      <c r="R128" s="398" t="s">
        <v>780</v>
      </c>
      <c r="S128" s="407" t="s">
        <v>781</v>
      </c>
      <c r="T128" s="15" t="s">
        <v>68</v>
      </c>
      <c r="U128" s="10" t="str">
        <f>VLOOKUP('IMPO TERR'!T128,'Matriz datos'!$J$2:$K$10,2,0)</f>
        <v>AV. PDTE. EDUARDO FREI 8301, QUILICURA</v>
      </c>
      <c r="V128" s="96" t="s">
        <v>782</v>
      </c>
      <c r="W128" s="97" t="s">
        <v>783</v>
      </c>
      <c r="X128" s="398"/>
      <c r="Y128" s="408"/>
      <c r="Z128" s="2" t="s">
        <v>677</v>
      </c>
      <c r="AA128" s="10">
        <v>4090180498</v>
      </c>
      <c r="AC128" s="42"/>
      <c r="AD128" s="18"/>
      <c r="AE128" s="398"/>
      <c r="AF128" s="403">
        <v>25450000</v>
      </c>
      <c r="AG128" s="11"/>
      <c r="AH128" s="37"/>
    </row>
    <row r="129" spans="1:34" ht="24.75" customHeight="1">
      <c r="A129" s="235" t="s">
        <v>784</v>
      </c>
      <c r="B129" s="235">
        <v>180500</v>
      </c>
      <c r="C129" s="393"/>
      <c r="D129" s="2" t="s">
        <v>52</v>
      </c>
      <c r="E129" s="28">
        <v>46035</v>
      </c>
      <c r="F129" s="15"/>
      <c r="G129" s="15"/>
      <c r="H129" s="2"/>
      <c r="I129" s="2"/>
      <c r="J129" s="2"/>
      <c r="K129" s="2" t="s">
        <v>40</v>
      </c>
      <c r="L129" s="2" t="s">
        <v>55</v>
      </c>
      <c r="M129" s="2" t="s">
        <v>42</v>
      </c>
      <c r="N129" s="2" t="s">
        <v>43</v>
      </c>
      <c r="O129" s="10" t="s">
        <v>785</v>
      </c>
      <c r="P129" s="238"/>
      <c r="Q129" s="285"/>
      <c r="R129" s="398" t="s">
        <v>786</v>
      </c>
      <c r="S129" s="407" t="s">
        <v>787</v>
      </c>
      <c r="T129" s="15" t="s">
        <v>68</v>
      </c>
      <c r="U129" s="10" t="str">
        <f>VLOOKUP('IMPO TERR'!T129,'Matriz datos'!$J$2:$K$10,2,0)</f>
        <v>AV. PDTE. EDUARDO FREI 8301, QUILICURA</v>
      </c>
      <c r="V129" s="96" t="s">
        <v>788</v>
      </c>
      <c r="W129" s="97" t="s">
        <v>789</v>
      </c>
      <c r="X129" s="432"/>
      <c r="Y129" s="411"/>
      <c r="Z129" s="2" t="s">
        <v>677</v>
      </c>
      <c r="AA129" s="10">
        <v>4090180500</v>
      </c>
      <c r="AC129" s="42"/>
      <c r="AD129" s="18"/>
      <c r="AE129" s="398"/>
      <c r="AF129" s="403">
        <v>27040000</v>
      </c>
      <c r="AG129" s="11"/>
      <c r="AH129" s="37"/>
    </row>
    <row r="130" spans="1:34" ht="24.75" customHeight="1">
      <c r="A130" s="235" t="s">
        <v>790</v>
      </c>
      <c r="B130" s="235">
        <v>180502</v>
      </c>
      <c r="C130" s="393" t="s">
        <v>392</v>
      </c>
      <c r="D130" s="2" t="s">
        <v>52</v>
      </c>
      <c r="E130" s="28">
        <v>46035</v>
      </c>
      <c r="F130" s="15"/>
      <c r="G130" s="15"/>
      <c r="H130" s="2"/>
      <c r="I130" s="2"/>
      <c r="J130" s="2"/>
      <c r="K130" s="2" t="s">
        <v>40</v>
      </c>
      <c r="L130" s="2" t="s">
        <v>55</v>
      </c>
      <c r="M130" s="2" t="s">
        <v>42</v>
      </c>
      <c r="N130" s="2" t="s">
        <v>43</v>
      </c>
      <c r="O130" s="10" t="s">
        <v>791</v>
      </c>
      <c r="P130" s="238">
        <v>42481</v>
      </c>
      <c r="Q130" s="285"/>
      <c r="R130" s="398" t="s">
        <v>792</v>
      </c>
      <c r="S130" s="407" t="s">
        <v>793</v>
      </c>
      <c r="T130" s="15" t="s">
        <v>68</v>
      </c>
      <c r="U130" s="10" t="str">
        <f>VLOOKUP('IMPO TERR'!T130,'Matriz datos'!$J$2:$K$10,2,0)</f>
        <v>AV. PDTE. EDUARDO FREI 8301, QUILICURA</v>
      </c>
      <c r="W130" s="97"/>
      <c r="X130" s="59">
        <v>46097</v>
      </c>
      <c r="Y130" s="59">
        <v>46098</v>
      </c>
      <c r="Z130" s="17" t="s">
        <v>677</v>
      </c>
      <c r="AA130" s="10">
        <v>4090180502</v>
      </c>
      <c r="AC130" s="42" t="s">
        <v>52</v>
      </c>
      <c r="AD130" s="18" t="s">
        <v>52</v>
      </c>
      <c r="AE130" s="398"/>
      <c r="AF130" s="403">
        <v>26250000</v>
      </c>
      <c r="AG130" s="11"/>
      <c r="AH130" s="37"/>
    </row>
    <row r="131" spans="1:34" ht="24.75" customHeight="1">
      <c r="A131" s="235" t="s">
        <v>794</v>
      </c>
      <c r="B131" s="235">
        <v>180503</v>
      </c>
      <c r="C131" s="393"/>
      <c r="D131" s="2" t="s">
        <v>52</v>
      </c>
      <c r="E131" s="28">
        <v>46094</v>
      </c>
      <c r="F131" s="15"/>
      <c r="G131" s="15"/>
      <c r="H131" s="2"/>
      <c r="I131" s="2"/>
      <c r="J131" s="2"/>
      <c r="K131" s="2" t="s">
        <v>40</v>
      </c>
      <c r="L131" s="2" t="s">
        <v>55</v>
      </c>
      <c r="M131" s="2" t="s">
        <v>42</v>
      </c>
      <c r="N131" s="2" t="s">
        <v>43</v>
      </c>
      <c r="O131" s="10" t="s">
        <v>795</v>
      </c>
      <c r="P131" s="238"/>
      <c r="Q131" s="285"/>
      <c r="R131" s="398"/>
      <c r="S131" s="407"/>
      <c r="T131" s="15" t="s">
        <v>68</v>
      </c>
      <c r="U131" s="10" t="str">
        <f>VLOOKUP('IMPO TERR'!T131,'Matriz datos'!$J$2:$K$10,2,0)</f>
        <v>AV. PDTE. EDUARDO FREI 8301, QUILICURA</v>
      </c>
      <c r="W131" s="97"/>
      <c r="X131" s="442"/>
      <c r="Y131" s="417"/>
      <c r="Z131" s="28">
        <v>46097</v>
      </c>
      <c r="AA131" s="310">
        <v>4090180503</v>
      </c>
      <c r="AC131" s="42"/>
      <c r="AD131" s="18"/>
      <c r="AE131" s="398"/>
      <c r="AF131" s="403">
        <v>25430000</v>
      </c>
      <c r="AG131" s="11"/>
      <c r="AH131" s="37"/>
    </row>
    <row r="132" spans="1:34" ht="24.75" customHeight="1">
      <c r="A132" s="235" t="s">
        <v>796</v>
      </c>
      <c r="B132" s="235">
        <v>180512</v>
      </c>
      <c r="C132" s="393" t="s">
        <v>392</v>
      </c>
      <c r="D132" s="2" t="s">
        <v>52</v>
      </c>
      <c r="E132" s="28">
        <v>46095</v>
      </c>
      <c r="F132" s="15"/>
      <c r="G132" s="15"/>
      <c r="H132" s="2"/>
      <c r="I132" s="2"/>
      <c r="J132" s="2"/>
      <c r="K132" s="2" t="s">
        <v>40</v>
      </c>
      <c r="L132" s="2" t="s">
        <v>196</v>
      </c>
      <c r="M132" s="2" t="s">
        <v>42</v>
      </c>
      <c r="N132" s="2" t="s">
        <v>43</v>
      </c>
      <c r="O132" s="10" t="s">
        <v>797</v>
      </c>
      <c r="P132" s="326" t="s">
        <v>798</v>
      </c>
      <c r="Q132" s="285"/>
      <c r="R132" s="398" t="s">
        <v>250</v>
      </c>
      <c r="S132" s="407" t="s">
        <v>251</v>
      </c>
      <c r="T132" s="15" t="s">
        <v>299</v>
      </c>
      <c r="U132" s="10" t="str">
        <f>VLOOKUP('IMPO TERR'!T132,'Matriz datos'!$J$2:$K$10,2,0)</f>
        <v>CAMINO LO AGUIRRE SUR 537, PUDAHUEL </v>
      </c>
      <c r="V132" s="96" t="s">
        <v>799</v>
      </c>
      <c r="W132" s="97" t="s">
        <v>800</v>
      </c>
      <c r="X132" s="413">
        <v>46097</v>
      </c>
      <c r="Y132" s="59">
        <v>46098</v>
      </c>
      <c r="Z132" s="388">
        <v>46097</v>
      </c>
      <c r="AA132" s="327">
        <v>4090180512</v>
      </c>
      <c r="AC132" s="42" t="s">
        <v>52</v>
      </c>
      <c r="AD132" s="18" t="s">
        <v>52</v>
      </c>
      <c r="AE132" s="398"/>
      <c r="AF132" s="403">
        <v>40860000</v>
      </c>
      <c r="AG132" s="11"/>
      <c r="AH132" s="37"/>
    </row>
    <row r="133" spans="1:34" ht="24.75" customHeight="1">
      <c r="A133" s="235" t="s">
        <v>801</v>
      </c>
      <c r="B133" s="235">
        <v>180522</v>
      </c>
      <c r="C133" s="393"/>
      <c r="D133" s="2" t="s">
        <v>52</v>
      </c>
      <c r="E133" s="28">
        <v>46097</v>
      </c>
      <c r="F133" s="15"/>
      <c r="G133" s="15"/>
      <c r="H133" s="2"/>
      <c r="I133" s="2"/>
      <c r="J133" s="2"/>
      <c r="K133" s="2" t="s">
        <v>40</v>
      </c>
      <c r="L133" s="2" t="s">
        <v>41</v>
      </c>
      <c r="M133" s="2" t="s">
        <v>42</v>
      </c>
      <c r="N133" s="2" t="s">
        <v>43</v>
      </c>
      <c r="O133" s="10" t="s">
        <v>802</v>
      </c>
      <c r="P133" s="238"/>
      <c r="Q133" s="285"/>
      <c r="R133" s="398" t="s">
        <v>803</v>
      </c>
      <c r="S133" s="407" t="s">
        <v>804</v>
      </c>
      <c r="T133" s="15"/>
      <c r="U133" s="10" t="e">
        <f>VLOOKUP('IMPO TERR'!T133,'Matriz datos'!$J$2:$K$10,2,0)</f>
        <v>#N/A</v>
      </c>
      <c r="V133" s="96" t="s">
        <v>805</v>
      </c>
      <c r="W133" s="97" t="s">
        <v>806</v>
      </c>
      <c r="X133" s="398"/>
      <c r="Y133" s="420"/>
      <c r="Z133" s="2" t="s">
        <v>677</v>
      </c>
      <c r="AA133" s="10">
        <v>4090180522</v>
      </c>
      <c r="AC133" s="42"/>
      <c r="AD133" s="18"/>
      <c r="AE133" s="398"/>
      <c r="AF133" s="406"/>
      <c r="AG133" s="11"/>
      <c r="AH133" s="37"/>
    </row>
    <row r="134" spans="1:34" ht="24.75" customHeight="1">
      <c r="A134" s="235" t="s">
        <v>807</v>
      </c>
      <c r="B134" s="235">
        <v>180523</v>
      </c>
      <c r="C134" s="393"/>
      <c r="D134" s="2" t="s">
        <v>52</v>
      </c>
      <c r="E134" s="28">
        <v>46097</v>
      </c>
      <c r="F134" s="15"/>
      <c r="G134" s="15"/>
      <c r="H134" s="2"/>
      <c r="I134" s="2"/>
      <c r="J134" s="2"/>
      <c r="K134" s="2" t="s">
        <v>40</v>
      </c>
      <c r="L134" s="2" t="s">
        <v>41</v>
      </c>
      <c r="M134" s="2" t="s">
        <v>42</v>
      </c>
      <c r="N134" s="2" t="s">
        <v>43</v>
      </c>
      <c r="O134" s="10" t="s">
        <v>808</v>
      </c>
      <c r="P134" s="238"/>
      <c r="Q134" s="285"/>
      <c r="R134" s="432" t="s">
        <v>809</v>
      </c>
      <c r="S134" s="407" t="s">
        <v>810</v>
      </c>
      <c r="T134" s="15" t="s">
        <v>68</v>
      </c>
      <c r="U134" s="10" t="str">
        <f>VLOOKUP('IMPO TERR'!T134,'Matriz datos'!$J$2:$K$10,2,0)</f>
        <v>AV. PDTE. EDUARDO FREI 8301, QUILICURA</v>
      </c>
      <c r="V134" s="96" t="s">
        <v>811</v>
      </c>
      <c r="W134" s="105" t="s">
        <v>812</v>
      </c>
      <c r="X134" s="398"/>
      <c r="Y134" s="408"/>
      <c r="Z134" s="2" t="s">
        <v>677</v>
      </c>
      <c r="AA134" s="10">
        <v>4090180523</v>
      </c>
      <c r="AC134" s="42"/>
      <c r="AD134" s="18"/>
      <c r="AE134" s="398"/>
      <c r="AF134" s="406"/>
      <c r="AG134" s="11"/>
      <c r="AH134" s="37"/>
    </row>
    <row r="135" spans="1:34" ht="24.75" customHeight="1">
      <c r="A135" s="235" t="s">
        <v>813</v>
      </c>
      <c r="B135" s="235">
        <v>180525</v>
      </c>
      <c r="C135" s="393"/>
      <c r="D135" s="2" t="s">
        <v>52</v>
      </c>
      <c r="E135" s="28">
        <v>46097</v>
      </c>
      <c r="F135" s="15"/>
      <c r="G135" s="15"/>
      <c r="H135" s="2"/>
      <c r="I135" s="2"/>
      <c r="J135" s="2"/>
      <c r="K135" s="2" t="s">
        <v>40</v>
      </c>
      <c r="L135" s="2" t="s">
        <v>41</v>
      </c>
      <c r="M135" s="2" t="s">
        <v>42</v>
      </c>
      <c r="N135" s="2" t="s">
        <v>43</v>
      </c>
      <c r="O135" s="10" t="s">
        <v>814</v>
      </c>
      <c r="P135" s="238"/>
      <c r="Q135" s="285"/>
      <c r="R135" s="398" t="s">
        <v>815</v>
      </c>
      <c r="S135" s="15" t="s">
        <v>816</v>
      </c>
      <c r="T135" s="15" t="s">
        <v>68</v>
      </c>
      <c r="U135" s="10" t="str">
        <f>VLOOKUP('IMPO TERR'!T135,'Matriz datos'!$J$2:$K$10,2,0)</f>
        <v>AV. PDTE. EDUARDO FREI 8301, QUILICURA</v>
      </c>
      <c r="V135" s="40" t="s">
        <v>817</v>
      </c>
      <c r="W135" s="96" t="s">
        <v>818</v>
      </c>
      <c r="X135" s="398"/>
      <c r="Y135" s="408"/>
      <c r="Z135" s="2" t="s">
        <v>677</v>
      </c>
      <c r="AA135" s="10">
        <v>4090180525</v>
      </c>
      <c r="AC135" s="42"/>
      <c r="AD135" s="18"/>
      <c r="AE135" s="398"/>
      <c r="AF135" s="406"/>
      <c r="AG135" s="11"/>
      <c r="AH135" s="37"/>
    </row>
    <row r="136" spans="1:34" ht="24.75" customHeight="1">
      <c r="A136" s="235" t="s">
        <v>819</v>
      </c>
      <c r="B136" s="235">
        <v>180526</v>
      </c>
      <c r="C136" s="393"/>
      <c r="D136" s="2" t="s">
        <v>52</v>
      </c>
      <c r="E136" s="28">
        <v>46097</v>
      </c>
      <c r="F136" s="15"/>
      <c r="G136" s="15" t="s">
        <v>820</v>
      </c>
      <c r="H136" s="2"/>
      <c r="I136" s="2"/>
      <c r="J136" s="2"/>
      <c r="K136" s="2" t="s">
        <v>54</v>
      </c>
      <c r="L136" s="2" t="s">
        <v>41</v>
      </c>
      <c r="M136" s="2" t="s">
        <v>42</v>
      </c>
      <c r="N136" s="2" t="s">
        <v>43</v>
      </c>
      <c r="O136" s="10" t="s">
        <v>821</v>
      </c>
      <c r="P136" s="238"/>
      <c r="Q136" s="285"/>
      <c r="R136" s="442" t="s">
        <v>822</v>
      </c>
      <c r="S136" s="407" t="s">
        <v>823</v>
      </c>
      <c r="T136" s="15" t="s">
        <v>68</v>
      </c>
      <c r="U136" s="10" t="str">
        <f>VLOOKUP('IMPO TERR'!T136,'Matriz datos'!$J$2:$K$10,2,0)</f>
        <v>AV. PDTE. EDUARDO FREI 8301, QUILICURA</v>
      </c>
      <c r="V136" s="96" t="s">
        <v>824</v>
      </c>
      <c r="W136" s="106" t="s">
        <v>825</v>
      </c>
      <c r="X136" s="398"/>
      <c r="Y136" s="408"/>
      <c r="Z136" s="2" t="s">
        <v>677</v>
      </c>
      <c r="AA136" s="10">
        <v>4090180526</v>
      </c>
      <c r="AC136" s="42"/>
      <c r="AD136" s="18"/>
      <c r="AE136" s="398"/>
      <c r="AF136" s="406"/>
      <c r="AG136" s="11"/>
      <c r="AH136" s="37"/>
    </row>
    <row r="137" spans="1:34" ht="24.75" customHeight="1">
      <c r="A137" s="235" t="s">
        <v>826</v>
      </c>
      <c r="B137" s="235">
        <v>180536</v>
      </c>
      <c r="C137" s="393"/>
      <c r="D137" s="2" t="s">
        <v>52</v>
      </c>
      <c r="E137" s="28">
        <v>46097</v>
      </c>
      <c r="F137" s="15"/>
      <c r="G137" s="15"/>
      <c r="H137" s="2"/>
      <c r="I137" s="2"/>
      <c r="J137" s="2"/>
      <c r="K137" s="2" t="s">
        <v>40</v>
      </c>
      <c r="L137" s="2" t="s">
        <v>41</v>
      </c>
      <c r="M137" s="2" t="s">
        <v>42</v>
      </c>
      <c r="N137" s="2" t="s">
        <v>43</v>
      </c>
      <c r="O137" s="10" t="s">
        <v>827</v>
      </c>
      <c r="P137" s="351"/>
      <c r="Q137" s="285"/>
      <c r="R137" s="398" t="s">
        <v>828</v>
      </c>
      <c r="S137" s="407" t="s">
        <v>829</v>
      </c>
      <c r="T137" s="17" t="s">
        <v>68</v>
      </c>
      <c r="U137" s="10" t="str">
        <f>VLOOKUP('IMPO TERR'!T137,'Matriz datos'!$J$2:$K$10,2,0)</f>
        <v>AV. PDTE. EDUARDO FREI 8301, QUILICURA</v>
      </c>
      <c r="V137" s="334" t="s">
        <v>830</v>
      </c>
      <c r="W137" s="438" t="s">
        <v>831</v>
      </c>
      <c r="X137" s="398"/>
      <c r="Y137" s="408"/>
      <c r="Z137" s="2" t="s">
        <v>677</v>
      </c>
      <c r="AA137" s="10">
        <v>4090180536</v>
      </c>
      <c r="AC137" s="42"/>
      <c r="AD137" s="18"/>
      <c r="AE137" s="398"/>
      <c r="AF137" s="406"/>
      <c r="AG137" s="11"/>
      <c r="AH137" s="37"/>
    </row>
    <row r="138" spans="1:34" ht="24.75" customHeight="1">
      <c r="A138" s="235" t="s">
        <v>832</v>
      </c>
      <c r="B138" s="235">
        <v>180541</v>
      </c>
      <c r="C138" s="393" t="s">
        <v>392</v>
      </c>
      <c r="D138" s="2" t="s">
        <v>52</v>
      </c>
      <c r="E138" s="28">
        <v>46097</v>
      </c>
      <c r="F138" s="15"/>
      <c r="G138" s="15"/>
      <c r="H138" s="2"/>
      <c r="I138" s="2"/>
      <c r="J138" s="2"/>
      <c r="K138" s="2" t="s">
        <v>40</v>
      </c>
      <c r="L138" s="2" t="s">
        <v>196</v>
      </c>
      <c r="M138" s="2" t="s">
        <v>42</v>
      </c>
      <c r="N138" s="2" t="s">
        <v>43</v>
      </c>
      <c r="O138" s="10" t="s">
        <v>833</v>
      </c>
      <c r="P138" s="353" t="s">
        <v>834</v>
      </c>
      <c r="Q138" s="285"/>
      <c r="R138" s="18" t="s">
        <v>835</v>
      </c>
      <c r="S138" s="444" t="s">
        <v>836</v>
      </c>
      <c r="T138" s="2" t="s">
        <v>299</v>
      </c>
      <c r="U138" s="19"/>
      <c r="V138" s="111" t="s">
        <v>837</v>
      </c>
      <c r="W138" s="335" t="s">
        <v>838</v>
      </c>
      <c r="X138" s="408">
        <v>46097</v>
      </c>
      <c r="Y138" s="408">
        <v>46098</v>
      </c>
      <c r="Z138" s="2" t="s">
        <v>677</v>
      </c>
      <c r="AA138" s="10">
        <v>4090180541</v>
      </c>
      <c r="AC138" s="42" t="s">
        <v>52</v>
      </c>
      <c r="AD138" s="18" t="s">
        <v>52</v>
      </c>
      <c r="AE138" s="398"/>
      <c r="AF138" s="403">
        <v>47260000</v>
      </c>
      <c r="AG138" s="11"/>
      <c r="AH138" s="37"/>
    </row>
    <row r="139" spans="1:34" ht="24.75" customHeight="1">
      <c r="A139" s="235" t="s">
        <v>839</v>
      </c>
      <c r="B139" s="235">
        <v>180544</v>
      </c>
      <c r="D139" s="2" t="s">
        <v>52</v>
      </c>
      <c r="E139" s="28">
        <v>46097</v>
      </c>
      <c r="F139" s="15"/>
      <c r="G139" s="15"/>
      <c r="H139" s="2"/>
      <c r="I139" s="2"/>
      <c r="J139" s="2"/>
      <c r="K139" s="2" t="s">
        <v>40</v>
      </c>
      <c r="L139" s="2" t="s">
        <v>55</v>
      </c>
      <c r="M139" s="2" t="s">
        <v>42</v>
      </c>
      <c r="N139" s="2" t="s">
        <v>43</v>
      </c>
      <c r="O139" s="10" t="s">
        <v>840</v>
      </c>
      <c r="P139" s="352"/>
      <c r="Q139" s="285"/>
      <c r="R139" s="398"/>
      <c r="S139" s="407"/>
      <c r="T139" s="26" t="s">
        <v>88</v>
      </c>
      <c r="U139" s="10"/>
      <c r="W139" s="97"/>
      <c r="X139" s="398"/>
      <c r="Y139" s="408"/>
      <c r="Z139" s="2" t="s">
        <v>677</v>
      </c>
      <c r="AA139" s="10">
        <v>4090180544</v>
      </c>
      <c r="AC139" s="42"/>
      <c r="AD139" s="18"/>
      <c r="AE139" s="398"/>
      <c r="AF139" s="406"/>
      <c r="AG139" s="11"/>
      <c r="AH139" s="37"/>
    </row>
    <row r="140" spans="1:34" ht="24.75" customHeight="1">
      <c r="A140" s="235" t="s">
        <v>841</v>
      </c>
      <c r="B140" s="235">
        <v>180545</v>
      </c>
      <c r="D140" s="2" t="s">
        <v>52</v>
      </c>
      <c r="E140" s="28">
        <v>46097</v>
      </c>
      <c r="F140" s="15"/>
      <c r="G140" s="15"/>
      <c r="H140" s="2"/>
      <c r="I140" s="2"/>
      <c r="J140" s="2"/>
      <c r="K140" s="2" t="s">
        <v>40</v>
      </c>
      <c r="L140" s="2" t="s">
        <v>55</v>
      </c>
      <c r="M140" s="2" t="s">
        <v>42</v>
      </c>
      <c r="N140" s="2" t="s">
        <v>43</v>
      </c>
      <c r="O140" s="10" t="s">
        <v>842</v>
      </c>
      <c r="P140" s="238"/>
      <c r="Q140" s="350"/>
      <c r="R140" s="398"/>
      <c r="S140" s="407"/>
      <c r="T140" s="15" t="s">
        <v>299</v>
      </c>
      <c r="U140" s="10"/>
      <c r="W140" s="97"/>
      <c r="X140" s="398"/>
      <c r="Y140" s="408"/>
      <c r="Z140" s="2" t="s">
        <v>677</v>
      </c>
      <c r="AA140" s="10">
        <v>4090180545</v>
      </c>
      <c r="AC140" s="42"/>
      <c r="AD140" s="18"/>
      <c r="AE140" s="398"/>
      <c r="AF140" s="406"/>
      <c r="AG140" s="11"/>
      <c r="AH140" s="37"/>
    </row>
    <row r="141" spans="1:34" ht="24.75" customHeight="1">
      <c r="A141" s="235" t="s">
        <v>843</v>
      </c>
      <c r="B141" s="235">
        <v>180547</v>
      </c>
      <c r="D141" s="2" t="s">
        <v>52</v>
      </c>
      <c r="E141" s="28">
        <v>46097</v>
      </c>
      <c r="F141" s="15"/>
      <c r="G141" s="15"/>
      <c r="H141" s="2"/>
      <c r="I141" s="2"/>
      <c r="J141" s="2"/>
      <c r="K141" s="2" t="s">
        <v>40</v>
      </c>
      <c r="L141" s="2" t="s">
        <v>55</v>
      </c>
      <c r="M141" s="2" t="s">
        <v>42</v>
      </c>
      <c r="N141" s="2" t="s">
        <v>43</v>
      </c>
      <c r="O141" s="10" t="s">
        <v>844</v>
      </c>
      <c r="P141" s="238"/>
      <c r="Q141" s="285"/>
      <c r="R141" s="398"/>
      <c r="S141" s="407"/>
      <c r="T141" s="15" t="s">
        <v>68</v>
      </c>
      <c r="U141" s="10"/>
      <c r="W141" s="97"/>
      <c r="X141" s="398"/>
      <c r="Y141" s="408"/>
      <c r="Z141" s="2" t="s">
        <v>677</v>
      </c>
      <c r="AA141" s="10">
        <v>4090180547</v>
      </c>
      <c r="AC141" s="42"/>
      <c r="AD141" s="18"/>
      <c r="AE141" s="398"/>
      <c r="AF141" s="406"/>
      <c r="AG141" s="11"/>
      <c r="AH141" s="37"/>
    </row>
    <row r="142" spans="1:34" ht="24.75" customHeight="1">
      <c r="A142" s="235" t="s">
        <v>845</v>
      </c>
      <c r="B142" s="235">
        <v>180549</v>
      </c>
      <c r="D142" s="2" t="s">
        <v>52</v>
      </c>
      <c r="E142" s="28">
        <v>46097</v>
      </c>
      <c r="F142" s="15"/>
      <c r="G142" s="15"/>
      <c r="H142" s="2"/>
      <c r="I142" s="2"/>
      <c r="J142" s="2"/>
      <c r="K142" s="2" t="s">
        <v>40</v>
      </c>
      <c r="L142" s="2" t="s">
        <v>55</v>
      </c>
      <c r="M142" s="2" t="s">
        <v>42</v>
      </c>
      <c r="N142" s="2" t="s">
        <v>43</v>
      </c>
      <c r="O142" s="10" t="s">
        <v>846</v>
      </c>
      <c r="P142" s="238"/>
      <c r="Q142" s="285"/>
      <c r="R142" s="398"/>
      <c r="S142" s="407"/>
      <c r="T142" s="15" t="s">
        <v>88</v>
      </c>
      <c r="U142" s="10"/>
      <c r="W142" s="97"/>
      <c r="X142" s="398"/>
      <c r="Y142" s="408"/>
      <c r="Z142" s="2" t="s">
        <v>677</v>
      </c>
      <c r="AA142" s="10">
        <v>4090180549</v>
      </c>
      <c r="AC142" s="42"/>
      <c r="AD142" s="18"/>
      <c r="AE142" s="398"/>
      <c r="AF142" s="406"/>
      <c r="AG142" s="11"/>
      <c r="AH142" s="37"/>
    </row>
    <row r="143" spans="1:34" ht="24.75" customHeight="1">
      <c r="A143" s="235" t="s">
        <v>847</v>
      </c>
      <c r="B143" s="235">
        <v>180550</v>
      </c>
      <c r="D143" s="2" t="s">
        <v>52</v>
      </c>
      <c r="E143" s="28">
        <v>46097</v>
      </c>
      <c r="F143" s="15"/>
      <c r="G143" s="15"/>
      <c r="H143" s="2"/>
      <c r="I143" s="2"/>
      <c r="J143" s="2"/>
      <c r="K143" s="2" t="s">
        <v>40</v>
      </c>
      <c r="L143" s="2" t="s">
        <v>55</v>
      </c>
      <c r="M143" s="2" t="s">
        <v>42</v>
      </c>
      <c r="N143" s="2" t="s">
        <v>43</v>
      </c>
      <c r="O143" s="10" t="s">
        <v>848</v>
      </c>
      <c r="P143" s="238"/>
      <c r="Q143" s="285"/>
      <c r="R143" s="398"/>
      <c r="S143" s="407"/>
      <c r="T143" s="15" t="s">
        <v>299</v>
      </c>
      <c r="U143" s="10"/>
      <c r="W143" s="97"/>
      <c r="X143" s="398"/>
      <c r="Y143" s="408"/>
      <c r="Z143" s="2" t="s">
        <v>677</v>
      </c>
      <c r="AA143" s="10">
        <v>4090180550</v>
      </c>
      <c r="AC143" s="42"/>
      <c r="AD143" s="18"/>
      <c r="AE143" s="398"/>
      <c r="AF143" s="406"/>
      <c r="AG143" s="11"/>
      <c r="AH143" s="37"/>
    </row>
    <row r="144" spans="1:34" ht="24.75" customHeight="1">
      <c r="A144" s="235" t="s">
        <v>849</v>
      </c>
      <c r="B144" s="235">
        <v>180551</v>
      </c>
      <c r="D144" s="2" t="s">
        <v>52</v>
      </c>
      <c r="E144" s="28">
        <v>46097</v>
      </c>
      <c r="F144" s="15"/>
      <c r="G144" s="15"/>
      <c r="H144" s="2"/>
      <c r="I144" s="2"/>
      <c r="J144" s="2"/>
      <c r="K144" s="2" t="s">
        <v>40</v>
      </c>
      <c r="L144" s="2" t="s">
        <v>55</v>
      </c>
      <c r="M144" s="2" t="s">
        <v>42</v>
      </c>
      <c r="N144" s="2" t="s">
        <v>43</v>
      </c>
      <c r="O144" s="10" t="s">
        <v>850</v>
      </c>
      <c r="P144" s="238"/>
      <c r="Q144" s="285"/>
      <c r="R144" s="398"/>
      <c r="S144" s="407"/>
      <c r="T144" s="15"/>
      <c r="U144" s="10"/>
      <c r="W144" s="97"/>
      <c r="X144" s="398"/>
      <c r="Y144" s="408"/>
      <c r="Z144" s="2" t="s">
        <v>677</v>
      </c>
      <c r="AA144" s="10">
        <v>4090180551</v>
      </c>
      <c r="AC144" s="42"/>
      <c r="AD144" s="18"/>
      <c r="AE144" s="398"/>
      <c r="AF144" s="406"/>
      <c r="AG144" s="11"/>
      <c r="AH144" s="37"/>
    </row>
    <row r="145" spans="1:34" ht="24.75" customHeight="1">
      <c r="A145" s="235" t="s">
        <v>851</v>
      </c>
      <c r="B145" s="235">
        <v>180552</v>
      </c>
      <c r="D145" s="2" t="s">
        <v>52</v>
      </c>
      <c r="E145" s="28">
        <v>46097</v>
      </c>
      <c r="F145" s="15"/>
      <c r="G145" s="15"/>
      <c r="H145" s="2"/>
      <c r="I145" s="2"/>
      <c r="J145" s="2"/>
      <c r="K145" s="2" t="s">
        <v>54</v>
      </c>
      <c r="L145" s="2" t="s">
        <v>41</v>
      </c>
      <c r="M145" s="2" t="s">
        <v>42</v>
      </c>
      <c r="N145" s="2" t="s">
        <v>43</v>
      </c>
      <c r="O145" s="10" t="s">
        <v>852</v>
      </c>
      <c r="P145" s="238"/>
      <c r="Q145" s="285"/>
      <c r="R145" s="398"/>
      <c r="S145" s="407"/>
      <c r="T145" s="15"/>
      <c r="U145" s="10"/>
      <c r="W145" s="97"/>
      <c r="X145" s="398"/>
      <c r="Y145" s="408"/>
      <c r="Z145" s="2" t="s">
        <v>677</v>
      </c>
      <c r="AA145" s="10">
        <v>4090180552</v>
      </c>
      <c r="AC145" s="42"/>
      <c r="AD145" s="18"/>
      <c r="AE145" s="398"/>
      <c r="AF145" s="406"/>
      <c r="AG145" s="11"/>
      <c r="AH145" s="37"/>
    </row>
    <row r="146" spans="1:34" ht="24.75" customHeight="1">
      <c r="A146" s="235" t="s">
        <v>853</v>
      </c>
      <c r="B146" s="235">
        <v>180553</v>
      </c>
      <c r="D146" s="2" t="s">
        <v>52</v>
      </c>
      <c r="E146" s="28">
        <v>46097</v>
      </c>
      <c r="F146" s="15"/>
      <c r="G146" s="15" t="s">
        <v>854</v>
      </c>
      <c r="H146" s="2"/>
      <c r="I146" s="2"/>
      <c r="J146" s="2"/>
      <c r="K146" s="2" t="s">
        <v>40</v>
      </c>
      <c r="L146" s="2" t="s">
        <v>55</v>
      </c>
      <c r="M146" s="2" t="s">
        <v>42</v>
      </c>
      <c r="N146" s="2" t="s">
        <v>43</v>
      </c>
      <c r="O146" s="10"/>
      <c r="P146" s="238"/>
      <c r="Q146" s="285"/>
      <c r="R146" s="398"/>
      <c r="S146" s="407"/>
      <c r="T146" s="15"/>
      <c r="U146" s="10"/>
      <c r="W146" s="97"/>
      <c r="X146" s="398"/>
      <c r="Y146" s="408"/>
      <c r="Z146" s="2" t="s">
        <v>677</v>
      </c>
      <c r="AA146" s="10">
        <v>4090180553</v>
      </c>
      <c r="AC146" s="42"/>
      <c r="AD146" s="18"/>
      <c r="AE146" s="398"/>
      <c r="AF146" s="406"/>
      <c r="AG146" s="11"/>
      <c r="AH146" s="37"/>
    </row>
    <row r="147" spans="1:34" ht="24.75" customHeight="1">
      <c r="A147" s="235" t="s">
        <v>855</v>
      </c>
      <c r="B147" s="235">
        <v>180561</v>
      </c>
      <c r="C147" s="42" t="s">
        <v>392</v>
      </c>
      <c r="D147" s="2" t="s">
        <v>52</v>
      </c>
      <c r="E147" s="28">
        <v>46098</v>
      </c>
      <c r="F147" s="15"/>
      <c r="G147" s="15"/>
      <c r="H147" s="2"/>
      <c r="I147" s="2"/>
      <c r="J147" s="2"/>
      <c r="K147" s="2" t="s">
        <v>40</v>
      </c>
      <c r="L147" s="2" t="s">
        <v>41</v>
      </c>
      <c r="M147" s="2" t="s">
        <v>42</v>
      </c>
      <c r="N147" s="2" t="s">
        <v>43</v>
      </c>
      <c r="O147" s="10" t="s">
        <v>856</v>
      </c>
      <c r="P147" s="238">
        <v>42030</v>
      </c>
      <c r="Q147" s="285"/>
      <c r="R147" s="398"/>
      <c r="S147" s="407"/>
      <c r="T147" s="15" t="s">
        <v>88</v>
      </c>
      <c r="U147" s="10"/>
      <c r="W147" s="97"/>
      <c r="X147" s="408">
        <v>46097</v>
      </c>
      <c r="Y147" s="408">
        <v>46098</v>
      </c>
      <c r="Z147" s="2" t="s">
        <v>677</v>
      </c>
      <c r="AA147" s="10">
        <v>4090180561</v>
      </c>
      <c r="AC147" s="42" t="s">
        <v>52</v>
      </c>
      <c r="AD147" s="18" t="s">
        <v>52</v>
      </c>
      <c r="AE147" s="398"/>
      <c r="AF147" s="406"/>
      <c r="AG147" s="11"/>
      <c r="AH147" s="37"/>
    </row>
    <row r="148" spans="1:34" ht="24.75" customHeight="1">
      <c r="A148" s="235" t="s">
        <v>857</v>
      </c>
      <c r="B148" s="235">
        <v>180565</v>
      </c>
      <c r="C148" s="393"/>
      <c r="D148" s="2" t="s">
        <v>52</v>
      </c>
      <c r="E148" s="28">
        <v>46098</v>
      </c>
      <c r="F148" s="15"/>
      <c r="G148" s="15"/>
      <c r="H148" s="2"/>
      <c r="I148" s="2"/>
      <c r="J148" s="2"/>
      <c r="K148" s="2"/>
      <c r="L148" s="2"/>
      <c r="M148" s="2"/>
      <c r="N148" s="2"/>
      <c r="O148" s="10"/>
      <c r="P148" s="238"/>
      <c r="Q148" s="285"/>
      <c r="R148" s="398"/>
      <c r="S148" s="407"/>
      <c r="T148" s="15"/>
      <c r="U148" s="10"/>
      <c r="W148" s="97"/>
      <c r="X148" s="398"/>
      <c r="Y148" s="408"/>
      <c r="Z148" s="2" t="s">
        <v>677</v>
      </c>
      <c r="AA148" s="10">
        <v>4090180565</v>
      </c>
      <c r="AC148" s="42"/>
      <c r="AD148" s="18"/>
      <c r="AE148" s="398"/>
      <c r="AF148" s="406"/>
      <c r="AG148" s="11"/>
      <c r="AH148" s="37"/>
    </row>
    <row r="149" spans="1:34" ht="24.75" customHeight="1">
      <c r="A149" s="235" t="s">
        <v>858</v>
      </c>
      <c r="B149" s="235">
        <v>180566</v>
      </c>
      <c r="C149" s="393"/>
      <c r="D149" s="2" t="s">
        <v>52</v>
      </c>
      <c r="E149" s="28">
        <v>46098</v>
      </c>
      <c r="F149" s="15"/>
      <c r="G149" s="15"/>
      <c r="H149" s="2"/>
      <c r="I149" s="2"/>
      <c r="J149" s="2"/>
      <c r="K149" s="2"/>
      <c r="L149" s="2"/>
      <c r="M149" s="2"/>
      <c r="N149" s="2"/>
      <c r="O149" s="10"/>
      <c r="P149" s="238"/>
      <c r="Q149" s="285"/>
      <c r="R149" s="398"/>
      <c r="S149" s="407"/>
      <c r="T149" s="15"/>
      <c r="U149" s="10"/>
      <c r="W149" s="97"/>
      <c r="X149" s="398"/>
      <c r="Y149" s="408"/>
      <c r="Z149" s="2" t="s">
        <v>677</v>
      </c>
      <c r="AA149" s="10">
        <v>4090180566</v>
      </c>
      <c r="AC149" s="42"/>
      <c r="AD149" s="18"/>
      <c r="AE149" s="398"/>
      <c r="AF149" s="406"/>
      <c r="AG149" s="11"/>
      <c r="AH149" s="37"/>
    </row>
    <row r="150" spans="1:34" ht="24.75" customHeight="1">
      <c r="C150" s="393"/>
      <c r="F150" s="15"/>
      <c r="G150" s="15"/>
      <c r="H150" s="2"/>
      <c r="I150" s="2"/>
      <c r="J150" s="2"/>
      <c r="K150" s="2"/>
      <c r="L150" s="2"/>
      <c r="M150" s="2"/>
      <c r="N150" s="2"/>
      <c r="O150" s="10"/>
      <c r="P150" s="238"/>
      <c r="Q150" s="285"/>
      <c r="R150" s="398"/>
      <c r="S150" s="407"/>
      <c r="T150" s="15"/>
      <c r="U150" s="10"/>
      <c r="W150" s="97"/>
      <c r="X150" s="398"/>
      <c r="Y150" s="408"/>
      <c r="Z150" s="2"/>
      <c r="AA150" s="10"/>
      <c r="AC150" s="42"/>
      <c r="AD150" s="18"/>
      <c r="AE150" s="398"/>
      <c r="AF150" s="406"/>
      <c r="AG150" s="11"/>
      <c r="AH150" s="37"/>
    </row>
    <row r="151" spans="1:34" ht="24.75" customHeight="1">
      <c r="C151" s="393"/>
      <c r="F151" s="15"/>
      <c r="G151" s="15"/>
      <c r="H151" s="2"/>
      <c r="I151" s="2"/>
      <c r="J151" s="2"/>
      <c r="K151" s="2"/>
      <c r="L151" s="2"/>
      <c r="M151" s="2"/>
      <c r="N151" s="2"/>
      <c r="O151" s="10"/>
      <c r="P151" s="238"/>
      <c r="Q151" s="285"/>
      <c r="R151" s="398"/>
      <c r="S151" s="407"/>
      <c r="T151" s="15"/>
      <c r="U151" s="10"/>
      <c r="W151" s="97"/>
      <c r="X151" s="398"/>
      <c r="Y151" s="408"/>
      <c r="Z151" s="2"/>
      <c r="AA151" s="10"/>
      <c r="AC151" s="42"/>
      <c r="AD151" s="18"/>
      <c r="AE151" s="398"/>
      <c r="AF151" s="406"/>
      <c r="AG151" s="11"/>
      <c r="AH151" s="37"/>
    </row>
    <row r="152" spans="1:34" ht="24.75" customHeight="1">
      <c r="C152" s="393"/>
      <c r="F152" s="15"/>
      <c r="G152" s="15"/>
      <c r="H152" s="2"/>
      <c r="I152" s="2"/>
      <c r="J152" s="2"/>
      <c r="K152" s="2"/>
      <c r="L152" s="2"/>
      <c r="M152" s="2"/>
      <c r="N152" s="2"/>
      <c r="O152" s="10"/>
      <c r="P152" s="238"/>
      <c r="Q152" s="285"/>
      <c r="R152" s="398"/>
      <c r="S152" s="407"/>
      <c r="T152" s="15"/>
      <c r="U152" s="10"/>
      <c r="W152" s="97"/>
      <c r="X152" s="398"/>
      <c r="Y152" s="408"/>
      <c r="Z152" s="2"/>
      <c r="AA152" s="10"/>
      <c r="AC152" s="42"/>
      <c r="AD152" s="18"/>
      <c r="AE152" s="398"/>
      <c r="AF152" s="406"/>
      <c r="AG152" s="11"/>
      <c r="AH152" s="37"/>
    </row>
    <row r="153" spans="1:34" ht="24.75" customHeight="1">
      <c r="C153" s="393"/>
      <c r="F153" s="15"/>
      <c r="G153" s="15"/>
      <c r="H153" s="2"/>
      <c r="I153" s="2"/>
      <c r="J153" s="2"/>
      <c r="K153" s="2"/>
      <c r="L153" s="2"/>
      <c r="M153" s="2"/>
      <c r="N153" s="2"/>
      <c r="O153" s="10"/>
      <c r="P153" s="238"/>
      <c r="Q153" s="285"/>
      <c r="R153" s="398"/>
      <c r="S153" s="407"/>
      <c r="T153" s="15"/>
      <c r="U153" s="10"/>
      <c r="W153" s="97"/>
      <c r="X153" s="398"/>
      <c r="Y153" s="408"/>
      <c r="Z153" s="2"/>
      <c r="AA153" s="10"/>
      <c r="AC153" s="42"/>
      <c r="AD153" s="18"/>
      <c r="AE153" s="398"/>
      <c r="AF153" s="406"/>
      <c r="AG153" s="11"/>
      <c r="AH153" s="37"/>
    </row>
    <row r="154" spans="1:34" ht="24.75" customHeight="1">
      <c r="C154" s="393"/>
      <c r="F154" s="15"/>
      <c r="G154" s="15"/>
      <c r="H154" s="2"/>
      <c r="I154" s="2"/>
      <c r="J154" s="2"/>
      <c r="K154" s="2"/>
      <c r="L154" s="2"/>
      <c r="M154" s="2"/>
      <c r="N154" s="2"/>
      <c r="O154" s="10"/>
      <c r="P154" s="238"/>
      <c r="Q154" s="285"/>
      <c r="R154" s="398"/>
      <c r="S154" s="407"/>
      <c r="T154" s="15"/>
      <c r="U154" s="10"/>
      <c r="W154" s="97"/>
      <c r="X154" s="398"/>
      <c r="Y154" s="408"/>
      <c r="Z154" s="2"/>
      <c r="AA154" s="10"/>
      <c r="AC154" s="42"/>
      <c r="AD154" s="18"/>
      <c r="AE154" s="398"/>
      <c r="AF154" s="406"/>
      <c r="AG154" s="11"/>
      <c r="AH154" s="37"/>
    </row>
    <row r="155" spans="1:34" ht="24.75" customHeight="1">
      <c r="C155" s="393"/>
      <c r="F155" s="15"/>
      <c r="G155" s="15"/>
      <c r="H155" s="2"/>
      <c r="I155" s="2"/>
      <c r="J155" s="2"/>
      <c r="K155" s="2"/>
      <c r="L155" s="2"/>
      <c r="M155" s="2"/>
      <c r="N155" s="2"/>
      <c r="O155" s="10"/>
      <c r="P155" s="238"/>
      <c r="Q155" s="285"/>
      <c r="R155" s="398"/>
      <c r="S155" s="407"/>
      <c r="T155" s="15"/>
      <c r="U155" s="10"/>
      <c r="W155" s="97"/>
      <c r="X155" s="398"/>
      <c r="Y155" s="408"/>
      <c r="Z155" s="2"/>
      <c r="AA155" s="10"/>
      <c r="AC155" s="42"/>
      <c r="AD155" s="18"/>
      <c r="AE155" s="398"/>
      <c r="AF155" s="406"/>
      <c r="AG155" s="11"/>
      <c r="AH155" s="37"/>
    </row>
    <row r="156" spans="1:34" ht="24.75" customHeight="1">
      <c r="C156" s="393"/>
      <c r="F156" s="15"/>
      <c r="G156" s="15"/>
      <c r="H156" s="2"/>
      <c r="I156" s="2"/>
      <c r="J156" s="2"/>
      <c r="K156" s="2"/>
      <c r="L156" s="2"/>
      <c r="M156" s="2"/>
      <c r="N156" s="2"/>
      <c r="O156" s="10"/>
      <c r="P156" s="238"/>
      <c r="Q156" s="285"/>
      <c r="R156" s="398"/>
      <c r="S156" s="407"/>
      <c r="T156" s="15"/>
      <c r="U156" s="10"/>
      <c r="W156" s="97"/>
      <c r="X156" s="398"/>
      <c r="Y156" s="408"/>
      <c r="Z156" s="2"/>
      <c r="AA156" s="10"/>
      <c r="AC156" s="42"/>
      <c r="AD156" s="18"/>
      <c r="AE156" s="398"/>
      <c r="AF156" s="406"/>
      <c r="AG156" s="11"/>
      <c r="AH156" s="37"/>
    </row>
    <row r="157" spans="1:34" ht="24.75" customHeight="1">
      <c r="C157" s="393"/>
      <c r="F157" s="15"/>
      <c r="G157" s="15"/>
      <c r="H157" s="2"/>
      <c r="I157" s="2"/>
      <c r="J157" s="2"/>
      <c r="K157" s="2"/>
      <c r="L157" s="2"/>
      <c r="M157" s="2"/>
      <c r="N157" s="2"/>
      <c r="O157" s="10"/>
      <c r="P157" s="238"/>
      <c r="Q157" s="285"/>
      <c r="R157" s="398"/>
      <c r="S157" s="407"/>
      <c r="T157" s="15"/>
      <c r="U157" s="10"/>
      <c r="W157" s="97"/>
      <c r="X157" s="398"/>
      <c r="Y157" s="408"/>
      <c r="Z157" s="2"/>
      <c r="AA157" s="10"/>
      <c r="AC157" s="42"/>
      <c r="AD157" s="18"/>
      <c r="AE157" s="398"/>
      <c r="AF157" s="406"/>
      <c r="AG157" s="11"/>
      <c r="AH157" s="37"/>
    </row>
    <row r="158" spans="1:34" ht="24.75" customHeight="1">
      <c r="C158" s="393"/>
      <c r="F158" s="15"/>
      <c r="G158" s="15"/>
      <c r="H158" s="2"/>
      <c r="I158" s="2"/>
      <c r="J158" s="2"/>
      <c r="K158" s="2"/>
      <c r="L158" s="2"/>
      <c r="M158" s="2"/>
      <c r="N158" s="2"/>
      <c r="O158" s="10"/>
      <c r="P158" s="238"/>
      <c r="Q158" s="285"/>
      <c r="R158" s="398"/>
      <c r="S158" s="407"/>
      <c r="T158" s="15"/>
      <c r="U158" s="10"/>
      <c r="W158" s="97"/>
      <c r="X158" s="398"/>
      <c r="Y158" s="408"/>
      <c r="Z158" s="2"/>
      <c r="AA158" s="10"/>
      <c r="AC158" s="42"/>
      <c r="AD158" s="18"/>
      <c r="AE158" s="398"/>
      <c r="AF158" s="406"/>
      <c r="AG158" s="11"/>
      <c r="AH158" s="37"/>
    </row>
    <row r="159" spans="1:34" ht="24.75" customHeight="1">
      <c r="C159" s="393"/>
      <c r="F159" s="15"/>
      <c r="G159" s="15"/>
      <c r="H159" s="2"/>
      <c r="I159" s="2"/>
      <c r="J159" s="2"/>
      <c r="K159" s="2"/>
      <c r="L159" s="2"/>
      <c r="M159" s="2"/>
      <c r="N159" s="2"/>
      <c r="O159" s="10"/>
      <c r="P159" s="238"/>
      <c r="Q159" s="285"/>
      <c r="R159" s="398"/>
      <c r="S159" s="407"/>
      <c r="T159" s="15"/>
      <c r="U159" s="10"/>
      <c r="W159" s="97"/>
      <c r="X159" s="398"/>
      <c r="Y159" s="408"/>
      <c r="Z159" s="2"/>
      <c r="AA159" s="10"/>
      <c r="AC159" s="42"/>
      <c r="AD159" s="18"/>
      <c r="AE159" s="398"/>
      <c r="AF159" s="406"/>
      <c r="AG159" s="11"/>
      <c r="AH159" s="37"/>
    </row>
    <row r="160" spans="1:34" ht="24.75" customHeight="1">
      <c r="C160" s="393"/>
      <c r="F160" s="15"/>
      <c r="G160" s="15"/>
      <c r="H160" s="2"/>
      <c r="I160" s="2"/>
      <c r="J160" s="2"/>
      <c r="K160" s="2"/>
      <c r="L160" s="2"/>
      <c r="M160" s="2"/>
      <c r="N160" s="2"/>
      <c r="O160" s="10"/>
      <c r="P160" s="238"/>
      <c r="Q160" s="285"/>
      <c r="R160" s="398"/>
      <c r="S160" s="407"/>
      <c r="T160" s="15"/>
      <c r="U160" s="10"/>
      <c r="W160" s="97"/>
      <c r="X160" s="398"/>
      <c r="Y160" s="408"/>
      <c r="Z160" s="2"/>
      <c r="AA160" s="10"/>
      <c r="AC160" s="42"/>
      <c r="AD160" s="18"/>
      <c r="AE160" s="398"/>
      <c r="AF160" s="406"/>
      <c r="AG160" s="11"/>
      <c r="AH160" s="37"/>
    </row>
    <row r="161" spans="3:34" ht="24.75" customHeight="1">
      <c r="C161" s="393"/>
      <c r="F161" s="15"/>
      <c r="G161" s="15"/>
      <c r="H161" s="2"/>
      <c r="I161" s="2"/>
      <c r="J161" s="2"/>
      <c r="K161" s="2"/>
      <c r="L161" s="2"/>
      <c r="M161" s="2"/>
      <c r="N161" s="2"/>
      <c r="O161" s="10"/>
      <c r="P161" s="238"/>
      <c r="Q161" s="285"/>
      <c r="R161" s="398"/>
      <c r="S161" s="407"/>
      <c r="T161" s="15"/>
      <c r="U161" s="10"/>
      <c r="W161" s="97"/>
      <c r="X161" s="398"/>
      <c r="Y161" s="408"/>
      <c r="Z161" s="2"/>
      <c r="AA161" s="10"/>
      <c r="AC161" s="42"/>
      <c r="AD161" s="18"/>
      <c r="AE161" s="398"/>
      <c r="AF161" s="406"/>
      <c r="AG161" s="11"/>
      <c r="AH161" s="37"/>
    </row>
    <row r="162" spans="3:34" ht="24.75" customHeight="1">
      <c r="C162" s="393"/>
      <c r="F162" s="15"/>
      <c r="G162" s="15"/>
      <c r="H162" s="2"/>
      <c r="I162" s="2"/>
      <c r="J162" s="2"/>
      <c r="K162" s="2"/>
      <c r="L162" s="2"/>
      <c r="M162" s="2"/>
      <c r="N162" s="2"/>
      <c r="O162" s="10"/>
      <c r="P162" s="238"/>
      <c r="Q162" s="285"/>
      <c r="R162" s="398"/>
      <c r="S162" s="407"/>
      <c r="T162" s="15"/>
      <c r="U162" s="10"/>
      <c r="W162" s="97"/>
      <c r="X162" s="398"/>
      <c r="Y162" s="408"/>
      <c r="Z162" s="2"/>
      <c r="AA162" s="10"/>
      <c r="AC162" s="42"/>
      <c r="AD162" s="18"/>
      <c r="AE162" s="398"/>
      <c r="AF162" s="406"/>
      <c r="AG162" s="11"/>
      <c r="AH162" s="37"/>
    </row>
    <row r="163" spans="3:34" ht="24.75" customHeight="1">
      <c r="C163" s="393"/>
      <c r="F163" s="15"/>
      <c r="G163" s="15"/>
      <c r="H163" s="2"/>
      <c r="I163" s="2"/>
      <c r="J163" s="2"/>
      <c r="K163" s="2"/>
      <c r="L163" s="2"/>
      <c r="M163" s="2"/>
      <c r="N163" s="2"/>
      <c r="O163" s="10"/>
      <c r="P163" s="238"/>
      <c r="Q163" s="285"/>
      <c r="R163" s="398"/>
      <c r="S163" s="407"/>
      <c r="T163" s="15"/>
      <c r="U163" s="10"/>
      <c r="W163" s="97"/>
      <c r="X163" s="398"/>
      <c r="Y163" s="408"/>
      <c r="Z163" s="2"/>
      <c r="AA163" s="10"/>
      <c r="AC163" s="42"/>
      <c r="AD163" s="18"/>
      <c r="AE163" s="398"/>
      <c r="AF163" s="406"/>
      <c r="AG163" s="11"/>
      <c r="AH163" s="37"/>
    </row>
    <row r="164" spans="3:34" ht="24.75" customHeight="1">
      <c r="C164" s="393"/>
      <c r="F164" s="15"/>
      <c r="G164" s="15"/>
      <c r="H164" s="2"/>
      <c r="I164" s="2"/>
      <c r="J164" s="2"/>
      <c r="K164" s="2"/>
      <c r="L164" s="2"/>
      <c r="M164" s="2"/>
      <c r="N164" s="2"/>
      <c r="O164" s="10"/>
      <c r="P164" s="238"/>
      <c r="Q164" s="285"/>
      <c r="R164" s="398"/>
      <c r="S164" s="407"/>
      <c r="T164" s="15"/>
      <c r="U164" s="10"/>
      <c r="W164" s="97"/>
      <c r="X164" s="398"/>
      <c r="Y164" s="408"/>
      <c r="Z164" s="2"/>
      <c r="AA164" s="10"/>
      <c r="AC164" s="42"/>
      <c r="AD164" s="18"/>
      <c r="AE164" s="398"/>
      <c r="AF164" s="406"/>
      <c r="AG164" s="11"/>
      <c r="AH164" s="37"/>
    </row>
    <row r="165" spans="3:34" ht="24.75" customHeight="1">
      <c r="C165" s="393"/>
      <c r="F165" s="15"/>
      <c r="G165" s="15"/>
      <c r="H165" s="2"/>
      <c r="I165" s="2"/>
      <c r="J165" s="2"/>
      <c r="K165" s="2"/>
      <c r="L165" s="2"/>
      <c r="M165" s="2"/>
      <c r="N165" s="2"/>
      <c r="O165" s="10"/>
      <c r="P165" s="238"/>
      <c r="Q165" s="285"/>
      <c r="R165" s="398"/>
      <c r="S165" s="407"/>
      <c r="T165" s="15"/>
      <c r="U165" s="10"/>
      <c r="W165" s="97"/>
      <c r="X165" s="398"/>
      <c r="Y165" s="408"/>
      <c r="Z165" s="2"/>
      <c r="AA165" s="10"/>
      <c r="AC165" s="42"/>
      <c r="AD165" s="18"/>
      <c r="AE165" s="398"/>
      <c r="AF165" s="406"/>
      <c r="AG165" s="11"/>
      <c r="AH165" s="37"/>
    </row>
    <row r="166" spans="3:34" ht="24.75" customHeight="1">
      <c r="C166" s="393"/>
      <c r="F166" s="15"/>
      <c r="G166" s="15"/>
      <c r="H166" s="2"/>
      <c r="I166" s="2"/>
      <c r="J166" s="2"/>
      <c r="K166" s="2"/>
      <c r="L166" s="2"/>
      <c r="M166" s="2"/>
      <c r="N166" s="2"/>
      <c r="O166" s="10"/>
      <c r="P166" s="238"/>
      <c r="Q166" s="285"/>
      <c r="R166" s="398"/>
      <c r="S166" s="407"/>
      <c r="T166" s="15"/>
      <c r="U166" s="10"/>
      <c r="W166" s="97"/>
      <c r="X166" s="398"/>
      <c r="Y166" s="408"/>
      <c r="Z166" s="2"/>
      <c r="AA166" s="10"/>
      <c r="AC166" s="42"/>
      <c r="AD166" s="18"/>
      <c r="AE166" s="398"/>
      <c r="AF166" s="406"/>
      <c r="AG166" s="11"/>
      <c r="AH166" s="37"/>
    </row>
    <row r="167" spans="3:34" ht="24.75" customHeight="1">
      <c r="C167" s="393"/>
      <c r="F167" s="15"/>
      <c r="G167" s="15"/>
      <c r="H167" s="2"/>
      <c r="I167" s="2"/>
      <c r="J167" s="2"/>
      <c r="K167" s="2"/>
      <c r="L167" s="2"/>
      <c r="M167" s="2"/>
      <c r="N167" s="2"/>
      <c r="O167" s="10"/>
      <c r="P167" s="238"/>
      <c r="Q167" s="285"/>
      <c r="R167" s="398"/>
      <c r="S167" s="407"/>
      <c r="T167" s="15"/>
      <c r="U167" s="10"/>
      <c r="W167" s="97"/>
      <c r="X167" s="398"/>
      <c r="Y167" s="408"/>
      <c r="Z167" s="2"/>
      <c r="AA167" s="10"/>
      <c r="AC167" s="42"/>
      <c r="AD167" s="18"/>
      <c r="AE167" s="398"/>
      <c r="AF167" s="406"/>
      <c r="AG167" s="11"/>
      <c r="AH167" s="37"/>
    </row>
    <row r="168" spans="3:34" ht="24.75" customHeight="1">
      <c r="C168" s="393"/>
      <c r="F168" s="15"/>
      <c r="G168" s="15"/>
      <c r="H168" s="2"/>
      <c r="I168" s="2"/>
      <c r="J168" s="2"/>
      <c r="K168" s="2"/>
      <c r="L168" s="2"/>
      <c r="M168" s="2"/>
      <c r="N168" s="2"/>
      <c r="O168" s="10"/>
      <c r="P168" s="238"/>
      <c r="Q168" s="285"/>
      <c r="R168" s="398"/>
      <c r="S168" s="407"/>
      <c r="T168" s="15"/>
      <c r="U168" s="10"/>
      <c r="W168" s="97"/>
      <c r="X168" s="398"/>
      <c r="Y168" s="408"/>
      <c r="Z168" s="2"/>
      <c r="AA168" s="10"/>
      <c r="AC168" s="42"/>
      <c r="AD168" s="18"/>
      <c r="AE168" s="398"/>
      <c r="AF168" s="406"/>
      <c r="AG168" s="11"/>
      <c r="AH168" s="37"/>
    </row>
    <row r="169" spans="3:34" ht="24.75" customHeight="1">
      <c r="C169" s="393"/>
      <c r="F169" s="15"/>
      <c r="G169" s="15"/>
      <c r="H169" s="2"/>
      <c r="I169" s="2"/>
      <c r="J169" s="2"/>
      <c r="K169" s="2"/>
      <c r="L169" s="2"/>
      <c r="M169" s="2"/>
      <c r="N169" s="2"/>
      <c r="O169" s="10"/>
      <c r="P169" s="238"/>
      <c r="Q169" s="285"/>
      <c r="R169" s="398"/>
      <c r="S169" s="407"/>
      <c r="T169" s="15"/>
      <c r="U169" s="10"/>
      <c r="W169" s="97"/>
      <c r="X169" s="398"/>
      <c r="Y169" s="408"/>
      <c r="Z169" s="2"/>
      <c r="AA169" s="10"/>
      <c r="AC169" s="42"/>
      <c r="AD169" s="18"/>
      <c r="AE169" s="398"/>
      <c r="AF169" s="406"/>
      <c r="AG169" s="11"/>
      <c r="AH169" s="37"/>
    </row>
    <row r="170" spans="3:34" ht="24.75" customHeight="1">
      <c r="C170" s="393"/>
      <c r="F170" s="15"/>
      <c r="G170" s="15"/>
      <c r="H170" s="2"/>
      <c r="I170" s="2"/>
      <c r="J170" s="2"/>
      <c r="K170" s="2"/>
      <c r="L170" s="2"/>
      <c r="M170" s="2"/>
      <c r="N170" s="2"/>
      <c r="O170" s="10"/>
      <c r="P170" s="238"/>
      <c r="Q170" s="285"/>
      <c r="R170" s="398"/>
      <c r="S170" s="407"/>
      <c r="T170" s="15"/>
      <c r="U170" s="10"/>
      <c r="W170" s="97"/>
      <c r="X170" s="398"/>
      <c r="Y170" s="408"/>
      <c r="Z170" s="2"/>
      <c r="AA170" s="10"/>
      <c r="AC170" s="42"/>
      <c r="AD170" s="18"/>
      <c r="AE170" s="398"/>
      <c r="AF170" s="406"/>
      <c r="AG170" s="11"/>
      <c r="AH170" s="37"/>
    </row>
    <row r="171" spans="3:34" ht="24.75" customHeight="1">
      <c r="C171" s="393"/>
      <c r="F171" s="15"/>
      <c r="G171" s="15"/>
      <c r="H171" s="2"/>
      <c r="I171" s="2"/>
      <c r="J171" s="2"/>
      <c r="K171" s="2"/>
      <c r="L171" s="2"/>
      <c r="M171" s="2"/>
      <c r="N171" s="2"/>
      <c r="O171" s="10"/>
      <c r="P171" s="238"/>
      <c r="Q171" s="285"/>
      <c r="R171" s="398"/>
      <c r="S171" s="407"/>
      <c r="T171" s="15"/>
      <c r="U171" s="10"/>
      <c r="W171" s="97"/>
      <c r="X171" s="398"/>
      <c r="Y171" s="408"/>
      <c r="Z171" s="2"/>
      <c r="AA171" s="10"/>
      <c r="AC171" s="42"/>
      <c r="AD171" s="18"/>
      <c r="AE171" s="398"/>
      <c r="AF171" s="406"/>
      <c r="AG171" s="11"/>
      <c r="AH171" s="37"/>
    </row>
    <row r="172" spans="3:34" ht="24.75" customHeight="1">
      <c r="C172" s="393"/>
      <c r="F172" s="15"/>
      <c r="G172" s="15"/>
      <c r="H172" s="2"/>
      <c r="I172" s="2"/>
      <c r="J172" s="2"/>
      <c r="K172" s="2"/>
      <c r="L172" s="2"/>
      <c r="M172" s="2"/>
      <c r="N172" s="2"/>
      <c r="O172" s="10"/>
      <c r="P172" s="238"/>
      <c r="Q172" s="285"/>
      <c r="R172" s="398"/>
      <c r="S172" s="407"/>
      <c r="T172" s="15"/>
      <c r="U172" s="10"/>
      <c r="W172" s="97"/>
      <c r="X172" s="398"/>
      <c r="Y172" s="408"/>
      <c r="Z172" s="2"/>
      <c r="AA172" s="10"/>
      <c r="AC172" s="42"/>
      <c r="AD172" s="18"/>
      <c r="AE172" s="398"/>
      <c r="AF172" s="406"/>
      <c r="AG172" s="11"/>
      <c r="AH172" s="37"/>
    </row>
    <row r="173" spans="3:34" ht="24.75" customHeight="1">
      <c r="C173" s="393"/>
      <c r="F173" s="15"/>
      <c r="G173" s="15"/>
      <c r="H173" s="2"/>
      <c r="I173" s="2"/>
      <c r="J173" s="2"/>
      <c r="K173" s="2"/>
      <c r="L173" s="2"/>
      <c r="M173" s="2"/>
      <c r="N173" s="2"/>
      <c r="O173" s="10"/>
      <c r="P173" s="238"/>
      <c r="Q173" s="285"/>
      <c r="R173" s="398"/>
      <c r="S173" s="407"/>
      <c r="T173" s="15"/>
      <c r="U173" s="10"/>
      <c r="W173" s="97"/>
      <c r="X173" s="398"/>
      <c r="Y173" s="408"/>
      <c r="Z173" s="2"/>
      <c r="AA173" s="10"/>
      <c r="AC173" s="42"/>
      <c r="AD173" s="18"/>
      <c r="AE173" s="398"/>
      <c r="AF173" s="406"/>
      <c r="AG173" s="11"/>
      <c r="AH173" s="37"/>
    </row>
    <row r="174" spans="3:34" ht="24.75" customHeight="1">
      <c r="C174" s="393"/>
      <c r="F174" s="15"/>
      <c r="G174" s="15"/>
      <c r="H174" s="2"/>
      <c r="I174" s="2"/>
      <c r="J174" s="2"/>
      <c r="K174" s="2"/>
      <c r="L174" s="2"/>
      <c r="M174" s="2"/>
      <c r="N174" s="2"/>
      <c r="O174" s="10"/>
      <c r="P174" s="238"/>
      <c r="Q174" s="285"/>
      <c r="R174" s="398"/>
      <c r="S174" s="407"/>
      <c r="T174" s="15"/>
      <c r="U174" s="10"/>
      <c r="W174" s="97"/>
      <c r="X174" s="398"/>
      <c r="Y174" s="408"/>
      <c r="Z174" s="2"/>
      <c r="AA174" s="10"/>
      <c r="AC174" s="42"/>
      <c r="AD174" s="18"/>
      <c r="AE174" s="398"/>
      <c r="AF174" s="406"/>
      <c r="AG174" s="11"/>
      <c r="AH174" s="37"/>
    </row>
    <row r="175" spans="3:34" ht="24.75" customHeight="1">
      <c r="C175" s="393"/>
      <c r="F175" s="15"/>
      <c r="G175" s="15"/>
      <c r="H175" s="2"/>
      <c r="I175" s="2"/>
      <c r="J175" s="2"/>
      <c r="K175" s="2"/>
      <c r="L175" s="2"/>
      <c r="M175" s="2"/>
      <c r="N175" s="2"/>
      <c r="O175" s="10"/>
      <c r="P175" s="238"/>
      <c r="Q175" s="285"/>
      <c r="R175" s="398"/>
      <c r="S175" s="407"/>
      <c r="T175" s="15"/>
      <c r="U175" s="10"/>
      <c r="W175" s="97"/>
      <c r="X175" s="398"/>
      <c r="Y175" s="408"/>
      <c r="Z175" s="2"/>
      <c r="AA175" s="10"/>
      <c r="AC175" s="42"/>
      <c r="AD175" s="18"/>
      <c r="AE175" s="398"/>
      <c r="AF175" s="406"/>
      <c r="AG175" s="11"/>
      <c r="AH175" s="37"/>
    </row>
    <row r="176" spans="3:34" ht="24.75" customHeight="1">
      <c r="C176" s="393"/>
      <c r="F176" s="15"/>
      <c r="G176" s="15"/>
      <c r="H176" s="2"/>
      <c r="I176" s="2"/>
      <c r="J176" s="2"/>
      <c r="K176" s="2"/>
      <c r="L176" s="2"/>
      <c r="M176" s="2"/>
      <c r="N176" s="2"/>
      <c r="O176" s="10"/>
      <c r="P176" s="238"/>
      <c r="Q176" s="285"/>
      <c r="R176" s="398"/>
      <c r="S176" s="407"/>
      <c r="T176" s="15"/>
      <c r="U176" s="10"/>
      <c r="W176" s="97"/>
      <c r="X176" s="398"/>
      <c r="Y176" s="408"/>
      <c r="Z176" s="2"/>
      <c r="AA176" s="10"/>
      <c r="AC176" s="42"/>
      <c r="AD176" s="18"/>
      <c r="AE176" s="398"/>
      <c r="AF176" s="406"/>
      <c r="AG176" s="11"/>
      <c r="AH176" s="37"/>
    </row>
    <row r="177" spans="3:34" ht="24.75" customHeight="1">
      <c r="C177" s="393"/>
      <c r="F177" s="15"/>
      <c r="G177" s="15"/>
      <c r="H177" s="2"/>
      <c r="I177" s="2"/>
      <c r="J177" s="2"/>
      <c r="K177" s="2"/>
      <c r="L177" s="2"/>
      <c r="M177" s="2"/>
      <c r="N177" s="2"/>
      <c r="O177" s="10"/>
      <c r="P177" s="238"/>
      <c r="Q177" s="285"/>
      <c r="R177" s="398"/>
      <c r="S177" s="407"/>
      <c r="T177" s="15"/>
      <c r="U177" s="10"/>
      <c r="W177" s="97"/>
      <c r="X177" s="398"/>
      <c r="Y177" s="408"/>
      <c r="Z177" s="2"/>
      <c r="AA177" s="10"/>
      <c r="AC177" s="42"/>
      <c r="AD177" s="18"/>
      <c r="AE177" s="398"/>
      <c r="AF177" s="406"/>
      <c r="AG177" s="11"/>
      <c r="AH177" s="37"/>
    </row>
    <row r="178" spans="3:34" ht="24.75" customHeight="1">
      <c r="C178" s="393"/>
      <c r="F178" s="15"/>
      <c r="G178" s="15"/>
      <c r="H178" s="2"/>
      <c r="I178" s="2"/>
      <c r="J178" s="2"/>
      <c r="K178" s="2"/>
      <c r="L178" s="2"/>
      <c r="M178" s="2"/>
      <c r="N178" s="2"/>
      <c r="O178" s="10"/>
      <c r="P178" s="238"/>
      <c r="Q178" s="285"/>
      <c r="R178" s="398"/>
      <c r="S178" s="407"/>
      <c r="T178" s="15"/>
      <c r="U178" s="10"/>
      <c r="W178" s="97"/>
      <c r="X178" s="398"/>
      <c r="Y178" s="408"/>
      <c r="Z178" s="2"/>
      <c r="AA178" s="10"/>
      <c r="AC178" s="42"/>
      <c r="AD178" s="18"/>
      <c r="AE178" s="398"/>
      <c r="AF178" s="406"/>
      <c r="AG178" s="11"/>
      <c r="AH178" s="37"/>
    </row>
    <row r="179" spans="3:34" ht="24.75" customHeight="1">
      <c r="C179" s="393"/>
      <c r="F179" s="15"/>
      <c r="G179" s="15"/>
      <c r="H179" s="2"/>
      <c r="I179" s="2"/>
      <c r="J179" s="2"/>
      <c r="K179" s="2"/>
      <c r="L179" s="2"/>
      <c r="M179" s="2"/>
      <c r="N179" s="2"/>
      <c r="O179" s="10"/>
      <c r="P179" s="238"/>
      <c r="Q179" s="285"/>
      <c r="R179" s="398"/>
      <c r="S179" s="407"/>
      <c r="T179" s="15"/>
      <c r="U179" s="10"/>
      <c r="W179" s="97"/>
      <c r="X179" s="398"/>
      <c r="Y179" s="408"/>
      <c r="Z179" s="2"/>
      <c r="AA179" s="10"/>
      <c r="AC179" s="42"/>
      <c r="AD179" s="18"/>
      <c r="AE179" s="398"/>
      <c r="AF179" s="406"/>
      <c r="AG179" s="11"/>
      <c r="AH179" s="37"/>
    </row>
    <row r="180" spans="3:34" ht="24.75" customHeight="1">
      <c r="C180" s="393"/>
      <c r="F180" s="15"/>
      <c r="G180" s="15"/>
      <c r="H180" s="2"/>
      <c r="I180" s="2"/>
      <c r="J180" s="2"/>
      <c r="K180" s="2"/>
      <c r="L180" s="2"/>
      <c r="M180" s="2"/>
      <c r="N180" s="2"/>
      <c r="O180" s="10"/>
      <c r="P180" s="238"/>
      <c r="Q180" s="285"/>
      <c r="R180" s="398"/>
      <c r="S180" s="407"/>
      <c r="T180" s="15"/>
      <c r="U180" s="10"/>
      <c r="W180" s="97"/>
      <c r="X180" s="398"/>
      <c r="Y180" s="408"/>
      <c r="Z180" s="2"/>
      <c r="AA180" s="10"/>
      <c r="AC180" s="42"/>
      <c r="AD180" s="18"/>
      <c r="AE180" s="398"/>
      <c r="AF180" s="406"/>
      <c r="AG180" s="11"/>
      <c r="AH180" s="37"/>
    </row>
    <row r="181" spans="3:34" ht="24.75" customHeight="1">
      <c r="C181" s="393"/>
      <c r="F181" s="15"/>
      <c r="G181" s="15"/>
      <c r="H181" s="2"/>
      <c r="I181" s="2"/>
      <c r="J181" s="2"/>
      <c r="K181" s="2"/>
      <c r="L181" s="2"/>
      <c r="M181" s="2"/>
      <c r="N181" s="2"/>
      <c r="O181" s="10"/>
      <c r="P181" s="238"/>
      <c r="Q181" s="285"/>
      <c r="R181" s="398"/>
      <c r="S181" s="407"/>
      <c r="T181" s="15"/>
      <c r="U181" s="10"/>
      <c r="W181" s="97"/>
      <c r="X181" s="398"/>
      <c r="Y181" s="408"/>
      <c r="Z181" s="2"/>
      <c r="AA181" s="10"/>
      <c r="AC181" s="42"/>
      <c r="AD181" s="18"/>
      <c r="AE181" s="398"/>
      <c r="AF181" s="406"/>
      <c r="AG181" s="11"/>
      <c r="AH181" s="37"/>
    </row>
    <row r="182" spans="3:34" ht="24.75" customHeight="1">
      <c r="C182" s="393"/>
      <c r="F182" s="15"/>
      <c r="G182" s="15"/>
      <c r="H182" s="2"/>
      <c r="I182" s="2"/>
      <c r="J182" s="2"/>
      <c r="K182" s="2"/>
      <c r="L182" s="2"/>
      <c r="M182" s="2"/>
      <c r="N182" s="2"/>
      <c r="O182" s="10"/>
      <c r="P182" s="238"/>
      <c r="Q182" s="285"/>
      <c r="R182" s="398"/>
      <c r="S182" s="407"/>
      <c r="T182" s="15"/>
      <c r="U182" s="10"/>
      <c r="W182" s="97"/>
      <c r="X182" s="398"/>
      <c r="Y182" s="408"/>
      <c r="Z182" s="2"/>
      <c r="AA182" s="10"/>
      <c r="AC182" s="42"/>
      <c r="AD182" s="18"/>
      <c r="AE182" s="398"/>
      <c r="AF182" s="406"/>
      <c r="AG182" s="11"/>
      <c r="AH182" s="37"/>
    </row>
    <row r="183" spans="3:34" ht="24.75" customHeight="1">
      <c r="C183" s="393"/>
      <c r="F183" s="15"/>
      <c r="G183" s="15"/>
      <c r="H183" s="2"/>
      <c r="I183" s="2"/>
      <c r="J183" s="2"/>
      <c r="K183" s="2"/>
      <c r="L183" s="2"/>
      <c r="M183" s="2"/>
      <c r="N183" s="2"/>
      <c r="O183" s="10"/>
      <c r="P183" s="238"/>
      <c r="Q183" s="285"/>
      <c r="R183" s="398"/>
      <c r="S183" s="407"/>
      <c r="T183" s="15"/>
      <c r="U183" s="10"/>
      <c r="W183" s="97"/>
      <c r="X183" s="398"/>
      <c r="Y183" s="408"/>
      <c r="Z183" s="2"/>
      <c r="AA183" s="10"/>
      <c r="AC183" s="42"/>
      <c r="AD183" s="18"/>
      <c r="AE183" s="398"/>
      <c r="AF183" s="406"/>
      <c r="AG183" s="11"/>
      <c r="AH183" s="37"/>
    </row>
    <row r="184" spans="3:34" ht="24.75" customHeight="1">
      <c r="C184" s="393"/>
      <c r="F184" s="15"/>
      <c r="G184" s="15"/>
      <c r="H184" s="2"/>
      <c r="I184" s="2"/>
      <c r="J184" s="2"/>
      <c r="K184" s="2"/>
      <c r="L184" s="2"/>
      <c r="M184" s="2"/>
      <c r="N184" s="2"/>
      <c r="O184" s="10"/>
      <c r="P184" s="238"/>
      <c r="Q184" s="285"/>
      <c r="R184" s="398"/>
      <c r="S184" s="407"/>
      <c r="T184" s="15"/>
      <c r="U184" s="10"/>
      <c r="W184" s="97"/>
      <c r="X184" s="398"/>
      <c r="Y184" s="408"/>
      <c r="Z184" s="2"/>
      <c r="AA184" s="10"/>
      <c r="AC184" s="42"/>
      <c r="AD184" s="18"/>
      <c r="AE184" s="398"/>
      <c r="AF184" s="406"/>
      <c r="AG184" s="11"/>
      <c r="AH184" s="37"/>
    </row>
    <row r="185" spans="3:34" ht="24.75" customHeight="1">
      <c r="C185" s="393"/>
      <c r="F185" s="15"/>
      <c r="G185" s="15"/>
      <c r="H185" s="2"/>
      <c r="I185" s="2"/>
      <c r="J185" s="2"/>
      <c r="K185" s="2"/>
      <c r="L185" s="2"/>
      <c r="M185" s="2"/>
      <c r="N185" s="2"/>
      <c r="O185" s="10"/>
      <c r="P185" s="238"/>
      <c r="Q185" s="285"/>
      <c r="R185" s="398"/>
      <c r="S185" s="407"/>
      <c r="T185" s="15"/>
      <c r="U185" s="10"/>
      <c r="W185" s="97"/>
      <c r="X185" s="398"/>
      <c r="Y185" s="408"/>
      <c r="Z185" s="2"/>
      <c r="AA185" s="10"/>
      <c r="AC185" s="42"/>
      <c r="AD185" s="18"/>
      <c r="AE185" s="398"/>
      <c r="AF185" s="406"/>
      <c r="AG185" s="11"/>
      <c r="AH185" s="37"/>
    </row>
    <row r="186" spans="3:34" ht="24.75" customHeight="1">
      <c r="C186" s="393"/>
      <c r="F186" s="15"/>
      <c r="G186" s="15"/>
      <c r="H186" s="2"/>
      <c r="I186" s="2"/>
      <c r="J186" s="2"/>
      <c r="K186" s="2"/>
      <c r="L186" s="2"/>
      <c r="M186" s="2"/>
      <c r="N186" s="2"/>
      <c r="O186" s="10"/>
      <c r="P186" s="238"/>
      <c r="Q186" s="285"/>
      <c r="R186" s="398"/>
      <c r="S186" s="407"/>
      <c r="T186" s="15"/>
      <c r="U186" s="10"/>
      <c r="W186" s="97"/>
      <c r="X186" s="398"/>
      <c r="Y186" s="408"/>
      <c r="Z186" s="2"/>
      <c r="AA186" s="10"/>
      <c r="AC186" s="42"/>
      <c r="AD186" s="18"/>
      <c r="AE186" s="398"/>
      <c r="AF186" s="406"/>
      <c r="AG186" s="11"/>
      <c r="AH186" s="37"/>
    </row>
    <row r="187" spans="3:34" ht="24.75" customHeight="1">
      <c r="C187" s="393"/>
      <c r="F187" s="15"/>
      <c r="G187" s="15"/>
      <c r="H187" s="2"/>
      <c r="I187" s="2"/>
      <c r="J187" s="2"/>
      <c r="K187" s="2"/>
      <c r="L187" s="2"/>
      <c r="M187" s="2"/>
      <c r="N187" s="2"/>
      <c r="O187" s="10"/>
      <c r="P187" s="238"/>
      <c r="Q187" s="285"/>
      <c r="R187" s="398"/>
      <c r="S187" s="407"/>
      <c r="T187" s="15"/>
      <c r="U187" s="10"/>
      <c r="W187" s="97"/>
      <c r="X187" s="398"/>
      <c r="Y187" s="408"/>
      <c r="Z187" s="2"/>
      <c r="AA187" s="10"/>
      <c r="AC187" s="42"/>
      <c r="AD187" s="18"/>
      <c r="AE187" s="398"/>
      <c r="AF187" s="406"/>
      <c r="AG187" s="11"/>
      <c r="AH187" s="37"/>
    </row>
    <row r="188" spans="3:34" ht="24.75" customHeight="1">
      <c r="C188" s="393"/>
      <c r="F188" s="15"/>
      <c r="G188" s="15"/>
      <c r="H188" s="2"/>
      <c r="I188" s="2"/>
      <c r="J188" s="2"/>
      <c r="K188" s="2"/>
      <c r="L188" s="2"/>
      <c r="M188" s="2"/>
      <c r="N188" s="2"/>
      <c r="O188" s="10"/>
      <c r="P188" s="238"/>
      <c r="Q188" s="285"/>
      <c r="R188" s="398"/>
      <c r="S188" s="407"/>
      <c r="T188" s="15"/>
      <c r="U188" s="10"/>
      <c r="W188" s="97"/>
      <c r="X188" s="398"/>
      <c r="Y188" s="408"/>
      <c r="Z188" s="2"/>
      <c r="AA188" s="10"/>
      <c r="AC188" s="42"/>
      <c r="AD188" s="18"/>
      <c r="AE188" s="398"/>
      <c r="AF188" s="406"/>
      <c r="AG188" s="11"/>
      <c r="AH188" s="37"/>
    </row>
    <row r="189" spans="3:34" ht="24.75" customHeight="1">
      <c r="C189" s="393"/>
      <c r="F189" s="15"/>
      <c r="G189" s="15"/>
      <c r="H189" s="2"/>
      <c r="I189" s="2"/>
      <c r="J189" s="2"/>
      <c r="K189" s="2"/>
      <c r="L189" s="2"/>
      <c r="M189" s="2"/>
      <c r="N189" s="2"/>
      <c r="O189" s="10"/>
      <c r="P189" s="238"/>
      <c r="Q189" s="285"/>
      <c r="R189" s="398"/>
      <c r="S189" s="407"/>
      <c r="T189" s="15"/>
      <c r="U189" s="10"/>
      <c r="W189" s="97"/>
      <c r="X189" s="398"/>
      <c r="Y189" s="408"/>
      <c r="Z189" s="2"/>
      <c r="AA189" s="10"/>
      <c r="AC189" s="42"/>
      <c r="AD189" s="18"/>
      <c r="AE189" s="398"/>
      <c r="AF189" s="406"/>
      <c r="AG189" s="11"/>
      <c r="AH189" s="37"/>
    </row>
    <row r="190" spans="3:34" ht="24.75" customHeight="1">
      <c r="C190" s="393"/>
      <c r="F190" s="15"/>
      <c r="G190" s="15"/>
      <c r="H190" s="2"/>
      <c r="I190" s="2"/>
      <c r="J190" s="2"/>
      <c r="K190" s="2"/>
      <c r="L190" s="2"/>
      <c r="M190" s="2"/>
      <c r="N190" s="2"/>
      <c r="O190" s="10"/>
      <c r="P190" s="238"/>
      <c r="Q190" s="285"/>
      <c r="R190" s="398"/>
      <c r="S190" s="407"/>
      <c r="T190" s="15"/>
      <c r="U190" s="10"/>
      <c r="W190" s="97"/>
      <c r="X190" s="398"/>
      <c r="Y190" s="408"/>
      <c r="Z190" s="2"/>
      <c r="AA190" s="10"/>
      <c r="AC190" s="42"/>
      <c r="AD190" s="18"/>
      <c r="AE190" s="398"/>
      <c r="AF190" s="406"/>
      <c r="AG190" s="11"/>
      <c r="AH190" s="37"/>
    </row>
    <row r="191" spans="3:34" ht="24.75" customHeight="1">
      <c r="C191" s="393"/>
      <c r="F191" s="15"/>
      <c r="G191" s="15"/>
      <c r="H191" s="2"/>
      <c r="I191" s="2"/>
      <c r="J191" s="2"/>
      <c r="K191" s="2"/>
      <c r="L191" s="2"/>
      <c r="M191" s="2"/>
      <c r="N191" s="2"/>
      <c r="O191" s="10"/>
      <c r="P191" s="238"/>
      <c r="Q191" s="285"/>
      <c r="R191" s="398"/>
      <c r="S191" s="407"/>
      <c r="T191" s="15"/>
      <c r="U191" s="10"/>
      <c r="W191" s="97"/>
      <c r="X191" s="398"/>
      <c r="Y191" s="408"/>
      <c r="Z191" s="2"/>
      <c r="AA191" s="10"/>
      <c r="AC191" s="42"/>
      <c r="AD191" s="18"/>
      <c r="AE191" s="398"/>
      <c r="AF191" s="406"/>
      <c r="AG191" s="11"/>
      <c r="AH191" s="37"/>
    </row>
    <row r="192" spans="3:34" ht="24.75" customHeight="1">
      <c r="C192" s="393"/>
      <c r="F192" s="15"/>
      <c r="G192" s="15"/>
      <c r="H192" s="2"/>
      <c r="I192" s="2"/>
      <c r="J192" s="2"/>
      <c r="K192" s="2"/>
      <c r="L192" s="2"/>
      <c r="M192" s="2"/>
      <c r="N192" s="2"/>
      <c r="O192" s="10"/>
      <c r="P192" s="238"/>
      <c r="Q192" s="285"/>
      <c r="R192" s="398"/>
      <c r="S192" s="407"/>
      <c r="T192" s="15"/>
      <c r="U192" s="10"/>
      <c r="W192" s="97"/>
      <c r="X192" s="398"/>
      <c r="Y192" s="408"/>
      <c r="Z192" s="2"/>
      <c r="AA192" s="10"/>
      <c r="AC192" s="42"/>
      <c r="AD192" s="18"/>
      <c r="AE192" s="398"/>
      <c r="AF192" s="406"/>
      <c r="AG192" s="11"/>
      <c r="AH192" s="37"/>
    </row>
    <row r="193" spans="3:34" ht="24.75" customHeight="1">
      <c r="C193" s="393"/>
      <c r="F193" s="15"/>
      <c r="G193" s="15"/>
      <c r="H193" s="2"/>
      <c r="I193" s="2"/>
      <c r="J193" s="2"/>
      <c r="K193" s="2"/>
      <c r="L193" s="2"/>
      <c r="M193" s="2"/>
      <c r="N193" s="2"/>
      <c r="O193" s="10"/>
      <c r="P193" s="238"/>
      <c r="Q193" s="285"/>
      <c r="R193" s="398"/>
      <c r="S193" s="407"/>
      <c r="T193" s="15"/>
      <c r="U193" s="10"/>
      <c r="W193" s="97"/>
      <c r="X193" s="398"/>
      <c r="Y193" s="408"/>
      <c r="Z193" s="2"/>
      <c r="AA193" s="10"/>
      <c r="AC193" s="42"/>
      <c r="AD193" s="18"/>
      <c r="AE193" s="398"/>
      <c r="AF193" s="406"/>
      <c r="AG193" s="11"/>
      <c r="AH193" s="37"/>
    </row>
    <row r="194" spans="3:34" ht="24.75" customHeight="1">
      <c r="C194" s="393"/>
      <c r="F194" s="15"/>
      <c r="G194" s="15"/>
      <c r="H194" s="2"/>
      <c r="I194" s="2"/>
      <c r="J194" s="2"/>
      <c r="K194" s="2"/>
      <c r="L194" s="2"/>
      <c r="M194" s="2"/>
      <c r="N194" s="2"/>
      <c r="O194" s="10"/>
      <c r="P194" s="238"/>
      <c r="Q194" s="285"/>
      <c r="R194" s="398"/>
      <c r="S194" s="407"/>
      <c r="T194" s="15"/>
      <c r="U194" s="10"/>
      <c r="W194" s="97"/>
      <c r="X194" s="398"/>
      <c r="Y194" s="408"/>
      <c r="Z194" s="2"/>
      <c r="AA194" s="10"/>
      <c r="AC194" s="42"/>
      <c r="AD194" s="18"/>
      <c r="AE194" s="398"/>
      <c r="AF194" s="406"/>
      <c r="AG194" s="11"/>
      <c r="AH194" s="37"/>
    </row>
    <row r="195" spans="3:34" ht="24.75" customHeight="1">
      <c r="C195" s="393"/>
      <c r="F195" s="15"/>
      <c r="G195" s="15"/>
      <c r="H195" s="2"/>
      <c r="I195" s="2"/>
      <c r="J195" s="2"/>
      <c r="K195" s="2"/>
      <c r="L195" s="2"/>
      <c r="M195" s="2"/>
      <c r="N195" s="2"/>
      <c r="O195" s="10"/>
      <c r="P195" s="238"/>
      <c r="Q195" s="285"/>
      <c r="R195" s="398"/>
      <c r="S195" s="407"/>
      <c r="T195" s="15"/>
      <c r="U195" s="10"/>
      <c r="W195" s="97"/>
      <c r="X195" s="398"/>
      <c r="Y195" s="408"/>
      <c r="Z195" s="2"/>
      <c r="AA195" s="10"/>
      <c r="AC195" s="42"/>
      <c r="AD195" s="18"/>
      <c r="AE195" s="398"/>
      <c r="AF195" s="406"/>
      <c r="AG195" s="11"/>
      <c r="AH195" s="37"/>
    </row>
    <row r="196" spans="3:34" ht="24.75" customHeight="1">
      <c r="C196" s="393"/>
      <c r="F196" s="15"/>
      <c r="G196" s="15"/>
      <c r="H196" s="2"/>
      <c r="I196" s="2"/>
      <c r="J196" s="2"/>
      <c r="K196" s="2"/>
      <c r="L196" s="2"/>
      <c r="M196" s="2"/>
      <c r="N196" s="2"/>
      <c r="O196" s="10"/>
      <c r="P196" s="238"/>
      <c r="Q196" s="285"/>
      <c r="R196" s="398"/>
      <c r="S196" s="407"/>
      <c r="T196" s="15"/>
      <c r="U196" s="10"/>
      <c r="W196" s="97"/>
      <c r="X196" s="398"/>
      <c r="Y196" s="408"/>
      <c r="Z196" s="2"/>
      <c r="AA196" s="10"/>
      <c r="AC196" s="42"/>
      <c r="AD196" s="18"/>
      <c r="AE196" s="398"/>
      <c r="AF196" s="406"/>
      <c r="AG196" s="11"/>
      <c r="AH196" s="37"/>
    </row>
    <row r="197" spans="3:34" ht="24.75" customHeight="1">
      <c r="C197" s="393"/>
      <c r="F197" s="15"/>
      <c r="G197" s="15"/>
      <c r="H197" s="2"/>
      <c r="I197" s="2"/>
      <c r="J197" s="2"/>
      <c r="K197" s="2"/>
      <c r="L197" s="2"/>
      <c r="M197" s="2"/>
      <c r="N197" s="2"/>
      <c r="O197" s="10"/>
      <c r="P197" s="238"/>
      <c r="Q197" s="285"/>
      <c r="R197" s="398"/>
      <c r="S197" s="407"/>
      <c r="T197" s="15"/>
      <c r="U197" s="10"/>
      <c r="W197" s="97"/>
      <c r="X197" s="398"/>
      <c r="Y197" s="408"/>
      <c r="Z197" s="2"/>
      <c r="AA197" s="10"/>
      <c r="AC197" s="42"/>
      <c r="AD197" s="18"/>
      <c r="AE197" s="398"/>
      <c r="AF197" s="406"/>
      <c r="AG197" s="11"/>
      <c r="AH197" s="37"/>
    </row>
    <row r="198" spans="3:34" ht="24.75" customHeight="1">
      <c r="C198" s="393"/>
      <c r="F198" s="15"/>
      <c r="G198" s="15"/>
      <c r="H198" s="2"/>
      <c r="I198" s="2"/>
      <c r="J198" s="2"/>
      <c r="K198" s="2"/>
      <c r="L198" s="2"/>
      <c r="M198" s="2"/>
      <c r="N198" s="2"/>
      <c r="O198" s="10"/>
      <c r="P198" s="238"/>
      <c r="Q198" s="285"/>
      <c r="R198" s="398"/>
      <c r="S198" s="407"/>
      <c r="T198" s="15"/>
      <c r="U198" s="10"/>
      <c r="W198" s="97"/>
      <c r="X198" s="398"/>
      <c r="Y198" s="408"/>
      <c r="Z198" s="2"/>
      <c r="AA198" s="10"/>
      <c r="AC198" s="42"/>
      <c r="AD198" s="18"/>
      <c r="AE198" s="398"/>
      <c r="AF198" s="406"/>
      <c r="AG198" s="11"/>
      <c r="AH198" s="37"/>
    </row>
    <row r="199" spans="3:34" ht="24.75" customHeight="1">
      <c r="C199" s="393"/>
      <c r="F199" s="15"/>
      <c r="G199" s="15"/>
      <c r="H199" s="2"/>
      <c r="I199" s="2"/>
      <c r="J199" s="2"/>
      <c r="K199" s="2"/>
      <c r="L199" s="2"/>
      <c r="M199" s="2"/>
      <c r="N199" s="2"/>
      <c r="O199" s="10"/>
      <c r="P199" s="238"/>
      <c r="Q199" s="285"/>
      <c r="R199" s="398"/>
      <c r="S199" s="407"/>
      <c r="T199" s="15"/>
      <c r="U199" s="10"/>
      <c r="W199" s="97"/>
      <c r="X199" s="398"/>
      <c r="Y199" s="408"/>
      <c r="Z199" s="2"/>
      <c r="AA199" s="10"/>
      <c r="AC199" s="42"/>
      <c r="AD199" s="18"/>
      <c r="AE199" s="398"/>
      <c r="AF199" s="406"/>
      <c r="AG199" s="11"/>
      <c r="AH199" s="37"/>
    </row>
    <row r="200" spans="3:34" ht="24.75" customHeight="1">
      <c r="C200" s="393"/>
      <c r="F200" s="15"/>
      <c r="G200" s="15"/>
      <c r="H200" s="2"/>
      <c r="I200" s="2"/>
      <c r="J200" s="2"/>
      <c r="K200" s="2"/>
      <c r="L200" s="2"/>
      <c r="M200" s="2"/>
      <c r="N200" s="2"/>
      <c r="O200" s="10"/>
      <c r="P200" s="238"/>
      <c r="Q200" s="285"/>
      <c r="R200" s="398"/>
      <c r="S200" s="407"/>
      <c r="T200" s="15"/>
      <c r="U200" s="10"/>
      <c r="W200" s="97"/>
      <c r="X200" s="398"/>
      <c r="Y200" s="408"/>
      <c r="Z200" s="2"/>
      <c r="AA200" s="10"/>
      <c r="AC200" s="42"/>
      <c r="AD200" s="18"/>
      <c r="AE200" s="398"/>
      <c r="AF200" s="406"/>
      <c r="AG200" s="11"/>
      <c r="AH200" s="37"/>
    </row>
    <row r="201" spans="3:34" ht="24.75" customHeight="1">
      <c r="C201" s="393"/>
      <c r="F201" s="15"/>
      <c r="G201" s="15"/>
      <c r="H201" s="2"/>
      <c r="I201" s="2"/>
      <c r="J201" s="2"/>
      <c r="K201" s="2"/>
      <c r="L201" s="2"/>
      <c r="M201" s="2"/>
      <c r="N201" s="2"/>
      <c r="O201" s="10"/>
      <c r="P201" s="238"/>
      <c r="Q201" s="285"/>
      <c r="R201" s="398"/>
      <c r="S201" s="407"/>
      <c r="T201" s="15"/>
      <c r="U201" s="10"/>
      <c r="W201" s="97"/>
      <c r="X201" s="398"/>
      <c r="Y201" s="408"/>
      <c r="Z201" s="2"/>
      <c r="AA201" s="10"/>
      <c r="AC201" s="42"/>
      <c r="AD201" s="18"/>
      <c r="AE201" s="398"/>
      <c r="AF201" s="406"/>
      <c r="AG201" s="11"/>
      <c r="AH201" s="37"/>
    </row>
    <row r="202" spans="3:34" ht="24.75" customHeight="1">
      <c r="C202" s="393"/>
      <c r="F202" s="15"/>
      <c r="G202" s="15"/>
      <c r="H202" s="2"/>
      <c r="I202" s="2"/>
      <c r="J202" s="2"/>
      <c r="K202" s="2"/>
      <c r="L202" s="2"/>
      <c r="M202" s="2"/>
      <c r="N202" s="2"/>
      <c r="O202" s="10"/>
      <c r="P202" s="238"/>
      <c r="Q202" s="285"/>
      <c r="R202" s="398"/>
      <c r="S202" s="407"/>
      <c r="T202" s="15"/>
      <c r="U202" s="10"/>
      <c r="W202" s="97"/>
      <c r="X202" s="398"/>
      <c r="Y202" s="408"/>
      <c r="Z202" s="2"/>
      <c r="AA202" s="10"/>
      <c r="AC202" s="42"/>
      <c r="AD202" s="18"/>
      <c r="AE202" s="398"/>
      <c r="AF202" s="406"/>
      <c r="AG202" s="11"/>
      <c r="AH202" s="37"/>
    </row>
    <row r="203" spans="3:34" ht="24.75" customHeight="1">
      <c r="C203" s="393"/>
      <c r="F203" s="15"/>
      <c r="G203" s="15"/>
      <c r="H203" s="2"/>
      <c r="I203" s="2"/>
      <c r="J203" s="2"/>
      <c r="K203" s="2"/>
      <c r="L203" s="2"/>
      <c r="M203" s="2"/>
      <c r="N203" s="2"/>
      <c r="O203" s="10"/>
      <c r="P203" s="238"/>
      <c r="Q203" s="285"/>
      <c r="R203" s="398"/>
      <c r="S203" s="407"/>
      <c r="T203" s="15"/>
      <c r="U203" s="10"/>
      <c r="W203" s="97"/>
      <c r="X203" s="398"/>
      <c r="Y203" s="408"/>
      <c r="Z203" s="2"/>
      <c r="AA203" s="10"/>
      <c r="AC203" s="42"/>
      <c r="AD203" s="18"/>
      <c r="AE203" s="398"/>
      <c r="AF203" s="406"/>
      <c r="AG203" s="11"/>
      <c r="AH203" s="37"/>
    </row>
    <row r="204" spans="3:34" ht="24.75" customHeight="1">
      <c r="C204" s="393"/>
      <c r="F204" s="15"/>
      <c r="G204" s="15"/>
      <c r="H204" s="2"/>
      <c r="I204" s="2"/>
      <c r="J204" s="2"/>
      <c r="K204" s="2"/>
      <c r="L204" s="2"/>
      <c r="M204" s="2"/>
      <c r="N204" s="2"/>
      <c r="O204" s="10"/>
      <c r="P204" s="238"/>
      <c r="Q204" s="285"/>
      <c r="R204" s="398"/>
      <c r="S204" s="407"/>
      <c r="T204" s="15"/>
      <c r="U204" s="10"/>
      <c r="W204" s="97"/>
      <c r="X204" s="398"/>
      <c r="Y204" s="408"/>
      <c r="Z204" s="2"/>
      <c r="AA204" s="10"/>
      <c r="AC204" s="42"/>
      <c r="AD204" s="18"/>
      <c r="AE204" s="398"/>
      <c r="AF204" s="406"/>
      <c r="AG204" s="11"/>
      <c r="AH204" s="37"/>
    </row>
    <row r="205" spans="3:34" ht="24.75" customHeight="1">
      <c r="C205" s="393"/>
      <c r="F205" s="15"/>
      <c r="G205" s="15"/>
      <c r="H205" s="2"/>
      <c r="I205" s="2"/>
      <c r="J205" s="2"/>
      <c r="K205" s="2"/>
      <c r="L205" s="2"/>
      <c r="M205" s="2"/>
      <c r="N205" s="2"/>
      <c r="O205" s="10"/>
      <c r="P205" s="238"/>
      <c r="Q205" s="285"/>
      <c r="R205" s="398"/>
      <c r="S205" s="407"/>
      <c r="T205" s="15"/>
      <c r="U205" s="10"/>
      <c r="W205" s="97"/>
      <c r="X205" s="398"/>
      <c r="Y205" s="408"/>
      <c r="Z205" s="2"/>
      <c r="AA205" s="10"/>
      <c r="AC205" s="42"/>
      <c r="AD205" s="18"/>
      <c r="AE205" s="398"/>
      <c r="AF205" s="406"/>
      <c r="AG205" s="11"/>
      <c r="AH205" s="37"/>
    </row>
    <row r="206" spans="3:34" ht="24.75" customHeight="1">
      <c r="C206" s="393"/>
      <c r="F206" s="15"/>
      <c r="G206" s="15"/>
      <c r="H206" s="2"/>
      <c r="I206" s="2"/>
      <c r="J206" s="2"/>
      <c r="K206" s="2"/>
      <c r="L206" s="2"/>
      <c r="M206" s="2"/>
      <c r="N206" s="2"/>
      <c r="O206" s="10"/>
      <c r="P206" s="238"/>
      <c r="Q206" s="285"/>
      <c r="R206" s="398"/>
      <c r="S206" s="407"/>
      <c r="T206" s="15"/>
      <c r="U206" s="10"/>
      <c r="W206" s="97"/>
      <c r="X206" s="398"/>
      <c r="Y206" s="408"/>
      <c r="Z206" s="2"/>
      <c r="AA206" s="10"/>
      <c r="AC206" s="42"/>
      <c r="AD206" s="18"/>
      <c r="AE206" s="398"/>
      <c r="AF206" s="406"/>
      <c r="AG206" s="11"/>
      <c r="AH206" s="37"/>
    </row>
    <row r="207" spans="3:34" ht="24.75" customHeight="1">
      <c r="C207" s="393"/>
      <c r="F207" s="15"/>
      <c r="G207" s="15"/>
      <c r="H207" s="2"/>
      <c r="I207" s="2"/>
      <c r="J207" s="2"/>
      <c r="K207" s="2"/>
      <c r="L207" s="2"/>
      <c r="M207" s="2"/>
      <c r="N207" s="2"/>
      <c r="O207" s="10"/>
      <c r="P207" s="238"/>
      <c r="Q207" s="285"/>
      <c r="R207" s="398"/>
      <c r="S207" s="407"/>
      <c r="T207" s="15"/>
      <c r="U207" s="10"/>
      <c r="W207" s="97"/>
      <c r="X207" s="398"/>
      <c r="Y207" s="408"/>
      <c r="Z207" s="2"/>
      <c r="AA207" s="10"/>
      <c r="AC207" s="42"/>
      <c r="AD207" s="18"/>
      <c r="AE207" s="398"/>
      <c r="AF207" s="406"/>
      <c r="AG207" s="11"/>
      <c r="AH207" s="37"/>
    </row>
    <row r="208" spans="3:34" ht="24.75" customHeight="1">
      <c r="C208" s="393"/>
      <c r="F208" s="15"/>
      <c r="G208" s="15"/>
      <c r="H208" s="2"/>
      <c r="I208" s="2"/>
      <c r="J208" s="2"/>
      <c r="K208" s="2"/>
      <c r="L208" s="2"/>
      <c r="M208" s="2"/>
      <c r="N208" s="2"/>
      <c r="O208" s="10"/>
      <c r="P208" s="238"/>
      <c r="Q208" s="285"/>
      <c r="R208" s="398"/>
      <c r="S208" s="407"/>
      <c r="T208" s="15"/>
      <c r="U208" s="10"/>
      <c r="W208" s="97"/>
      <c r="X208" s="398"/>
      <c r="Y208" s="408"/>
      <c r="Z208" s="2"/>
      <c r="AA208" s="10"/>
      <c r="AC208" s="42"/>
      <c r="AD208" s="18"/>
      <c r="AE208" s="398"/>
      <c r="AF208" s="406"/>
      <c r="AG208" s="11"/>
      <c r="AH208" s="37"/>
    </row>
    <row r="209" spans="3:34" ht="24.75" customHeight="1">
      <c r="C209" s="393"/>
      <c r="F209" s="15"/>
      <c r="G209" s="15"/>
      <c r="H209" s="2"/>
      <c r="I209" s="2"/>
      <c r="J209" s="2"/>
      <c r="K209" s="2"/>
      <c r="L209" s="2"/>
      <c r="M209" s="2"/>
      <c r="N209" s="2"/>
      <c r="O209" s="10"/>
      <c r="P209" s="238"/>
      <c r="Q209" s="285"/>
      <c r="R209" s="398"/>
      <c r="S209" s="407"/>
      <c r="T209" s="15"/>
      <c r="U209" s="10"/>
      <c r="W209" s="97"/>
      <c r="X209" s="398"/>
      <c r="Y209" s="408"/>
      <c r="Z209" s="2"/>
      <c r="AA209" s="10"/>
      <c r="AC209" s="42"/>
      <c r="AD209" s="18"/>
      <c r="AE209" s="398"/>
      <c r="AF209" s="406"/>
      <c r="AG209" s="11"/>
      <c r="AH209" s="37"/>
    </row>
    <row r="210" spans="3:34" ht="24.75" customHeight="1">
      <c r="C210" s="393"/>
      <c r="F210" s="15"/>
      <c r="G210" s="15"/>
      <c r="H210" s="2"/>
      <c r="I210" s="2"/>
      <c r="J210" s="2"/>
      <c r="K210" s="2"/>
      <c r="L210" s="2"/>
      <c r="M210" s="2"/>
      <c r="N210" s="2"/>
      <c r="O210" s="10"/>
      <c r="P210" s="238"/>
      <c r="Q210" s="285"/>
      <c r="R210" s="398"/>
      <c r="S210" s="407"/>
      <c r="T210" s="15"/>
      <c r="U210" s="10"/>
      <c r="W210" s="97"/>
      <c r="X210" s="398"/>
      <c r="Y210" s="408"/>
      <c r="Z210" s="2"/>
      <c r="AA210" s="10"/>
      <c r="AC210" s="42"/>
      <c r="AD210" s="18"/>
      <c r="AE210" s="398"/>
      <c r="AF210" s="406"/>
      <c r="AG210" s="11"/>
      <c r="AH210" s="37"/>
    </row>
    <row r="211" spans="3:34" ht="24.75" customHeight="1">
      <c r="C211" s="393"/>
      <c r="F211" s="15"/>
      <c r="G211" s="15"/>
      <c r="H211" s="2"/>
      <c r="I211" s="2"/>
      <c r="J211" s="2"/>
      <c r="K211" s="2"/>
      <c r="L211" s="2"/>
      <c r="M211" s="2"/>
      <c r="N211" s="2"/>
      <c r="O211" s="10"/>
      <c r="P211" s="238"/>
      <c r="Q211" s="285"/>
      <c r="R211" s="398"/>
      <c r="S211" s="407"/>
      <c r="T211" s="15"/>
      <c r="U211" s="10"/>
      <c r="W211" s="97"/>
      <c r="X211" s="398"/>
      <c r="Y211" s="408"/>
      <c r="Z211" s="2"/>
      <c r="AA211" s="10"/>
      <c r="AC211" s="42"/>
      <c r="AD211" s="18"/>
      <c r="AE211" s="398"/>
      <c r="AF211" s="406"/>
      <c r="AG211" s="11"/>
      <c r="AH211" s="37"/>
    </row>
    <row r="212" spans="3:34" ht="24.75" customHeight="1">
      <c r="C212" s="393"/>
      <c r="F212" s="15"/>
      <c r="G212" s="15"/>
      <c r="H212" s="2"/>
      <c r="I212" s="2"/>
      <c r="J212" s="2"/>
      <c r="K212" s="2"/>
      <c r="L212" s="2"/>
      <c r="M212" s="2"/>
      <c r="N212" s="2"/>
      <c r="O212" s="10"/>
      <c r="P212" s="238"/>
      <c r="Q212" s="285"/>
      <c r="R212" s="398"/>
      <c r="S212" s="407"/>
      <c r="T212" s="15"/>
      <c r="U212" s="10"/>
      <c r="W212" s="97"/>
      <c r="X212" s="398"/>
      <c r="Y212" s="408"/>
      <c r="Z212" s="2"/>
      <c r="AA212" s="10"/>
      <c r="AC212" s="42"/>
      <c r="AD212" s="18"/>
      <c r="AE212" s="398"/>
      <c r="AF212" s="406"/>
      <c r="AG212" s="11"/>
      <c r="AH212" s="37"/>
    </row>
    <row r="213" spans="3:34" ht="24.75" customHeight="1">
      <c r="C213" s="393"/>
      <c r="F213" s="15"/>
      <c r="G213" s="15"/>
      <c r="H213" s="2"/>
      <c r="I213" s="2"/>
      <c r="J213" s="2"/>
      <c r="K213" s="2"/>
      <c r="L213" s="2"/>
      <c r="M213" s="2"/>
      <c r="N213" s="2"/>
      <c r="O213" s="10"/>
      <c r="P213" s="238"/>
      <c r="Q213" s="285"/>
      <c r="R213" s="398"/>
      <c r="S213" s="407"/>
      <c r="T213" s="15"/>
      <c r="U213" s="10"/>
      <c r="W213" s="97"/>
      <c r="X213" s="398"/>
      <c r="Y213" s="408"/>
      <c r="Z213" s="2"/>
      <c r="AA213" s="10"/>
      <c r="AC213" s="42"/>
      <c r="AD213" s="18"/>
      <c r="AE213" s="398"/>
      <c r="AF213" s="406"/>
      <c r="AG213" s="11"/>
      <c r="AH213" s="37"/>
    </row>
    <row r="214" spans="3:34" ht="24.75" customHeight="1">
      <c r="C214" s="393"/>
      <c r="F214" s="15"/>
      <c r="G214" s="15"/>
      <c r="H214" s="2"/>
      <c r="I214" s="2"/>
      <c r="J214" s="2"/>
      <c r="K214" s="2"/>
      <c r="L214" s="2"/>
      <c r="M214" s="2"/>
      <c r="N214" s="2"/>
      <c r="O214" s="10"/>
      <c r="P214" s="238"/>
      <c r="Q214" s="285"/>
      <c r="R214" s="398"/>
      <c r="S214" s="407"/>
      <c r="T214" s="15"/>
      <c r="U214" s="10"/>
      <c r="W214" s="97"/>
      <c r="X214" s="398"/>
      <c r="Y214" s="408"/>
      <c r="Z214" s="2"/>
      <c r="AA214" s="10"/>
      <c r="AC214" s="42"/>
      <c r="AD214" s="18"/>
      <c r="AE214" s="398"/>
      <c r="AF214" s="406"/>
      <c r="AG214" s="11"/>
      <c r="AH214" s="37"/>
    </row>
    <row r="215" spans="3:34" ht="24.75" customHeight="1">
      <c r="C215" s="393"/>
      <c r="F215" s="15"/>
      <c r="G215" s="15"/>
      <c r="H215" s="2"/>
      <c r="I215" s="2"/>
      <c r="J215" s="2"/>
      <c r="K215" s="2"/>
      <c r="L215" s="2"/>
      <c r="M215" s="2"/>
      <c r="N215" s="2"/>
      <c r="O215" s="10"/>
      <c r="P215" s="238"/>
      <c r="Q215" s="285"/>
      <c r="R215" s="398"/>
      <c r="S215" s="407"/>
      <c r="T215" s="15"/>
      <c r="U215" s="10"/>
      <c r="W215" s="97"/>
      <c r="X215" s="398"/>
      <c r="Y215" s="408"/>
      <c r="Z215" s="2"/>
      <c r="AA215" s="10"/>
      <c r="AC215" s="42"/>
      <c r="AD215" s="18"/>
      <c r="AE215" s="398"/>
      <c r="AF215" s="406"/>
      <c r="AG215" s="11"/>
      <c r="AH215" s="37"/>
    </row>
    <row r="216" spans="3:34" ht="24.75" customHeight="1">
      <c r="C216" s="393"/>
      <c r="F216" s="15"/>
      <c r="G216" s="15"/>
      <c r="H216" s="2"/>
      <c r="I216" s="2"/>
      <c r="J216" s="2"/>
      <c r="K216" s="2"/>
      <c r="L216" s="2"/>
      <c r="M216" s="2"/>
      <c r="N216" s="2"/>
      <c r="O216" s="10"/>
      <c r="P216" s="238"/>
      <c r="Q216" s="285"/>
      <c r="R216" s="398"/>
      <c r="S216" s="407"/>
      <c r="T216" s="15"/>
      <c r="U216" s="10"/>
      <c r="W216" s="97"/>
      <c r="X216" s="398"/>
      <c r="Y216" s="408"/>
      <c r="Z216" s="2"/>
      <c r="AA216" s="10"/>
      <c r="AC216" s="42"/>
      <c r="AD216" s="18"/>
      <c r="AE216" s="398"/>
      <c r="AF216" s="406"/>
      <c r="AG216" s="11"/>
      <c r="AH216" s="37"/>
    </row>
    <row r="217" spans="3:34" ht="24.75" customHeight="1">
      <c r="C217" s="393"/>
      <c r="F217" s="15"/>
      <c r="G217" s="15"/>
      <c r="H217" s="2"/>
      <c r="I217" s="2"/>
      <c r="J217" s="2"/>
      <c r="K217" s="2"/>
      <c r="L217" s="2"/>
      <c r="M217" s="2"/>
      <c r="N217" s="2"/>
      <c r="O217" s="10"/>
      <c r="P217" s="238"/>
      <c r="Q217" s="285"/>
      <c r="R217" s="398"/>
      <c r="S217" s="407"/>
      <c r="T217" s="15"/>
      <c r="U217" s="10"/>
      <c r="W217" s="97"/>
      <c r="X217" s="398"/>
      <c r="Y217" s="408"/>
      <c r="Z217" s="2"/>
      <c r="AA217" s="10"/>
      <c r="AC217" s="42"/>
      <c r="AD217" s="18"/>
      <c r="AE217" s="398"/>
      <c r="AF217" s="406"/>
      <c r="AG217" s="11"/>
      <c r="AH217" s="37"/>
    </row>
    <row r="218" spans="3:34" ht="24.75" customHeight="1">
      <c r="C218" s="393"/>
      <c r="F218" s="15"/>
      <c r="G218" s="15"/>
      <c r="H218" s="2"/>
      <c r="I218" s="2"/>
      <c r="J218" s="2"/>
      <c r="K218" s="2"/>
      <c r="L218" s="2"/>
      <c r="M218" s="2"/>
      <c r="N218" s="2"/>
      <c r="O218" s="10"/>
      <c r="P218" s="238"/>
      <c r="Q218" s="285"/>
      <c r="R218" s="18"/>
      <c r="S218" s="2"/>
      <c r="T218" s="15"/>
      <c r="U218" s="10"/>
      <c r="W218" s="97"/>
      <c r="X218" s="398"/>
      <c r="Y218" s="408"/>
      <c r="Z218" s="2"/>
      <c r="AA218" s="10"/>
      <c r="AC218" s="42"/>
      <c r="AD218" s="18"/>
      <c r="AE218" s="398"/>
      <c r="AF218" s="406"/>
      <c r="AG218" s="11"/>
      <c r="AH218" s="37"/>
    </row>
    <row r="219" spans="3:34" ht="24.75" customHeight="1">
      <c r="C219" s="393"/>
      <c r="P219" s="238"/>
      <c r="Q219" s="286"/>
      <c r="R219" s="398"/>
      <c r="S219" s="407"/>
      <c r="X219" s="440"/>
      <c r="Y219" s="445"/>
      <c r="AE219" s="398"/>
      <c r="AF219" s="440"/>
    </row>
    <row r="220" spans="3:34" ht="24.75" customHeight="1">
      <c r="C220" s="393"/>
      <c r="P220" s="238"/>
      <c r="Q220" s="286"/>
      <c r="R220" s="398"/>
      <c r="S220" s="407"/>
      <c r="X220" s="440"/>
      <c r="Y220" s="445"/>
      <c r="AE220" s="398"/>
      <c r="AF220" s="440"/>
    </row>
    <row r="221" spans="3:34" ht="24.75" customHeight="1">
      <c r="C221" s="393"/>
      <c r="P221" s="238"/>
      <c r="Q221" s="286"/>
      <c r="R221" s="398"/>
      <c r="S221" s="407"/>
      <c r="X221" s="440"/>
      <c r="Y221" s="445"/>
      <c r="AE221" s="398"/>
      <c r="AF221" s="440"/>
    </row>
    <row r="222" spans="3:34" ht="24.75" customHeight="1">
      <c r="C222" s="393"/>
      <c r="P222" s="238"/>
      <c r="Q222" s="286"/>
      <c r="R222" s="398"/>
      <c r="S222" s="407"/>
      <c r="X222" s="440"/>
      <c r="Y222" s="445"/>
      <c r="AE222" s="398"/>
      <c r="AF222" s="440"/>
    </row>
    <row r="223" spans="3:34" ht="24.75" customHeight="1">
      <c r="C223" s="393"/>
      <c r="P223" s="238"/>
      <c r="Q223" s="286"/>
      <c r="R223" s="398"/>
      <c r="S223" s="407"/>
      <c r="X223" s="440"/>
      <c r="Y223" s="445"/>
      <c r="AE223" s="398"/>
      <c r="AF223" s="440"/>
    </row>
    <row r="224" spans="3:34" ht="24.75" customHeight="1">
      <c r="C224" s="393" t="s">
        <v>392</v>
      </c>
      <c r="P224" s="238"/>
      <c r="Q224" s="286"/>
      <c r="R224" s="398"/>
      <c r="S224" s="407"/>
      <c r="X224" s="440"/>
      <c r="Y224" s="445"/>
      <c r="AE224" s="398"/>
      <c r="AF224" s="440"/>
    </row>
    <row r="225" spans="3:32" ht="24.75" customHeight="1">
      <c r="C225" s="393" t="s">
        <v>392</v>
      </c>
      <c r="P225" s="238"/>
      <c r="Q225" s="286"/>
      <c r="R225" s="398"/>
      <c r="S225" s="407"/>
      <c r="X225" s="440"/>
      <c r="Y225" s="445"/>
      <c r="AE225" s="398"/>
      <c r="AF225" s="440"/>
    </row>
    <row r="226" spans="3:32" ht="24.75" customHeight="1">
      <c r="C226" s="393" t="s">
        <v>392</v>
      </c>
      <c r="P226" s="238"/>
      <c r="Q226" s="286"/>
      <c r="R226" s="398"/>
      <c r="S226" s="407"/>
      <c r="X226" s="440"/>
      <c r="Y226" s="445"/>
      <c r="AE226" s="398"/>
      <c r="AF226" s="440"/>
    </row>
    <row r="227" spans="3:32" ht="24.75" customHeight="1">
      <c r="C227" s="393" t="s">
        <v>392</v>
      </c>
      <c r="P227" s="238"/>
      <c r="Q227" s="286"/>
      <c r="R227" s="398"/>
      <c r="S227" s="407"/>
      <c r="X227" s="440"/>
      <c r="Y227" s="445"/>
      <c r="AE227" s="398"/>
      <c r="AF227" s="440"/>
    </row>
    <row r="228" spans="3:32" ht="24.75" customHeight="1">
      <c r="C228" s="393" t="s">
        <v>392</v>
      </c>
      <c r="R228" s="398"/>
      <c r="S228" s="407"/>
      <c r="X228" s="440"/>
      <c r="Y228" s="445"/>
      <c r="AE228" s="398"/>
      <c r="AF228" s="440"/>
    </row>
    <row r="229" spans="3:32" ht="24.75" customHeight="1">
      <c r="C229" s="393" t="s">
        <v>392</v>
      </c>
      <c r="R229" s="398"/>
      <c r="S229" s="407"/>
      <c r="X229" s="440"/>
      <c r="Y229" s="445"/>
      <c r="AE229" s="398"/>
      <c r="AF229" s="440"/>
    </row>
    <row r="230" spans="3:32" ht="24.75" customHeight="1">
      <c r="C230" s="393" t="s">
        <v>392</v>
      </c>
      <c r="R230" s="398"/>
      <c r="S230" s="407"/>
      <c r="X230" s="440"/>
      <c r="Y230" s="445"/>
      <c r="AE230" s="398"/>
      <c r="AF230" s="440"/>
    </row>
    <row r="231" spans="3:32" ht="24.75" customHeight="1">
      <c r="C231" s="393" t="s">
        <v>392</v>
      </c>
      <c r="R231" s="398"/>
      <c r="S231" s="407"/>
      <c r="X231" s="440"/>
      <c r="Y231" s="445"/>
      <c r="AE231" s="398"/>
      <c r="AF231" s="440"/>
    </row>
    <row r="232" spans="3:32" ht="24.75" customHeight="1">
      <c r="C232" s="393" t="s">
        <v>392</v>
      </c>
      <c r="R232" s="398"/>
      <c r="S232" s="407"/>
      <c r="X232" s="440"/>
      <c r="Y232" s="445"/>
      <c r="AE232" s="398"/>
      <c r="AF232" s="440"/>
    </row>
  </sheetData>
  <autoFilter ref="A1:AH1" xr:uid="{B4B03264-199A-4886-857D-303C27604CC4}"/>
  <conditionalFormatting sqref="C1:C1048576">
    <cfRule type="containsText" dxfId="63" priority="17" operator="containsText" text="EN ALMACEN">
      <formula>NOT(ISERROR(SEARCH("EN ALMACEN",C1)))</formula>
    </cfRule>
  </conditionalFormatting>
  <conditionalFormatting sqref="C1:C1048576">
    <cfRule type="containsText" dxfId="62" priority="16" operator="containsText" text="LIBERADO">
      <formula>NOT(ISERROR(SEARCH("LIBERADO",C1)))</formula>
    </cfRule>
  </conditionalFormatting>
  <conditionalFormatting sqref="C1:C1048576">
    <cfRule type="containsText" dxfId="61" priority="15" operator="containsText" text="DESPACHADO">
      <formula>NOT(ISERROR(SEARCH("DESPACHADO",C1)))</formula>
    </cfRule>
  </conditionalFormatting>
  <conditionalFormatting sqref="C1:C1048576">
    <cfRule type="containsText" dxfId="60" priority="14" operator="containsText" text="EN TRANSITO">
      <formula>NOT(ISERROR(SEARCH("EN TRANSITO",C1)))</formula>
    </cfRule>
  </conditionalFormatting>
  <conditionalFormatting sqref="C43">
    <cfRule type="containsText" dxfId="59" priority="13" operator="containsText" text="ARRIBADA EN PUERTO">
      <formula>NOT(ISERROR(SEARCH("ARRIBADA EN PUERTO",C43)))</formula>
    </cfRule>
  </conditionalFormatting>
  <conditionalFormatting sqref="Y44:Y59 Y61:Y64 Y70:Y104 Y66:Y68 D1:D1048576 Y106:Y123 Y125:Y129 Y131 Y133:Y1048576">
    <cfRule type="containsText" dxfId="58" priority="12" operator="containsText" text="PENDIENTE">
      <formula>NOT(ISERROR(SEARCH("PENDIENTE",D1)))</formula>
    </cfRule>
  </conditionalFormatting>
  <conditionalFormatting sqref="D1:D1048576">
    <cfRule type="containsText" dxfId="57" priority="11" operator="containsText" text="EMITIDA">
      <formula>NOT(ISERROR(SEARCH("EMITIDA",D1)))</formula>
    </cfRule>
  </conditionalFormatting>
  <conditionalFormatting sqref="E1:E58 E60:E1048576">
    <cfRule type="containsBlanks" dxfId="56" priority="9">
      <formula>LEN(TRIM(E1))=0</formula>
    </cfRule>
  </conditionalFormatting>
  <conditionalFormatting sqref="AD1:AD36 AD38 AD40:AD51 AD86:AD112 AD79:AD84 AD75 AD53:AD72 AD114:AD1048576">
    <cfRule type="containsText" dxfId="55" priority="5" operator="containsText" text="PENDIENTE">
      <formula>NOT(ISERROR(SEARCH("PENDIENTE",AD1)))</formula>
    </cfRule>
  </conditionalFormatting>
  <conditionalFormatting sqref="AC1:AC10 AC42:AC54 AC12:AC29 AC35:AC39 AC57 AD56 AC31:AC32 AC59 AC85:AC90 AC61:AC62 AC71:AC73 AC75:AC83 AC64:AC69 AC92:AC101 AC103:AC112 AC114:AC118 AC120:AC1048576">
    <cfRule type="containsText" dxfId="54" priority="4" operator="containsText" text="PENDIENTE">
      <formula>NOT(ISERROR(SEARCH("PENDIENTE",AC1)))</formula>
    </cfRule>
  </conditionalFormatting>
  <conditionalFormatting sqref="Y1:Y42">
    <cfRule type="containsText" dxfId="53" priority="3" operator="containsText" text="PENDIENTE">
      <formula>NOT(ISERROR(SEARCH("PENDIENTE",Y1)))</formula>
    </cfRule>
  </conditionalFormatting>
  <conditionalFormatting sqref="X1:X32 X34 X36:X57 X60:X61 X63:X66 X68:X76 X78:X98 X100:X103 X111:X116 X118:X129 X131:X1048576 X105:X108">
    <cfRule type="containsText" dxfId="52" priority="2" operator="containsText" text="PENDIENTE">
      <formula>NOT(ISERROR(SEARCH("PENDIENTE",X1)))</formula>
    </cfRule>
  </conditionalFormatting>
  <conditionalFormatting sqref="C33">
    <cfRule type="containsText" dxfId="51" priority="1" operator="containsText" text="ARRIBADA EN PUERTO">
      <formula>NOT(ISERROR(SEARCH("ARRIBADA EN PUERTO",C33)))</formula>
    </cfRule>
  </conditionalFormatting>
  <dataValidations count="4">
    <dataValidation type="list" allowBlank="1" showInputMessage="1" showErrorMessage="1" sqref="K2:K73" xr:uid="{D1BD1D09-B747-4B08-82C5-94745BB3340D}">
      <formula1>TIPO_CARGA</formula1>
    </dataValidation>
    <dataValidation type="list" allowBlank="1" showInputMessage="1" showErrorMessage="1" sqref="M2:M89" xr:uid="{F463F530-7026-4C5B-8F7F-DF9B6A96DD7C}">
      <formula1>TIPO_OPERACION</formula1>
    </dataValidation>
    <dataValidation type="list" allowBlank="1" showInputMessage="1" showErrorMessage="1" sqref="T2:T68" xr:uid="{A2F74B1D-3FE7-4A15-B789-EE1F9572126A}">
      <formula1>cliente</formula1>
    </dataValidation>
    <dataValidation type="list" allowBlank="1" showInputMessage="1" showErrorMessage="1" sqref="C2:C138 C148:C232" xr:uid="{671492A2-47A1-460C-80A9-4A68E2F5AC77}">
      <formula1>CARGA</formula1>
    </dataValidation>
  </dataValidations>
  <hyperlinks>
    <hyperlink ref="D17" r:id="rId1" xr:uid="{18E6E345-A92A-41E0-BFA8-B09C6FE85F89}"/>
    <hyperlink ref="D2" r:id="rId2" xr:uid="{9FADC01C-D246-4315-B06E-D0AD4BEB1C25}"/>
    <hyperlink ref="D22" r:id="rId3" xr:uid="{734E29CE-095B-440F-9BE3-2E6CB7E06101}"/>
    <hyperlink ref="D37" r:id="rId4" xr:uid="{9E0476D6-C2FE-4FAF-9DCE-6ED63F177D8E}"/>
    <hyperlink ref="D12" r:id="rId5" xr:uid="{5828493F-CB51-409D-A3C9-575A39F88F68}"/>
    <hyperlink ref="D48" r:id="rId6" xr:uid="{717B07B2-E5E4-42F3-9882-A78E52A1E64D}"/>
    <hyperlink ref="D46" r:id="rId7" xr:uid="{D65613CF-5B08-45D6-9CDF-B478E14CA18C}"/>
    <hyperlink ref="D54" r:id="rId8" xr:uid="{022E7499-4883-42A0-A3D6-6FFD8C3158BB}"/>
    <hyperlink ref="D26" r:id="rId9" xr:uid="{7E12693C-5297-4CA3-A157-78B9065E2042}"/>
    <hyperlink ref="D32" r:id="rId10" xr:uid="{0C62787C-2CB8-466A-8418-A8C43A5642EC}"/>
    <hyperlink ref="D51" r:id="rId11" xr:uid="{C3C4A867-7A63-4181-A4EA-E05A05497A98}"/>
    <hyperlink ref="D44" r:id="rId12" xr:uid="{290929B5-5B7F-4C6E-857E-90784CFD9398}"/>
    <hyperlink ref="D50" r:id="rId13" xr:uid="{9C2E8051-53A4-47AE-BC0A-11048134885E}"/>
    <hyperlink ref="D35" r:id="rId14" xr:uid="{696D2D2D-EAD8-4C5A-BD79-8F61690D90E9}"/>
    <hyperlink ref="D34" r:id="rId15" xr:uid="{0C6793BB-6C87-4872-BCA2-4A2487E00525}"/>
    <hyperlink ref="D55" r:id="rId16" xr:uid="{2642C1D4-387F-4E60-AD10-B103F8ABBE0D}"/>
    <hyperlink ref="D57" r:id="rId17" xr:uid="{6FDAAF4C-0919-410E-8B0D-132672A26DB6}"/>
    <hyperlink ref="D41" r:id="rId18" xr:uid="{EC59FFE4-93C4-412E-9163-08140BD6C6B2}"/>
    <hyperlink ref="D11" r:id="rId19" xr:uid="{D0065B95-6A33-4AEB-9122-A06814399521}"/>
    <hyperlink ref="D39" r:id="rId20" xr:uid="{C2B6ABE4-2D33-48D3-AE91-DDFEACB9AC28}"/>
    <hyperlink ref="D53" r:id="rId21" xr:uid="{3EAAA9CE-4243-4538-8766-6265CC64ABCA}"/>
    <hyperlink ref="D59" r:id="rId22" xr:uid="{AC14AA7D-F3AD-4124-A238-D6A0D4E5BCF8}"/>
    <hyperlink ref="D58" r:id="rId23" xr:uid="{E7CB86C1-DD01-4FCB-BCA0-1C2235688A5C}"/>
    <hyperlink ref="D30" r:id="rId24" xr:uid="{B7CDC0FC-11C2-4227-B722-C077B222A7F3}"/>
    <hyperlink ref="D23" r:id="rId25" xr:uid="{584CFFBC-00E3-4CD9-A51E-9B9DF67373DD}"/>
    <hyperlink ref="D33" r:id="rId26" xr:uid="{A7889838-BE92-4DE5-8CF8-E7BA61802A41}"/>
    <hyperlink ref="D79" r:id="rId27" xr:uid="{1801E254-97ED-4FDF-BC46-EB4BEDB5FC05}"/>
    <hyperlink ref="D80" r:id="rId28" xr:uid="{A245E5F3-8B30-4012-BB0A-8202E2EF7F91}"/>
    <hyperlink ref="D75" r:id="rId29" xr:uid="{15B08023-46C5-43E6-A5F8-2E64BABE387B}"/>
    <hyperlink ref="D43" r:id="rId30" xr:uid="{29059917-02AA-42A7-AB94-14BBC8C5027B}"/>
    <hyperlink ref="D76" r:id="rId31" xr:uid="{B89B8D95-984E-4890-A470-F625C79F2295}"/>
    <hyperlink ref="D85" r:id="rId32" xr:uid="{8B092639-EBF6-4261-9F1F-B59B3F856C63}"/>
    <hyperlink ref="D56" r:id="rId33" xr:uid="{43FF5F3F-6D1B-452F-BBD2-F829FEA32882}"/>
    <hyperlink ref="D84" r:id="rId34" xr:uid="{983D81EF-9EF9-4BCE-8367-91C77CA32D56}"/>
    <hyperlink ref="AA2" r:id="rId35" display="4090179930" xr:uid="{8930EA32-2DB6-4003-A422-57D1DD69C713}"/>
    <hyperlink ref="AA3" r:id="rId36" display="4090179947" xr:uid="{C2C776D6-C9A8-4954-BC49-541C88667221}"/>
    <hyperlink ref="AA4" r:id="rId37" display="4090179972" xr:uid="{B2555356-C8FD-4F62-B11E-296137ABCA21}"/>
    <hyperlink ref="AA5" r:id="rId38" display="4090180001" xr:uid="{69B161D8-C173-47D6-84DF-78083F7DE115}"/>
    <hyperlink ref="AA9" r:id="rId39" display="4090180057" xr:uid="{FA7CC50C-5E4E-4767-9E41-DFFADDEC7B3D}"/>
    <hyperlink ref="AA10" r:id="rId40" display="4090180059" xr:uid="{373520F7-470B-40BC-A5BC-D5D31EA5F68A}"/>
    <hyperlink ref="AA11" r:id="rId41" display="4090180066" xr:uid="{B199BCD7-999D-4581-9F59-28B17808CA86}"/>
    <hyperlink ref="AA12" r:id="rId42" display="4090180067" xr:uid="{1F8A462B-171C-4BA2-BD41-F2EDF407DED5}"/>
    <hyperlink ref="AA13" r:id="rId43" display="4090180070" xr:uid="{8BFBC5B3-281F-4BB2-8A05-14F274D2F4B0}"/>
    <hyperlink ref="AA14" r:id="rId44" display="4090180072" xr:uid="{1B3BBF75-822C-4255-B0BF-BB1E4DEF5CB1}"/>
    <hyperlink ref="AA15" r:id="rId45" display="4090180073" xr:uid="{1CB56625-F89D-4458-A990-90FBB2D5D474}"/>
    <hyperlink ref="AA16" r:id="rId46" display="4090180074" xr:uid="{0D17A1AD-E1F1-433D-B11A-DAA9C404F13A}"/>
    <hyperlink ref="AA17" r:id="rId47" display="4090180075" xr:uid="{27787B12-0C3C-44AC-940E-7606AB714B4C}"/>
    <hyperlink ref="AA18" r:id="rId48" display="4090180109" xr:uid="{73FC1381-B80C-4113-97F5-798C7897F36D}"/>
    <hyperlink ref="AA19" r:id="rId49" display="4090180110" xr:uid="{A27DD4EB-0F5C-4FF6-80D7-40EA539BCBBC}"/>
    <hyperlink ref="AA20" r:id="rId50" display="4090180112" xr:uid="{885564B3-9CFE-4F69-B06B-213CB9C92B1F}"/>
    <hyperlink ref="AA21" r:id="rId51" display="4090180114" xr:uid="{645300AA-0FF3-4998-BA0E-96FF48961E92}"/>
    <hyperlink ref="AA22" r:id="rId52" display="4090180115" xr:uid="{8362DA7D-8488-498E-B89A-AD4D787074A6}"/>
    <hyperlink ref="AA23" r:id="rId53" display="4090180133" xr:uid="{4B0000A1-FE48-4E02-8621-6FFF93A06776}"/>
    <hyperlink ref="AA24" r:id="rId54" display="4090180136" xr:uid="{2F72F3E4-EA48-4F38-8700-14C0D839290E}"/>
    <hyperlink ref="AA25" r:id="rId55" display="4090180137" xr:uid="{2AE64D88-AEC4-4C48-A80D-FE61839A4B47}"/>
    <hyperlink ref="AA26" r:id="rId56" display="4090180139" xr:uid="{9AD7934F-4793-4722-A016-83ECDA89325F}"/>
    <hyperlink ref="AA27" r:id="rId57" display="4090180145" xr:uid="{6229A0B9-61C4-42AD-B2A9-58D80DF1D136}"/>
    <hyperlink ref="AA28" r:id="rId58" display="4090180146" xr:uid="{CE6F043E-F282-4261-A502-FB612CC59ECE}"/>
    <hyperlink ref="AA29" r:id="rId59" display="4090180147" xr:uid="{7F637BD2-AA02-44C2-8B36-AE27C287F006}"/>
    <hyperlink ref="AA30" r:id="rId60" display="4090180152" xr:uid="{7DA3AD15-A336-48C8-8C41-E903E0FEAC0E}"/>
    <hyperlink ref="AA31" r:id="rId61" display="4090180153" xr:uid="{19B4E9B4-36CC-4BA0-8CCB-6D3BAE4DA3DB}"/>
    <hyperlink ref="AA32" r:id="rId62" display="4090180154" xr:uid="{99169E9F-1C45-4A18-830F-6B2A7FA10B61}"/>
    <hyperlink ref="AA33" r:id="rId63" display="4090180178" xr:uid="{B1376EB0-831D-423C-86A6-4AA0D83890FA}"/>
    <hyperlink ref="AA34" r:id="rId64" display="4090180180" xr:uid="{12E0CF3B-7EDA-455D-A99E-3C040EFD75D0}"/>
    <hyperlink ref="AA35" r:id="rId65" display="4090180181" xr:uid="{294BC336-0510-416A-BEFD-CDDDF8157C76}"/>
    <hyperlink ref="AA36" r:id="rId66" display="4090180183" xr:uid="{C8CD6CB2-170B-4E53-B870-36AC472FC35C}"/>
    <hyperlink ref="AA37" r:id="rId67" display="4090180184" xr:uid="{A22861AA-954F-422D-B45C-8130470DAF2F}"/>
    <hyperlink ref="AA38" r:id="rId68" display="4090180186" xr:uid="{EF25CA9F-D073-4ED3-A2B4-26C578DB63F8}"/>
    <hyperlink ref="AA39" r:id="rId69" display="4090180188" xr:uid="{404417C7-4FA1-4D03-B592-8135D29917E9}"/>
    <hyperlink ref="AA40" r:id="rId70" display="4090180190" xr:uid="{28B352EF-A283-410C-BBE1-037CDE1A7834}"/>
    <hyperlink ref="AA41" r:id="rId71" display="4090180192" xr:uid="{57521FCC-0EB7-4E2A-B7D0-CE58E9689993}"/>
    <hyperlink ref="AA42" r:id="rId72" display="4090180193" xr:uid="{E5ADBCDB-D2B4-44A2-B22A-6C564BA7BC78}"/>
    <hyperlink ref="AA43" r:id="rId73" display="4090180195" xr:uid="{05CD15ED-80E6-4275-92E0-0970192296BD}"/>
    <hyperlink ref="AA44" r:id="rId74" display="4090180196" xr:uid="{C3D05E78-37FE-4361-B91C-45DA3192F571}"/>
    <hyperlink ref="AA45" r:id="rId75" display="4090180198" xr:uid="{7AF51E6D-1CF7-48C2-B8FD-090E72111DD6}"/>
    <hyperlink ref="AA46" r:id="rId76" display="4090180199" xr:uid="{C7315F78-CC08-4AC4-B87B-EFF3DBE35B57}"/>
    <hyperlink ref="AA47" r:id="rId77" display="4090180201" xr:uid="{B038472F-FE60-4562-BD4D-639ADD8E9713}"/>
    <hyperlink ref="AA48" r:id="rId78" display="4090180202" xr:uid="{30EFE396-CBCC-45D8-BA7F-3BC296825A44}"/>
    <hyperlink ref="AA49" r:id="rId79" display="4090180213" xr:uid="{4F668229-009C-4246-9ABA-6AC7DB640972}"/>
    <hyperlink ref="AA50" r:id="rId80" display="4090180226" xr:uid="{BBBE7A0E-26FD-4931-8F3E-8DE8A57A338A}"/>
    <hyperlink ref="AA51" r:id="rId81" display="4090180228" xr:uid="{4F1618A6-B9C7-4492-A813-AA84E9A2F0B3}"/>
    <hyperlink ref="AA53" r:id="rId82" display="4090180242" xr:uid="{8434F620-183B-4ADE-9B3E-2B2A4385F8A3}"/>
    <hyperlink ref="AA54" r:id="rId83" display="4090180249" xr:uid="{5A8A65D5-5DA9-4D4E-8F8C-97036D8D4701}"/>
    <hyperlink ref="AA55" r:id="rId84" display="4090180257" xr:uid="{7E86B25E-ACF4-4683-A1E4-49551CD81D45}"/>
    <hyperlink ref="AA57" r:id="rId85" display="4090180263" xr:uid="{3657C55F-FD7B-49A4-AC3E-B15BBA99C856}"/>
    <hyperlink ref="AA6" r:id="rId86" display="4090180023" xr:uid="{E74AAF63-9813-4148-9DB3-189D7C647F76}"/>
    <hyperlink ref="AA7" r:id="rId87" display="4090180040" xr:uid="{F9A2FBA4-7FBE-4D05-8E5E-48B42C781863}"/>
    <hyperlink ref="AA8" r:id="rId88" display="4090180056" xr:uid="{29CC7CEF-9A3A-470A-916D-7113EB17F849}"/>
    <hyperlink ref="AB2" r:id="rId89" display="06/03/2026 17:25" xr:uid="{B8D899CC-EE25-4439-B6ED-6BC1FFF9D00C}"/>
    <hyperlink ref="AB3" r:id="rId90" display="04/03/2026 13:17" xr:uid="{098BDA95-513E-47A1-965B-981FDD0E579E}"/>
    <hyperlink ref="AB4" r:id="rId91" display="04/03/2026 15:40" xr:uid="{6893D9EF-05D9-4A1A-87E2-434217E0D0CD}"/>
    <hyperlink ref="AB5" r:id="rId92" display="06/03/2026" xr:uid="{2B96B0CE-85A6-436C-82D7-58C5F149152F}"/>
    <hyperlink ref="AB6" r:id="rId93" display="04/03/2026" xr:uid="{3E01BBB4-9E45-4254-972A-91FBCB90E9CC}"/>
    <hyperlink ref="AB7" r:id="rId94" display="03/03/2026" xr:uid="{30CD46D7-8EE2-4CE5-9536-8742BF3F0AFF}"/>
    <hyperlink ref="AB8" r:id="rId95" display="06/03/2026" xr:uid="{FD77DE1F-3292-4422-9B4E-6EF57D437B10}"/>
    <hyperlink ref="AB9" r:id="rId96" display="03/03/2026" xr:uid="{3E4D81F1-25EF-4723-BA90-268DA69412B5}"/>
    <hyperlink ref="AB10" r:id="rId97" display="06/03/2026" xr:uid="{C0CE373D-8B3E-4A56-B94B-C7EAEEC26470}"/>
    <hyperlink ref="AB13" r:id="rId98" display="04/03/2026" xr:uid="{45679808-198A-4D6A-A15E-BAA2FD3F9C38}"/>
    <hyperlink ref="AB14" r:id="rId99" display="04/03/2026" xr:uid="{59E79E3C-D863-4CA0-9F12-9E03B29A55EE}"/>
    <hyperlink ref="AB15" r:id="rId100" display="04/03/2026" xr:uid="{ED4C1DE8-6FCC-4916-9104-2F4DED578629}"/>
    <hyperlink ref="AB16" r:id="rId101" display="06/03/2026" xr:uid="{578850AF-3E3C-4D79-88E9-C9B7F8B7269C}"/>
    <hyperlink ref="AB19" r:id="rId102" display="06/03/2026" xr:uid="{71678E1E-B1D0-4D70-A8C1-3B58C1279D31}"/>
    <hyperlink ref="AB20" r:id="rId103" display="06/03/2026" xr:uid="{A826E5C3-2D76-4C71-9C8A-0452D399AABE}"/>
    <hyperlink ref="AB24" r:id="rId104" display="06/03/2026" xr:uid="{643898AA-4D73-40D9-BB58-F5A3E5718EE0}"/>
    <hyperlink ref="AB25" r:id="rId105" display="04/03/2026" xr:uid="{CB562403-7448-4BC5-95B4-6572B542EE3C}"/>
    <hyperlink ref="AB27" r:id="rId106" display="07/03/2026" xr:uid="{5BFA836D-AD1B-4D34-AC17-B9190D69049A}"/>
    <hyperlink ref="AB28" r:id="rId107" display="05/03/2026" xr:uid="{2A926FE1-A8E8-4521-87EF-4D9E5C387A68}"/>
    <hyperlink ref="AB29" r:id="rId108" display="04/03/2026" xr:uid="{AD293F16-4739-4766-A493-7B3430D227D1}"/>
    <hyperlink ref="AB38" r:id="rId109" display="06/03/2026" xr:uid="{05477BB3-8ED4-450B-8EF0-9016152E18B4}"/>
    <hyperlink ref="AB42" r:id="rId110" display="06/03/2026" xr:uid="{5995A39B-CA13-46AC-9F63-FC6D43CC51BC}"/>
    <hyperlink ref="AB45" r:id="rId111" display="05/03/2026" xr:uid="{23E05DA3-B29E-435F-BC6C-C5FEEEE3F76E}"/>
    <hyperlink ref="AB47" r:id="rId112" display="05/03/2026" xr:uid="{977C35D5-F31E-4645-8B91-37B2093E7517}"/>
    <hyperlink ref="AB49" r:id="rId113" display="06/03/2026" xr:uid="{1695B1EE-1118-4916-84F4-FC61CCD057C6}"/>
    <hyperlink ref="AA56" r:id="rId114" display="4090180261" xr:uid="{69B3FC5F-E247-461F-A433-0233498EFF5C}"/>
    <hyperlink ref="AA52" r:id="rId115" display="4090180230" xr:uid="{5BC566B8-43EB-41C0-9709-C18CC1D943D4}"/>
    <hyperlink ref="AB12" r:id="rId116" display="09/03/2026" xr:uid="{CB6F0284-F444-412B-9D22-C99F3BAE9193}"/>
    <hyperlink ref="AB46" r:id="rId117" display="09/03/2026" xr:uid="{7F1A2F28-DAEB-401C-8DEA-4500B452047B}"/>
    <hyperlink ref="AB48" r:id="rId118" display="09/03/2026" xr:uid="{EEAE1BC8-89A6-4E38-AE39-8929D8D0B155}"/>
    <hyperlink ref="AB50" r:id="rId119" display="09/03/2026" xr:uid="{B8896067-8877-4BBA-88FE-0D7CB53BDCF4}"/>
    <hyperlink ref="AB51" r:id="rId120" display="09/03/2026" xr:uid="{3A06AE19-CA35-4563-9E15-2374B89ED708}"/>
    <hyperlink ref="AB54" r:id="rId121" display="09/03/2026" xr:uid="{D9D82FD8-FBA4-401D-8A4F-B2AB1A7B0DDF}"/>
    <hyperlink ref="AB17" r:id="rId122" display="06/03/2026" xr:uid="{4059AB58-EA68-4B58-A181-F00AE4A2F773}"/>
    <hyperlink ref="AB21" r:id="rId123" display="06/03/2026" xr:uid="{191E2346-422F-4312-A3E4-54435E2E408C}"/>
    <hyperlink ref="AB22" r:id="rId124" display="09/03/2026" xr:uid="{4A205AC9-DE4E-4F39-9836-F65B1F85FCF6}"/>
    <hyperlink ref="AB37" r:id="rId125" display="09/03/2026" xr:uid="{ACC04394-A8D1-4CC5-9B92-B023C3730368}"/>
    <hyperlink ref="AB44" r:id="rId126" display="09/03/2026" xr:uid="{2424338C-3D91-48D0-9287-565DA6E1B296}"/>
    <hyperlink ref="AB53" r:id="rId127" display="09/03/2026" xr:uid="{0EFCDCD5-9A77-49F4-B7A9-C2C4A43655BE}"/>
    <hyperlink ref="AB55" r:id="rId128" display="09/03/2026" xr:uid="{FC9689CE-4B23-444E-A21C-C37B83C085A0}"/>
    <hyperlink ref="AB18" r:id="rId129" display="06/03/2026" xr:uid="{58101D93-9877-4E7C-9A60-922950891ECB}"/>
    <hyperlink ref="AB23" r:id="rId130" display="09/03/2026" xr:uid="{85AA2C09-66FD-4E81-86C3-CE776F367FAD}"/>
    <hyperlink ref="AB26" r:id="rId131" display="09/03/2026" xr:uid="{D8AA01B5-938C-4946-A230-16D60A9AF677}"/>
    <hyperlink ref="AB31" r:id="rId132" display="07/03/2026" xr:uid="{4E023B93-D386-49A3-BA6D-DABD2D72E54E}"/>
    <hyperlink ref="AB32" r:id="rId133" display="09/03/2026" xr:uid="{C74285FE-F249-4D40-AF7C-36A1E9FA0F49}"/>
    <hyperlink ref="AA58" r:id="rId134" display="4090180265" xr:uid="{24FE41A8-00ED-4C37-A525-D8486C8B1B74}"/>
    <hyperlink ref="AA63" r:id="rId135" display="4090180290" xr:uid="{46D20AF8-9775-4DAD-96E1-07D29974C3B2}"/>
    <hyperlink ref="AA65" r:id="rId136" display="4090180292" xr:uid="{4BCF86EA-058B-4C7B-A86A-A3D83AA8261B}"/>
    <hyperlink ref="AA59" r:id="rId137" display="4090180284" xr:uid="{A8BEB75C-CE2E-4151-9684-B2C99954E92A}"/>
    <hyperlink ref="AB11" r:id="rId138" display="09/03/2026" xr:uid="{9A8A954B-47BC-4F77-8AEA-F4A0DF08DCAE}"/>
    <hyperlink ref="AB35" r:id="rId139" display="10/03/2026" xr:uid="{48DE3500-1834-497F-9F1E-0EF99259BD1C}"/>
    <hyperlink ref="AB39" r:id="rId140" display="10/03/2026" xr:uid="{B2BBD44D-8102-476E-87F2-57D502F2E143}"/>
    <hyperlink ref="AB30" r:id="rId141" display="10/03/2026" xr:uid="{C499CDB4-ECC1-4304-9789-662CBF886C08}"/>
    <hyperlink ref="AB33" r:id="rId142" display="10/03/2026" xr:uid="{A444E740-B9AC-4EF4-B70F-D4193E45D9D2}"/>
    <hyperlink ref="AB34" r:id="rId143" display="09/03/2026" xr:uid="{C0ACD0E6-2681-4030-B632-F68316844D18}"/>
    <hyperlink ref="AB41" r:id="rId144" display="09/03/2026" xr:uid="{E0B3E835-2399-4824-824F-FE2EDFFD6DEB}"/>
    <hyperlink ref="AB43" r:id="rId145" display="10/03/2026" xr:uid="{A1CCB845-6F5D-4DDD-BC48-2ABFECB59EB6}"/>
    <hyperlink ref="AB79" r:id="rId146" display="11/03/2026" xr:uid="{45C7B58A-FD6A-44DE-A616-DD5A664D0537}"/>
    <hyperlink ref="AB80" r:id="rId147" display="10/03/2026" xr:uid="{FFEC7FA0-E1DD-4BD2-B6CA-520F953693F0}"/>
    <hyperlink ref="AB57" r:id="rId148" display="10/03/2026" xr:uid="{064BBC9E-77B9-45ED-B1F3-51075591B424}"/>
    <hyperlink ref="AA80" r:id="rId149" display="4090180338" xr:uid="{D7930A5C-71AA-4BBA-AE0F-F3034FCF232D}"/>
    <hyperlink ref="AA79" r:id="rId150" display="4090180334" xr:uid="{770A3172-C7D5-480B-9A9C-7C3D5204514B}"/>
    <hyperlink ref="AA73" r:id="rId151" display="4090180320" xr:uid="{C0C63C2D-D7AE-42DA-80B1-187FFD0D9C47}"/>
    <hyperlink ref="AA72" r:id="rId152" display="4090180319" xr:uid="{9664B1D2-2B65-4584-A18D-4AB0ACA0ED1D}"/>
    <hyperlink ref="AA71" r:id="rId153" display="4090180318" xr:uid="{C07423CC-E69E-41F1-B886-F7FA43FB7700}"/>
    <hyperlink ref="AA68" r:id="rId154" display="4090180312" xr:uid="{666858A7-8D61-4614-8668-9B039B141F67}"/>
    <hyperlink ref="AA67" r:id="rId155" display="4090180311" xr:uid="{52DEA386-0078-4EC3-A4C7-2586260F6FCB}"/>
    <hyperlink ref="AA66" r:id="rId156" display="4090180293" xr:uid="{412AA502-01A4-4602-96C3-C4D6CE3BA41A}"/>
    <hyperlink ref="AA64" r:id="rId157" display="4090180291" xr:uid="{DFFC3635-9BB2-4639-9F1D-55BC010E6335}"/>
    <hyperlink ref="AA62" r:id="rId158" display="4090180289" xr:uid="{57B04081-13EE-4AAD-B3FE-D7FB8ACC12A4}"/>
    <hyperlink ref="AA61" r:id="rId159" display="4090180288" xr:uid="{01C65B50-2B0C-4060-A3DD-AB59614E90F9}"/>
    <hyperlink ref="AA60" r:id="rId160" display="4090180286" xr:uid="{C2FA0250-7DA4-4EFA-A018-5D61A40BB5B2}"/>
    <hyperlink ref="AA75" r:id="rId161" display="4090180329" xr:uid="{C45B0691-CCF2-4098-A5B1-79C38AF7BB9E}"/>
    <hyperlink ref="AB56" r:id="rId162" display="11/03/2026" xr:uid="{2A632AF9-EA13-415F-8D96-F567A3EF394E}"/>
    <hyperlink ref="AB58" r:id="rId163" display="11/03/2026" xr:uid="{1BAFE017-3B45-47A1-A5C1-429BCD282742}"/>
    <hyperlink ref="AB59" r:id="rId164" display="11/03/2026" xr:uid="{6F064C8E-651F-4544-975C-7F855B858711}"/>
    <hyperlink ref="AB75" r:id="rId165" display="11/03/2026" xr:uid="{C3214585-8622-4BA6-9959-748FFF960CC5}"/>
    <hyperlink ref="AA76" r:id="rId166" display="4090180331" xr:uid="{BFF1695B-C1F4-44CE-98A8-1ABC2774A505}"/>
    <hyperlink ref="AA81" r:id="rId167" display="4090180339" xr:uid="{0F02EC50-404F-406D-AB35-7FC37797E33F}"/>
    <hyperlink ref="AA69" r:id="rId168" display="4090180313" xr:uid="{F3840030-4D25-440B-AB3B-31355806BFF3}"/>
    <hyperlink ref="AA77" r:id="rId169" display="4090180332" xr:uid="{29124C39-C757-4F91-B8E0-8BCBEFBCB9C4}"/>
    <hyperlink ref="AA78" r:id="rId170" display="4090180333" xr:uid="{66DE26D8-CE15-4EA4-9DEE-1E1838378D58}"/>
    <hyperlink ref="AA82" r:id="rId171" display="4090180340" xr:uid="{FA175C87-BCBC-4DB4-A69B-9CDB6680AAD7}"/>
    <hyperlink ref="AA83" r:id="rId172" display="4090180341" xr:uid="{C12EB6B7-0579-4C30-BBCC-C6FA5C21E406}"/>
    <hyperlink ref="AA84" r:id="rId173" display="4090180356" xr:uid="{A8A8C313-0BAB-4B39-A301-2925FB48F9D1}"/>
    <hyperlink ref="AA85" r:id="rId174" display="4090180357" xr:uid="{3C5459DD-05B9-463B-ADD7-75049C501213}"/>
    <hyperlink ref="AA91" r:id="rId175" display="4090180366" xr:uid="{4F5D2669-F2FA-49DF-B0FC-FDBD8C116973}"/>
    <hyperlink ref="AB85" r:id="rId176" display="12/03/2026" xr:uid="{90EC2EFF-017D-4EDA-B702-6A5A6BEF3073}"/>
    <hyperlink ref="AB84" r:id="rId177" display="12/03/2026" xr:uid="{BBADCC07-B04F-4FD6-8F4C-CE46AA5DD8D8}"/>
    <hyperlink ref="AB76" r:id="rId178" display="12/03/2026" xr:uid="{32850A03-8BC5-496F-B3BF-DF813143EF10}"/>
    <hyperlink ref="AA87" r:id="rId179" display="4090180359" xr:uid="{98A0CE9F-B214-4ADA-B064-0E293750BAD9}"/>
    <hyperlink ref="AA92" r:id="rId180" display="4090180369" xr:uid="{16B8E9BB-2639-49A9-B955-0D6F1AB83B8D}"/>
    <hyperlink ref="AA74" r:id="rId181" display="4090180328" xr:uid="{E09340C9-9ED0-4E47-8E0C-49306336684A}"/>
    <hyperlink ref="AA70" r:id="rId182" display="4090180314" xr:uid="{618D55FC-60A6-4060-9DCD-3145B8633B3C}"/>
    <hyperlink ref="AA88" r:id="rId183" display="4090180360" xr:uid="{D3530AB1-14FB-48B4-941E-007E1385EC56}"/>
    <hyperlink ref="AA90" r:id="rId184" display="4090180365" xr:uid="{FC25A46F-4CD5-4281-BD84-4ECE6829B4B8}"/>
    <hyperlink ref="AA94" r:id="rId185" display="4090180385" xr:uid="{DB12148C-FFA7-40CD-8E8C-A52ABE3FEB99}"/>
    <hyperlink ref="AA100" r:id="rId186" display="4090180407" xr:uid="{D5ED98D1-5ED4-4BD7-B088-841E095DC1A3}"/>
    <hyperlink ref="AA99" r:id="rId187" display="4090180405" xr:uid="{8E928C9B-6947-4EBA-9809-BB0FC33836EA}"/>
    <hyperlink ref="AA103" r:id="rId188" display="4090180410" xr:uid="{7EDDDB60-F767-440A-8C50-2F0203D7FF31}"/>
    <hyperlink ref="AA95" r:id="rId189" display="4090180400" xr:uid="{8170E5FA-0235-459B-A473-87431B2970FA}"/>
    <hyperlink ref="AA96" r:id="rId190" display="4090180401" xr:uid="{74E5B42E-31CC-4267-8726-7D0366595552}"/>
    <hyperlink ref="AA102" r:id="rId191" display="4090180409" xr:uid="{9FAC91F4-F9CC-424E-A812-13F019C2CC01}"/>
    <hyperlink ref="AA107" r:id="rId192" display="4090180418" xr:uid="{D7AD21BA-D705-4DDC-A30D-ACD47DC4119F}"/>
    <hyperlink ref="AA108" r:id="rId193" display="4090180419" xr:uid="{3A0B0492-6C2F-4FED-BC39-922DB2823B97}"/>
    <hyperlink ref="D60" r:id="rId194" xr:uid="{45A3ED28-A6D1-4942-8E79-05280BFCA93E}"/>
    <hyperlink ref="AA105" r:id="rId195" display="4090180412" xr:uid="{760D9F20-8774-4A94-B374-12EC4DB14823}"/>
    <hyperlink ref="AB70" r:id="rId196" display="13/03/2026" xr:uid="{6A5A8101-AC8E-40F1-AA76-C8897C486692}"/>
    <hyperlink ref="AB74" r:id="rId197" display="13/03/2026" xr:uid="{FAFC76C2-9AEC-43A3-AB09-40A53B010DB2}"/>
    <hyperlink ref="AA112" r:id="rId198" display="4090180436" xr:uid="{41829FEA-7950-4C9E-9752-BF10DD1C0E39}"/>
    <hyperlink ref="D70" r:id="rId199" xr:uid="{E18E3F71-6073-4C03-B3C4-52CB86C74FDF}"/>
    <hyperlink ref="D74" r:id="rId200" xr:uid="{CF2A854F-854F-48F2-A222-A86E2EF2246E}"/>
    <hyperlink ref="AA93" r:id="rId201" display="4090180370" xr:uid="{F0BCBF22-6E2B-4727-804C-557AEE1E5B73}"/>
    <hyperlink ref="AA86" r:id="rId202" display="4090180358" xr:uid="{726A5CE3-B538-49A7-83B0-9E1DB53513D4}"/>
    <hyperlink ref="AA89" r:id="rId203" display="4090180361" xr:uid="{BCCF4ABE-06DA-4BA8-9706-2FD1D4767FB9}"/>
    <hyperlink ref="AA115" r:id="rId204" display="4090180450" xr:uid="{A7C166B9-2D9F-4E36-AB13-59110490CCF8}"/>
    <hyperlink ref="D64" r:id="rId205" xr:uid="{4CCA8836-AD6B-4B68-8234-D59D51148A7C}"/>
    <hyperlink ref="D69" r:id="rId206" xr:uid="{3284E04F-7BD6-4D1F-9C9C-2BDCC33DC8BB}"/>
    <hyperlink ref="D82" r:id="rId207" xr:uid="{CB6F0637-BF6A-46E0-B8B7-5933F8C1109F}"/>
    <hyperlink ref="D83" r:id="rId208" xr:uid="{330551D6-BABA-490D-B211-02864D87E078}"/>
    <hyperlink ref="D36" r:id="rId209" xr:uid="{1CE2E147-A24F-4751-92FC-C5AF87B98EFC}"/>
    <hyperlink ref="D77" r:id="rId210" xr:uid="{5C4D379A-0495-4FF6-BA11-C4D00D3A037D}"/>
    <hyperlink ref="D78" r:id="rId211" xr:uid="{6A3EA3FF-5E14-4B23-9CAA-BBCCD8A946B9}"/>
    <hyperlink ref="AA106" r:id="rId212" display="4090180413" xr:uid="{8505BF1D-2759-4501-9D23-1DA33AF38378}"/>
    <hyperlink ref="AA119" r:id="rId213" display="4090180462" xr:uid="{7C9E799A-D682-4931-B077-8498D6CA3FCE}"/>
    <hyperlink ref="AA123" r:id="rId214" display="4090180472" xr:uid="{F7D4172D-60B7-404D-BD6D-F7AB2E458EB6}"/>
    <hyperlink ref="AA125" r:id="rId215" display="4090180481" xr:uid="{9002B628-DB19-4517-8A93-FF7F0F1CB8B8}"/>
    <hyperlink ref="AA97" r:id="rId216" display="4090180402" xr:uid="{5B8CE14E-57A3-43DB-9692-F05FFAAD43E3}"/>
    <hyperlink ref="AA101" r:id="rId217" display="4090180408" xr:uid="{A950EED5-9306-440A-9FEE-C48F52AF4E97}"/>
    <hyperlink ref="AA104" r:id="rId218" display="4090180411" xr:uid="{C92752A9-1151-492E-BAE5-BC71E195B905}"/>
    <hyperlink ref="AA114" r:id="rId219" display="4090180441" xr:uid="{065316C2-687C-4A03-8FFE-6211568B4820}"/>
    <hyperlink ref="AA121" r:id="rId220" display="4090180465" xr:uid="{93640BBF-C62E-469C-8356-BF2AEB6D82DC}"/>
    <hyperlink ref="D67" r:id="rId221" xr:uid="{F5FCA351-0106-47EA-94A8-3AC35414E6AC}"/>
    <hyperlink ref="AB119" r:id="rId222" display="16/03/2026" xr:uid="{6287A2C0-AC97-4971-A177-99644D43495D}"/>
    <hyperlink ref="AB91" r:id="rId223" display="16/03/2026" xr:uid="{3AE47101-6838-4EEE-993E-4EF6BFF07C28}"/>
    <hyperlink ref="AB88" r:id="rId224" display="16/03/2026" xr:uid="{1F59CFAE-F600-4FB0-85CA-F83D93FD2212}"/>
    <hyperlink ref="AB81" r:id="rId225" display="16/03/2026" xr:uid="{D45BA6AE-E451-42FC-8399-37A0F2CA6541}"/>
    <hyperlink ref="AB89" r:id="rId226" display="16/03/2026" xr:uid="{CA2BAD43-93AA-4C01-8239-2D4FC9F868AA}"/>
    <hyperlink ref="AB72" r:id="rId227" display="16/03/2026" xr:uid="{ADB71DE5-D1A4-4798-B571-C043F6699F12}"/>
    <hyperlink ref="AB71" r:id="rId228" display="16/03/2026" xr:uid="{7F89A1D8-1304-43C0-9BB3-937374C4B509}"/>
    <hyperlink ref="AB68" r:id="rId229" display="16/03/2026" xr:uid="{B59AB19B-504B-4ED3-80EA-B898566FDEAF}"/>
    <hyperlink ref="AB73" r:id="rId230" display="16/03/2026" xr:uid="{77373BED-2CCA-4458-8AF8-CB598BDA7BC9}"/>
    <hyperlink ref="AB65" r:id="rId231" display="16/03/2026" xr:uid="{23DB3436-3C22-4EA8-A6BF-17180926BF73}"/>
    <hyperlink ref="AB40" r:id="rId232" display="16/03/2026" xr:uid="{23278731-187E-4FCF-A944-77EBAF16CE61}"/>
    <hyperlink ref="AB102" r:id="rId233" display="16/03/2026" xr:uid="{2389859E-E0DC-4122-B5C8-F56F7AAFF675}"/>
    <hyperlink ref="AB87" r:id="rId234" display="16/03/2026" xr:uid="{CD1767BE-4B09-46DA-B64A-4EDA873256D0}"/>
    <hyperlink ref="AB115" r:id="rId235" display="16/03/2026" xr:uid="{40FE2A3B-B98F-419C-8968-CBE9B97E5A2D}"/>
    <hyperlink ref="AB100" r:id="rId236" display="16/03/2026" xr:uid="{18B6D7ED-A648-4FB2-B76E-FD8D3C9FDF43}"/>
    <hyperlink ref="AB66" r:id="rId237" display="16/03/2026" xr:uid="{BB110D5A-A802-4CC3-94F7-115CBBD1FACB}"/>
    <hyperlink ref="D52" r:id="rId238" xr:uid="{A332130F-31DF-43B3-8CB9-E76F9DF2041A}"/>
    <hyperlink ref="AA113" r:id="rId239" display="4090180438" xr:uid="{A482AE41-5F49-491B-B6F2-D9889448A4DD}"/>
    <hyperlink ref="AA117" r:id="rId240" display="4090180457" xr:uid="{D4B66D82-3E40-4B99-975F-9E2578DF2FDE}"/>
    <hyperlink ref="AA118" r:id="rId241" display="4090180458" xr:uid="{BA83565B-58BC-4726-B190-1EAB85886D82}"/>
    <hyperlink ref="AA132" r:id="rId242" display="4090180512" xr:uid="{CD7B2779-0C6E-437C-AD3A-8D6FE802FBAD}"/>
    <hyperlink ref="AA111" r:id="rId243" display="4090180433" xr:uid="{2A5A19F6-4F0E-446D-913B-56C8123DA2A0}"/>
    <hyperlink ref="AA98" r:id="rId244" display="4090180403" xr:uid="{22AD88EC-1FA9-4D93-A330-98A8EE3F1574}"/>
    <hyperlink ref="AB113" r:id="rId245" display="16/03/2026" xr:uid="{868BB5A1-500D-4DDE-A57E-B6F0A23969B3}"/>
    <hyperlink ref="AB118" r:id="rId246" display="16/03/2026" xr:uid="{9621350B-D8FB-41C9-9606-CDC1868D6F00}"/>
    <hyperlink ref="AA127" r:id="rId247" display="4090180497" xr:uid="{B9086E84-63BD-44CD-9898-6984312FC65E}"/>
    <hyperlink ref="AA131" r:id="rId248" display="4090180503" xr:uid="{82F965BF-18F1-49BD-9C14-A6A352A108C8}"/>
    <hyperlink ref="D100" r:id="rId249" xr:uid="{06231A7E-5C2A-4D50-ABE4-0B045B579390}"/>
    <hyperlink ref="D65" r:id="rId250" xr:uid="{BBB8E9DC-CC31-41EC-BCD4-2E814428B995}"/>
    <hyperlink ref="D66" r:id="rId251" xr:uid="{C03B6019-1CBF-4053-8CF4-0C826B277685}"/>
    <hyperlink ref="AA122" r:id="rId252" display="4090180466" xr:uid="{184EC9B4-3A3F-4ED1-A7C8-94BDEBCD246C}"/>
    <hyperlink ref="D40" r:id="rId253" xr:uid="{CFDDD191-5F22-4117-AEA9-EE2EBFC50DE3}"/>
    <hyperlink ref="D72" r:id="rId254" xr:uid="{754AFAAB-BF32-46E4-9AA1-29C9658CC055}"/>
    <hyperlink ref="D102" r:id="rId255" xr:uid="{A4526BD1-4415-401B-A0F8-03E0AC43B180}"/>
    <hyperlink ref="D68" r:id="rId256" xr:uid="{2876E30C-DF05-4454-802A-699B089CB0A6}"/>
    <hyperlink ref="D89" r:id="rId257" xr:uid="{F3FB58A2-A1C6-47DC-9C65-B4CDFC351ADE}"/>
    <hyperlink ref="D119" r:id="rId258" xr:uid="{B47F321E-D760-4E07-BD29-1E8B6ACE3092}"/>
    <hyperlink ref="D91" r:id="rId259" xr:uid="{12F51D04-1227-44C2-B794-25773DA924E6}"/>
    <hyperlink ref="D113" r:id="rId260" xr:uid="{CDC285C3-96CA-4BC0-934F-1E80CBC115B7}"/>
    <hyperlink ref="D63" r:id="rId261" xr:uid="{631EE4A6-9B56-44D7-B5E2-294E0D82BBC4}"/>
    <hyperlink ref="D101" r:id="rId262" xr:uid="{ABFE41F2-119F-49D1-8E7F-48A6DABF3D18}"/>
    <hyperlink ref="D115" r:id="rId263" xr:uid="{5F585F8C-DBBF-4513-8EF6-0605E263E72E}"/>
    <hyperlink ref="D118" r:id="rId264" xr:uid="{6A300A67-294C-4169-BC4B-5BBCF44BC8E2}"/>
  </hyperlinks>
  <pageMargins left="0.7" right="0.7" top="0.75" bottom="0.75" header="0.3" footer="0.3"/>
  <legacyDrawing r:id="rId26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27CDF-F361-493D-89B0-98A70E42611A}">
  <sheetPr filterMode="1"/>
  <dimension ref="A1:AP227"/>
  <sheetViews>
    <sheetView workbookViewId="0">
      <selection activeCell="B15" sqref="B15"/>
    </sheetView>
  </sheetViews>
  <sheetFormatPr defaultRowHeight="15"/>
  <cols>
    <col min="1" max="1" width="12.28515625" style="48" bestFit="1" customWidth="1"/>
    <col min="2" max="2" width="28.42578125" style="48" customWidth="1"/>
    <col min="3" max="3" width="16.42578125" style="48" customWidth="1"/>
    <col min="4" max="4" width="23.5703125" style="48" customWidth="1"/>
    <col min="5" max="5" width="19.7109375" style="48" customWidth="1"/>
    <col min="6" max="6" width="15.42578125" style="48" customWidth="1"/>
    <col min="7" max="7" width="11.42578125" style="48" bestFit="1" customWidth="1"/>
    <col min="8" max="8" width="10.85546875" style="48" customWidth="1"/>
    <col min="9" max="12" width="9.140625" style="48" bestFit="1" customWidth="1"/>
    <col min="13" max="13" width="14" style="48" customWidth="1"/>
    <col min="14" max="14" width="10.140625" style="48" customWidth="1"/>
    <col min="15" max="15" width="13.5703125" style="48" customWidth="1"/>
    <col min="16" max="16" width="12" style="48" customWidth="1"/>
    <col min="17" max="17" width="11.85546875" style="48" customWidth="1"/>
    <col min="18" max="18" width="22.7109375" style="48" customWidth="1"/>
    <col min="19" max="19" width="16.42578125" style="48" customWidth="1"/>
    <col min="20" max="20" width="15.85546875" style="48" customWidth="1"/>
    <col min="21" max="21" width="14.5703125" style="48" customWidth="1"/>
    <col min="22" max="22" width="18.140625" style="48" customWidth="1"/>
    <col min="23" max="23" width="15.42578125" style="48" customWidth="1"/>
    <col min="24" max="24" width="31.5703125" style="48" customWidth="1"/>
    <col min="25" max="25" width="43.140625" style="134" customWidth="1"/>
    <col min="26" max="26" width="22.7109375" style="145" customWidth="1"/>
    <col min="27" max="27" width="21.7109375" style="48" customWidth="1"/>
    <col min="28" max="28" width="18.140625" style="48" customWidth="1"/>
    <col min="29" max="29" width="17.140625" style="48" customWidth="1"/>
    <col min="30" max="30" width="20.42578125" style="48" customWidth="1"/>
    <col min="31" max="31" width="9.140625" style="48" bestFit="1" customWidth="1"/>
    <col min="32" max="32" width="13.5703125" style="48" customWidth="1"/>
    <col min="33" max="33" width="14.85546875" style="48" customWidth="1"/>
    <col min="34" max="34" width="16" style="48" customWidth="1"/>
    <col min="35" max="35" width="9.140625" style="145" bestFit="1" customWidth="1"/>
    <col min="36" max="39" width="9.140625" style="48" bestFit="1" customWidth="1"/>
    <col min="40" max="40" width="9.85546875" style="48" bestFit="1" customWidth="1"/>
    <col min="41" max="42" width="9.140625" style="48" bestFit="1" customWidth="1"/>
    <col min="43" max="16384" width="9.140625" style="48"/>
  </cols>
  <sheetData>
    <row r="1" spans="1:42" ht="121.5">
      <c r="A1" s="32" t="s">
        <v>859</v>
      </c>
      <c r="B1" s="1" t="s">
        <v>1</v>
      </c>
      <c r="C1" s="89" t="s">
        <v>2</v>
      </c>
      <c r="D1" s="215" t="s">
        <v>860</v>
      </c>
      <c r="E1" s="215" t="s">
        <v>3</v>
      </c>
      <c r="F1" s="216" t="s">
        <v>6</v>
      </c>
      <c r="G1" s="75" t="s">
        <v>861</v>
      </c>
      <c r="H1" s="70" t="s">
        <v>862</v>
      </c>
      <c r="I1" s="71" t="s">
        <v>863</v>
      </c>
      <c r="J1" s="72" t="s">
        <v>864</v>
      </c>
      <c r="K1" s="72" t="s">
        <v>865</v>
      </c>
      <c r="L1" s="70" t="s">
        <v>866</v>
      </c>
      <c r="M1" s="73" t="s">
        <v>10</v>
      </c>
      <c r="N1" s="73" t="s">
        <v>11</v>
      </c>
      <c r="O1" s="73" t="s">
        <v>12</v>
      </c>
      <c r="P1" s="73" t="s">
        <v>867</v>
      </c>
      <c r="Q1" s="74" t="s">
        <v>868</v>
      </c>
      <c r="R1" s="224" t="s">
        <v>869</v>
      </c>
      <c r="S1" s="217" t="s">
        <v>870</v>
      </c>
      <c r="T1" s="217" t="s">
        <v>871</v>
      </c>
      <c r="U1" s="217" t="s">
        <v>872</v>
      </c>
      <c r="V1" s="217" t="s">
        <v>873</v>
      </c>
      <c r="W1" s="225" t="s">
        <v>874</v>
      </c>
      <c r="X1" s="226" t="s">
        <v>19</v>
      </c>
      <c r="Y1" s="257" t="s">
        <v>20</v>
      </c>
      <c r="Z1" s="227" t="s">
        <v>875</v>
      </c>
      <c r="AA1" s="228" t="s">
        <v>876</v>
      </c>
      <c r="AB1" s="89" t="s">
        <v>877</v>
      </c>
      <c r="AC1" s="95" t="s">
        <v>878</v>
      </c>
      <c r="AD1" s="89" t="s">
        <v>879</v>
      </c>
      <c r="AE1" s="41" t="s">
        <v>880</v>
      </c>
      <c r="AF1" s="1" t="s">
        <v>25</v>
      </c>
      <c r="AG1" s="127" t="s">
        <v>26</v>
      </c>
      <c r="AH1" s="32" t="s">
        <v>27</v>
      </c>
      <c r="AI1" s="218" t="s">
        <v>23</v>
      </c>
      <c r="AJ1" s="224" t="s">
        <v>881</v>
      </c>
      <c r="AK1" s="217" t="s">
        <v>882</v>
      </c>
      <c r="AL1" s="218" t="s">
        <v>30</v>
      </c>
      <c r="AM1" s="57" t="s">
        <v>883</v>
      </c>
      <c r="AN1" s="446" t="s">
        <v>884</v>
      </c>
      <c r="AO1" s="9" t="s">
        <v>32</v>
      </c>
      <c r="AP1" s="21" t="s">
        <v>33</v>
      </c>
    </row>
    <row r="2" spans="1:42" ht="15.75">
      <c r="A2" s="91" t="s">
        <v>885</v>
      </c>
      <c r="B2" s="80">
        <v>179630</v>
      </c>
      <c r="C2" s="2" t="s">
        <v>35</v>
      </c>
      <c r="D2" s="305">
        <v>46087</v>
      </c>
      <c r="E2" s="251">
        <v>46093</v>
      </c>
      <c r="F2" s="15"/>
      <c r="G2" s="28">
        <v>46072</v>
      </c>
      <c r="H2" s="2" t="s">
        <v>886</v>
      </c>
      <c r="I2" s="2" t="s">
        <v>886</v>
      </c>
      <c r="J2" s="2" t="s">
        <v>887</v>
      </c>
      <c r="K2" s="2" t="s">
        <v>887</v>
      </c>
      <c r="L2" s="2" t="s">
        <v>887</v>
      </c>
      <c r="M2" s="110" t="s">
        <v>888</v>
      </c>
      <c r="N2" s="2" t="s">
        <v>41</v>
      </c>
      <c r="O2" s="4" t="s">
        <v>889</v>
      </c>
      <c r="P2" s="2" t="s">
        <v>890</v>
      </c>
      <c r="Q2" s="2" t="s">
        <v>885</v>
      </c>
      <c r="R2" s="2" t="s">
        <v>891</v>
      </c>
      <c r="S2" s="439">
        <v>721293763</v>
      </c>
      <c r="T2" s="439" t="s">
        <v>892</v>
      </c>
      <c r="U2" s="407" t="s">
        <v>893</v>
      </c>
      <c r="V2" s="109" t="s">
        <v>894</v>
      </c>
      <c r="W2" s="109" t="s">
        <v>895</v>
      </c>
      <c r="X2" s="10" t="s">
        <v>896</v>
      </c>
      <c r="Y2" s="124" t="s">
        <v>896</v>
      </c>
      <c r="Z2" s="256" t="s">
        <v>897</v>
      </c>
      <c r="AA2" t="s">
        <v>898</v>
      </c>
      <c r="AB2" s="18"/>
      <c r="AC2" s="53"/>
      <c r="AD2" s="67" t="s">
        <v>899</v>
      </c>
      <c r="AE2" s="19"/>
      <c r="AF2" s="239">
        <v>46091</v>
      </c>
      <c r="AG2" s="56">
        <v>4090179630</v>
      </c>
      <c r="AH2" s="220">
        <v>46091</v>
      </c>
      <c r="AI2" s="255">
        <v>46092</v>
      </c>
      <c r="AJ2" s="447">
        <v>46093</v>
      </c>
      <c r="AK2" s="448">
        <v>46093</v>
      </c>
      <c r="AL2" s="398"/>
      <c r="AM2" s="2"/>
      <c r="AN2" s="406">
        <v>5240000</v>
      </c>
      <c r="AO2" s="11"/>
      <c r="AP2" s="37"/>
    </row>
    <row r="3" spans="1:42" ht="15.75">
      <c r="A3" s="92" t="s">
        <v>900</v>
      </c>
      <c r="B3" s="81">
        <v>180128</v>
      </c>
      <c r="C3" s="2" t="s">
        <v>392</v>
      </c>
      <c r="D3" s="305">
        <v>46093</v>
      </c>
      <c r="E3" s="15" t="s">
        <v>52</v>
      </c>
      <c r="F3" s="15"/>
      <c r="G3" s="28">
        <v>46086</v>
      </c>
      <c r="H3" s="2" t="s">
        <v>886</v>
      </c>
      <c r="I3" s="2" t="s">
        <v>886</v>
      </c>
      <c r="J3" s="2" t="s">
        <v>887</v>
      </c>
      <c r="K3" s="2" t="s">
        <v>887</v>
      </c>
      <c r="L3" s="2" t="s">
        <v>887</v>
      </c>
      <c r="M3" s="110" t="s">
        <v>40</v>
      </c>
      <c r="N3" s="2" t="s">
        <v>901</v>
      </c>
      <c r="O3" s="4" t="s">
        <v>889</v>
      </c>
      <c r="P3" s="2" t="s">
        <v>902</v>
      </c>
      <c r="Q3" s="2" t="s">
        <v>903</v>
      </c>
      <c r="R3" s="2" t="s">
        <v>904</v>
      </c>
      <c r="S3" s="439" t="s">
        <v>905</v>
      </c>
      <c r="T3" s="439" t="s">
        <v>906</v>
      </c>
      <c r="U3" s="407" t="s">
        <v>907</v>
      </c>
      <c r="V3" s="109" t="s">
        <v>908</v>
      </c>
      <c r="W3" s="109" t="s">
        <v>895</v>
      </c>
      <c r="X3" s="10" t="s">
        <v>909</v>
      </c>
      <c r="Y3" s="253" t="s">
        <v>910</v>
      </c>
      <c r="Z3" s="398"/>
      <c r="AA3" s="97"/>
      <c r="AB3" s="67">
        <v>2605110975</v>
      </c>
      <c r="AC3" s="53"/>
      <c r="AD3" s="259" t="s">
        <v>911</v>
      </c>
      <c r="AE3" s="15"/>
      <c r="AF3" s="258">
        <v>46094</v>
      </c>
      <c r="AG3" s="43">
        <v>4090180128</v>
      </c>
      <c r="AH3" s="329">
        <v>46094</v>
      </c>
      <c r="AJ3" s="406"/>
      <c r="AK3" s="398"/>
      <c r="AL3" s="398"/>
      <c r="AM3" s="2"/>
      <c r="AN3" s="406">
        <v>29000000</v>
      </c>
      <c r="AO3" s="11"/>
      <c r="AP3" s="37"/>
    </row>
    <row r="4" spans="1:42" ht="15.75">
      <c r="A4" s="92" t="s">
        <v>912</v>
      </c>
      <c r="B4" s="81">
        <v>180082</v>
      </c>
      <c r="C4" s="2" t="s">
        <v>35</v>
      </c>
      <c r="D4" s="305">
        <v>46087</v>
      </c>
      <c r="E4" s="251">
        <v>46093</v>
      </c>
      <c r="F4" s="15"/>
      <c r="G4" s="28">
        <v>46080</v>
      </c>
      <c r="H4" s="2" t="s">
        <v>886</v>
      </c>
      <c r="I4" s="2" t="s">
        <v>886</v>
      </c>
      <c r="J4" s="2" t="s">
        <v>887</v>
      </c>
      <c r="K4" s="2" t="s">
        <v>887</v>
      </c>
      <c r="L4" s="2" t="s">
        <v>887</v>
      </c>
      <c r="M4" s="110" t="s">
        <v>888</v>
      </c>
      <c r="N4" s="2" t="s">
        <v>41</v>
      </c>
      <c r="O4" s="4" t="s">
        <v>889</v>
      </c>
      <c r="P4" s="2" t="s">
        <v>890</v>
      </c>
      <c r="Q4" s="2" t="s">
        <v>912</v>
      </c>
      <c r="R4" s="2" t="s">
        <v>891</v>
      </c>
      <c r="S4" s="439">
        <v>721315569</v>
      </c>
      <c r="T4" s="439" t="s">
        <v>892</v>
      </c>
      <c r="U4" s="407" t="s">
        <v>913</v>
      </c>
      <c r="V4" s="109" t="s">
        <v>894</v>
      </c>
      <c r="W4" s="109" t="s">
        <v>895</v>
      </c>
      <c r="X4" s="10" t="s">
        <v>914</v>
      </c>
      <c r="Y4" s="124" t="s">
        <v>914</v>
      </c>
      <c r="Z4" s="256" t="s">
        <v>915</v>
      </c>
      <c r="AA4" s="254" t="s">
        <v>916</v>
      </c>
      <c r="AB4" s="18"/>
      <c r="AC4" s="53"/>
      <c r="AD4" s="67" t="s">
        <v>917</v>
      </c>
      <c r="AE4" s="19"/>
      <c r="AF4" s="449">
        <v>46090</v>
      </c>
      <c r="AG4" s="93">
        <v>4090180082</v>
      </c>
      <c r="AH4" s="329">
        <v>46091</v>
      </c>
      <c r="AI4" s="255">
        <v>46092</v>
      </c>
      <c r="AJ4" s="447">
        <v>46093</v>
      </c>
      <c r="AK4" s="448">
        <v>46093</v>
      </c>
      <c r="AL4" s="398"/>
      <c r="AM4" s="2"/>
      <c r="AN4" s="406">
        <v>5320000</v>
      </c>
      <c r="AO4" s="11"/>
      <c r="AP4" s="37"/>
    </row>
    <row r="5" spans="1:42" ht="15.75">
      <c r="A5" s="92" t="s">
        <v>918</v>
      </c>
      <c r="B5" s="81">
        <v>180352</v>
      </c>
      <c r="C5" s="2" t="s">
        <v>385</v>
      </c>
      <c r="D5" s="305">
        <v>46109</v>
      </c>
      <c r="E5" s="15"/>
      <c r="F5" s="15"/>
      <c r="G5" s="28">
        <v>46091</v>
      </c>
      <c r="H5" s="2" t="s">
        <v>919</v>
      </c>
      <c r="I5" s="252">
        <v>46094</v>
      </c>
      <c r="J5" s="2"/>
      <c r="K5" s="2"/>
      <c r="L5" s="2"/>
      <c r="M5" s="110" t="s">
        <v>888</v>
      </c>
      <c r="N5" s="2" t="s">
        <v>41</v>
      </c>
      <c r="O5" s="4" t="s">
        <v>889</v>
      </c>
      <c r="P5" s="2" t="s">
        <v>890</v>
      </c>
      <c r="Q5" s="2" t="s">
        <v>918</v>
      </c>
      <c r="R5" s="2" t="s">
        <v>920</v>
      </c>
      <c r="S5" s="439">
        <v>721336816</v>
      </c>
      <c r="T5" s="439" t="s">
        <v>892</v>
      </c>
      <c r="U5" s="407" t="s">
        <v>921</v>
      </c>
      <c r="V5" s="109" t="s">
        <v>894</v>
      </c>
      <c r="W5" s="109" t="s">
        <v>895</v>
      </c>
      <c r="X5" s="10"/>
      <c r="Z5" s="398"/>
      <c r="AA5" s="105"/>
      <c r="AB5" s="20"/>
      <c r="AC5" s="53"/>
      <c r="AD5" s="221"/>
      <c r="AE5" s="15"/>
      <c r="AF5" s="47"/>
      <c r="AG5" s="2">
        <v>4090180352</v>
      </c>
      <c r="AH5" s="10"/>
      <c r="AJ5" s="406"/>
      <c r="AK5" s="18"/>
      <c r="AL5" s="398"/>
      <c r="AM5" s="2"/>
      <c r="AN5" s="406"/>
      <c r="AO5" s="11"/>
      <c r="AP5" s="37"/>
    </row>
    <row r="6" spans="1:42" ht="15.75">
      <c r="A6" s="129" t="s">
        <v>922</v>
      </c>
      <c r="B6" s="128">
        <v>180485</v>
      </c>
      <c r="C6" s="2" t="s">
        <v>385</v>
      </c>
      <c r="D6" s="305">
        <v>46109</v>
      </c>
      <c r="E6" s="131"/>
      <c r="F6" s="143"/>
      <c r="G6" s="144">
        <v>46094</v>
      </c>
      <c r="H6" s="145"/>
      <c r="I6" s="145"/>
      <c r="J6" s="145"/>
      <c r="K6" s="145"/>
      <c r="L6" s="134"/>
      <c r="M6" s="110" t="s">
        <v>888</v>
      </c>
      <c r="N6" s="2" t="s">
        <v>41</v>
      </c>
      <c r="O6" s="4" t="s">
        <v>889</v>
      </c>
      <c r="P6" s="2" t="s">
        <v>890</v>
      </c>
      <c r="Q6" s="129" t="s">
        <v>922</v>
      </c>
      <c r="R6" s="2" t="s">
        <v>920</v>
      </c>
      <c r="S6" s="133">
        <v>721336818</v>
      </c>
      <c r="T6" s="349" t="s">
        <v>892</v>
      </c>
      <c r="U6" s="25" t="s">
        <v>923</v>
      </c>
      <c r="V6" s="109" t="s">
        <v>894</v>
      </c>
      <c r="W6" s="109" t="s">
        <v>895</v>
      </c>
      <c r="X6" s="133"/>
      <c r="Z6" s="100"/>
      <c r="AA6" s="101"/>
      <c r="AB6" s="183"/>
      <c r="AC6" s="135"/>
      <c r="AD6" s="183"/>
      <c r="AE6" s="131"/>
      <c r="AF6" s="50"/>
      <c r="AG6" s="52"/>
      <c r="AH6" s="171"/>
      <c r="AI6" s="147"/>
      <c r="AJ6" s="154"/>
      <c r="AK6" s="140"/>
      <c r="AL6" s="116"/>
      <c r="AM6" s="8"/>
      <c r="AN6" s="450"/>
      <c r="AO6" s="150"/>
      <c r="AP6" s="151"/>
    </row>
    <row r="7" spans="1:42" ht="15.75">
      <c r="A7" s="129" t="s">
        <v>924</v>
      </c>
      <c r="B7" s="128">
        <v>180487</v>
      </c>
      <c r="C7" s="2" t="s">
        <v>385</v>
      </c>
      <c r="D7" s="305">
        <v>46109</v>
      </c>
      <c r="E7" s="131"/>
      <c r="F7" s="131"/>
      <c r="G7" s="144">
        <v>46094</v>
      </c>
      <c r="H7" s="8"/>
      <c r="I7" s="8"/>
      <c r="J7" s="8"/>
      <c r="K7" s="8"/>
      <c r="L7" s="13"/>
      <c r="M7" s="110" t="s">
        <v>888</v>
      </c>
      <c r="N7" s="2" t="s">
        <v>41</v>
      </c>
      <c r="O7" s="4" t="s">
        <v>889</v>
      </c>
      <c r="P7" s="2" t="s">
        <v>890</v>
      </c>
      <c r="Q7" s="129" t="s">
        <v>924</v>
      </c>
      <c r="R7" s="2" t="s">
        <v>920</v>
      </c>
      <c r="S7" s="133">
        <v>721359011</v>
      </c>
      <c r="T7" s="349" t="s">
        <v>892</v>
      </c>
      <c r="U7" s="25" t="s">
        <v>925</v>
      </c>
      <c r="V7" s="109" t="s">
        <v>894</v>
      </c>
      <c r="W7" s="109" t="s">
        <v>895</v>
      </c>
      <c r="X7" s="133"/>
      <c r="Z7" s="123"/>
      <c r="AA7" s="155"/>
      <c r="AB7" s="183"/>
      <c r="AC7" s="135"/>
      <c r="AD7" s="183"/>
      <c r="AE7" s="131"/>
      <c r="AF7" s="50"/>
      <c r="AG7" s="52"/>
      <c r="AH7" s="171"/>
      <c r="AI7" s="147"/>
      <c r="AJ7" s="139"/>
      <c r="AK7" s="140"/>
      <c r="AL7" s="116"/>
      <c r="AM7" s="8"/>
      <c r="AN7" s="451"/>
      <c r="AO7" s="150"/>
      <c r="AP7" s="142"/>
    </row>
    <row r="8" spans="1:42" ht="15.75">
      <c r="A8" s="129" t="s">
        <v>926</v>
      </c>
      <c r="B8" s="128">
        <v>180488</v>
      </c>
      <c r="C8" s="2" t="s">
        <v>385</v>
      </c>
      <c r="D8" s="305">
        <v>46109</v>
      </c>
      <c r="E8" s="131"/>
      <c r="F8" s="131"/>
      <c r="G8" s="144">
        <v>46094</v>
      </c>
      <c r="H8" s="8"/>
      <c r="I8" s="8"/>
      <c r="J8" s="8"/>
      <c r="K8" s="8"/>
      <c r="L8" s="13"/>
      <c r="M8" s="110" t="s">
        <v>888</v>
      </c>
      <c r="N8" s="2" t="s">
        <v>41</v>
      </c>
      <c r="O8" s="4" t="s">
        <v>889</v>
      </c>
      <c r="P8" s="2" t="s">
        <v>890</v>
      </c>
      <c r="Q8" s="129" t="s">
        <v>926</v>
      </c>
      <c r="R8" s="2" t="s">
        <v>920</v>
      </c>
      <c r="S8" s="133">
        <v>721359010</v>
      </c>
      <c r="T8" s="349" t="s">
        <v>892</v>
      </c>
      <c r="U8" s="25" t="s">
        <v>927</v>
      </c>
      <c r="V8" s="109" t="s">
        <v>894</v>
      </c>
      <c r="W8" s="109" t="s">
        <v>895</v>
      </c>
      <c r="X8" s="133"/>
      <c r="Z8" s="100"/>
      <c r="AA8" s="101"/>
      <c r="AB8" s="183"/>
      <c r="AC8" s="135"/>
      <c r="AD8" s="183"/>
      <c r="AE8" s="131"/>
      <c r="AF8" s="50"/>
      <c r="AG8" s="168"/>
      <c r="AH8" s="171"/>
      <c r="AI8" s="222"/>
      <c r="AJ8" s="139"/>
      <c r="AK8" s="140"/>
      <c r="AL8" s="116"/>
      <c r="AM8" s="8"/>
      <c r="AN8" s="452"/>
      <c r="AO8" s="150"/>
      <c r="AP8" s="142"/>
    </row>
    <row r="9" spans="1:42" ht="15.75">
      <c r="A9" s="129"/>
      <c r="B9" s="128"/>
      <c r="C9" s="33"/>
      <c r="D9" s="208"/>
      <c r="E9" s="131"/>
      <c r="F9" s="157"/>
      <c r="G9" s="144"/>
      <c r="H9" s="158"/>
      <c r="I9" s="145"/>
      <c r="J9" s="145"/>
      <c r="K9" s="145"/>
      <c r="L9" s="134"/>
      <c r="M9" s="132"/>
      <c r="N9" s="8"/>
      <c r="O9" s="8"/>
      <c r="P9" s="8"/>
      <c r="Q9" s="8"/>
      <c r="R9" s="13"/>
      <c r="S9" s="133"/>
      <c r="T9" s="133"/>
      <c r="U9" s="25"/>
      <c r="V9" s="131"/>
      <c r="W9" s="214"/>
      <c r="X9" s="133"/>
      <c r="Z9" s="100"/>
      <c r="AA9" s="101"/>
      <c r="AB9" s="183"/>
      <c r="AC9" s="135"/>
      <c r="AD9" s="183"/>
      <c r="AE9" s="162"/>
      <c r="AF9" s="50"/>
      <c r="AG9" s="52"/>
      <c r="AH9" s="171"/>
      <c r="AI9" s="147"/>
      <c r="AJ9" s="139"/>
      <c r="AK9" s="140"/>
      <c r="AL9" s="116"/>
      <c r="AM9" s="8"/>
      <c r="AN9" s="450"/>
      <c r="AO9" s="150"/>
      <c r="AP9" s="151"/>
    </row>
    <row r="10" spans="1:42" ht="15.75">
      <c r="A10" s="129"/>
      <c r="B10" s="128"/>
      <c r="C10" s="33"/>
      <c r="D10" s="208"/>
      <c r="E10" s="131"/>
      <c r="F10" s="131"/>
      <c r="G10" s="76"/>
      <c r="H10" s="8"/>
      <c r="I10" s="8"/>
      <c r="J10" s="8"/>
      <c r="K10" s="8"/>
      <c r="L10" s="13"/>
      <c r="M10" s="132"/>
      <c r="N10" s="8"/>
      <c r="O10" s="8"/>
      <c r="P10" s="8"/>
      <c r="Q10" s="8"/>
      <c r="R10" s="13"/>
      <c r="S10" s="133"/>
      <c r="T10" s="133"/>
      <c r="U10" s="8"/>
      <c r="V10" s="131"/>
      <c r="W10" s="214"/>
      <c r="X10" s="133"/>
      <c r="Z10" s="100"/>
      <c r="AA10" s="101"/>
      <c r="AB10" s="183"/>
      <c r="AC10" s="135"/>
      <c r="AD10" s="183"/>
      <c r="AE10" s="223"/>
      <c r="AF10" s="50"/>
      <c r="AG10" s="52"/>
      <c r="AH10" s="171"/>
      <c r="AI10" s="147"/>
      <c r="AJ10" s="154"/>
      <c r="AK10" s="147"/>
      <c r="AL10" s="116"/>
      <c r="AM10" s="8"/>
      <c r="AN10" s="453"/>
      <c r="AO10" s="150"/>
      <c r="AP10" s="142"/>
    </row>
    <row r="11" spans="1:42" ht="15.75">
      <c r="A11" s="129"/>
      <c r="B11" s="128"/>
      <c r="C11" s="33"/>
      <c r="D11" s="208"/>
      <c r="E11" s="130"/>
      <c r="F11" s="131"/>
      <c r="G11" s="76"/>
      <c r="H11" s="8"/>
      <c r="I11" s="8"/>
      <c r="J11" s="8"/>
      <c r="K11" s="8"/>
      <c r="L11" s="13"/>
      <c r="M11" s="132"/>
      <c r="N11" s="8"/>
      <c r="O11" s="8"/>
      <c r="P11" s="8"/>
      <c r="Q11" s="8"/>
      <c r="R11" s="13"/>
      <c r="S11" s="133"/>
      <c r="T11" s="133"/>
      <c r="U11" s="25"/>
      <c r="V11" s="131"/>
      <c r="W11" s="214"/>
      <c r="X11" s="133"/>
      <c r="Z11" s="123"/>
      <c r="AA11" s="155"/>
      <c r="AB11" s="183"/>
      <c r="AC11" s="454"/>
      <c r="AD11" s="183"/>
      <c r="AE11" s="162"/>
      <c r="AF11" s="50"/>
      <c r="AG11" s="52"/>
      <c r="AH11" s="171"/>
      <c r="AI11" s="147"/>
      <c r="AJ11" s="156"/>
      <c r="AK11" s="138"/>
      <c r="AL11" s="116"/>
      <c r="AM11" s="8"/>
      <c r="AN11" s="159"/>
      <c r="AO11" s="150"/>
      <c r="AP11" s="142"/>
    </row>
    <row r="12" spans="1:42" ht="15.75">
      <c r="A12" s="129"/>
      <c r="B12" s="128"/>
      <c r="C12" s="33"/>
      <c r="D12" s="208"/>
      <c r="E12" s="130"/>
      <c r="F12" s="157"/>
      <c r="G12" s="76"/>
      <c r="H12" s="158"/>
      <c r="I12" s="8"/>
      <c r="J12" s="8"/>
      <c r="K12" s="8"/>
      <c r="L12" s="13"/>
      <c r="M12" s="132"/>
      <c r="N12" s="8"/>
      <c r="O12" s="8"/>
      <c r="P12" s="8"/>
      <c r="Q12" s="8"/>
      <c r="R12" s="13"/>
      <c r="S12" s="133"/>
      <c r="T12" s="133"/>
      <c r="U12" s="8"/>
      <c r="V12" s="131"/>
      <c r="W12" s="214"/>
      <c r="X12" s="133"/>
      <c r="Z12" s="100"/>
      <c r="AA12" s="101"/>
      <c r="AB12" s="183"/>
      <c r="AC12" s="135"/>
      <c r="AD12" s="183"/>
      <c r="AE12" s="131"/>
      <c r="AF12" s="50"/>
      <c r="AG12" s="52"/>
      <c r="AH12" s="171"/>
      <c r="AI12" s="147"/>
      <c r="AJ12" s="139"/>
      <c r="AK12" s="125"/>
      <c r="AL12" s="116"/>
      <c r="AM12" s="8"/>
      <c r="AN12" s="455"/>
      <c r="AO12" s="150"/>
      <c r="AP12" s="142"/>
    </row>
    <row r="13" spans="1:42" ht="15.75">
      <c r="A13" s="129"/>
      <c r="B13" s="128"/>
      <c r="C13" s="33"/>
      <c r="D13" s="208"/>
      <c r="E13" s="131"/>
      <c r="F13" s="131"/>
      <c r="G13" s="76"/>
      <c r="H13" s="8"/>
      <c r="I13" s="8"/>
      <c r="J13" s="8"/>
      <c r="K13" s="8"/>
      <c r="L13" s="13"/>
      <c r="M13" s="132"/>
      <c r="N13" s="8"/>
      <c r="O13" s="8"/>
      <c r="P13" s="8"/>
      <c r="Q13" s="8"/>
      <c r="R13" s="13"/>
      <c r="S13" s="133"/>
      <c r="T13" s="133"/>
      <c r="U13" s="25"/>
      <c r="V13" s="131"/>
      <c r="W13" s="214"/>
      <c r="X13" s="133"/>
      <c r="Z13" s="100"/>
      <c r="AA13" s="101"/>
      <c r="AB13" s="183"/>
      <c r="AC13" s="135"/>
      <c r="AD13" s="183"/>
      <c r="AE13" s="131"/>
      <c r="AF13" s="50"/>
      <c r="AG13" s="52"/>
      <c r="AH13" s="171"/>
      <c r="AI13" s="147"/>
      <c r="AJ13" s="154"/>
      <c r="AK13" s="140"/>
      <c r="AL13" s="116"/>
      <c r="AM13" s="8"/>
      <c r="AN13" s="456"/>
      <c r="AO13" s="150"/>
      <c r="AP13" s="142"/>
    </row>
    <row r="14" spans="1:42" ht="15.75">
      <c r="A14" s="129"/>
      <c r="B14" s="128"/>
      <c r="C14" s="33"/>
      <c r="D14" s="208"/>
      <c r="E14" s="131"/>
      <c r="F14" s="131"/>
      <c r="G14" s="76"/>
      <c r="H14" s="8"/>
      <c r="I14" s="8"/>
      <c r="J14" s="8"/>
      <c r="K14" s="8"/>
      <c r="L14" s="13"/>
      <c r="M14" s="132"/>
      <c r="N14" s="8"/>
      <c r="O14" s="8"/>
      <c r="P14" s="8"/>
      <c r="Q14" s="8"/>
      <c r="R14" s="13"/>
      <c r="S14" s="133"/>
      <c r="T14" s="133"/>
      <c r="U14" s="8"/>
      <c r="V14" s="131"/>
      <c r="W14" s="214"/>
      <c r="X14" s="133"/>
      <c r="Z14" s="100"/>
      <c r="AA14" s="101"/>
      <c r="AB14" s="136"/>
      <c r="AC14" s="152"/>
      <c r="AD14" s="136"/>
      <c r="AE14" s="131"/>
      <c r="AF14" s="50"/>
      <c r="AG14" s="52"/>
      <c r="AH14" s="171"/>
      <c r="AI14" s="147"/>
      <c r="AJ14" s="154"/>
      <c r="AK14" s="125"/>
      <c r="AL14" s="116"/>
      <c r="AM14" s="8"/>
      <c r="AN14" s="450"/>
      <c r="AO14" s="150"/>
      <c r="AP14" s="142"/>
    </row>
    <row r="15" spans="1:42" ht="15.75">
      <c r="A15" s="129"/>
      <c r="B15" s="128"/>
      <c r="C15" s="33"/>
      <c r="D15" s="208"/>
      <c r="E15" s="131"/>
      <c r="F15" s="131"/>
      <c r="G15" s="76"/>
      <c r="H15" s="8"/>
      <c r="I15" s="8"/>
      <c r="J15" s="8"/>
      <c r="K15" s="8"/>
      <c r="L15" s="13"/>
      <c r="M15" s="132"/>
      <c r="N15" s="8"/>
      <c r="O15" s="8"/>
      <c r="P15" s="8"/>
      <c r="Q15" s="8"/>
      <c r="R15" s="13"/>
      <c r="S15" s="133"/>
      <c r="T15" s="133"/>
      <c r="U15" s="8"/>
      <c r="V15" s="131"/>
      <c r="W15" s="214"/>
      <c r="X15" s="133"/>
      <c r="Z15" s="100"/>
      <c r="AA15" s="101"/>
      <c r="AB15" s="136"/>
      <c r="AC15" s="152"/>
      <c r="AD15" s="136"/>
      <c r="AE15" s="131"/>
      <c r="AF15" s="50"/>
      <c r="AG15" s="52"/>
      <c r="AH15" s="171"/>
      <c r="AI15" s="147"/>
      <c r="AJ15" s="139"/>
      <c r="AK15" s="140"/>
      <c r="AL15" s="116"/>
      <c r="AM15" s="8"/>
      <c r="AN15" s="451"/>
      <c r="AO15" s="150"/>
      <c r="AP15" s="142"/>
    </row>
    <row r="16" spans="1:42" ht="15.75">
      <c r="A16" s="129"/>
      <c r="B16" s="128"/>
      <c r="C16" s="33"/>
      <c r="D16" s="208"/>
      <c r="E16" s="131"/>
      <c r="F16" s="157"/>
      <c r="G16" s="76"/>
      <c r="H16" s="158"/>
      <c r="I16" s="8"/>
      <c r="J16" s="8"/>
      <c r="K16" s="8"/>
      <c r="L16" s="13"/>
      <c r="M16" s="132"/>
      <c r="N16" s="8"/>
      <c r="O16" s="8"/>
      <c r="P16" s="8"/>
      <c r="Q16" s="8"/>
      <c r="R16" s="13"/>
      <c r="S16" s="133"/>
      <c r="T16" s="133"/>
      <c r="U16" s="8"/>
      <c r="V16" s="131"/>
      <c r="W16" s="214"/>
      <c r="X16" s="133"/>
      <c r="Z16" s="100"/>
      <c r="AA16" s="101"/>
      <c r="AB16" s="136"/>
      <c r="AC16" s="135"/>
      <c r="AD16" s="136"/>
      <c r="AE16" s="131"/>
      <c r="AF16" s="50"/>
      <c r="AG16" s="52"/>
      <c r="AH16" s="171"/>
      <c r="AI16" s="147"/>
      <c r="AJ16" s="154"/>
      <c r="AK16" s="140"/>
      <c r="AL16" s="116"/>
      <c r="AM16" s="8"/>
      <c r="AN16" s="450"/>
      <c r="AO16" s="150"/>
      <c r="AP16" s="142"/>
    </row>
    <row r="17" spans="1:42" ht="15.75">
      <c r="A17" s="129"/>
      <c r="B17" s="128"/>
      <c r="C17" s="33"/>
      <c r="D17" s="208"/>
      <c r="E17" s="130"/>
      <c r="F17" s="131"/>
      <c r="G17" s="76"/>
      <c r="H17" s="8"/>
      <c r="I17" s="8"/>
      <c r="J17" s="8"/>
      <c r="K17" s="8"/>
      <c r="L17" s="13"/>
      <c r="M17" s="132"/>
      <c r="N17" s="8"/>
      <c r="O17" s="8"/>
      <c r="P17" s="8"/>
      <c r="Q17" s="8"/>
      <c r="R17" s="13"/>
      <c r="S17" s="133"/>
      <c r="T17" s="133"/>
      <c r="U17" s="8"/>
      <c r="V17" s="131"/>
      <c r="W17" s="214"/>
      <c r="X17" s="133"/>
      <c r="Z17" s="100"/>
      <c r="AA17" s="101"/>
      <c r="AB17" s="136"/>
      <c r="AC17" s="135"/>
      <c r="AD17" s="136"/>
      <c r="AE17" s="131"/>
      <c r="AF17" s="50"/>
      <c r="AG17" s="52"/>
      <c r="AH17" s="171"/>
      <c r="AI17" s="147"/>
      <c r="AJ17" s="154"/>
      <c r="AK17" s="147"/>
      <c r="AL17" s="116"/>
      <c r="AM17" s="8"/>
      <c r="AN17" s="453"/>
      <c r="AO17" s="150"/>
      <c r="AP17" s="142"/>
    </row>
    <row r="18" spans="1:42" ht="15.75">
      <c r="A18" s="129"/>
      <c r="B18" s="128"/>
      <c r="C18" s="33"/>
      <c r="D18" s="208"/>
      <c r="E18" s="131"/>
      <c r="F18" s="131"/>
      <c r="G18" s="76"/>
      <c r="H18" s="8"/>
      <c r="I18" s="8"/>
      <c r="J18" s="8"/>
      <c r="K18" s="8"/>
      <c r="L18" s="13"/>
      <c r="M18" s="132"/>
      <c r="N18" s="8"/>
      <c r="O18" s="8"/>
      <c r="P18" s="8"/>
      <c r="Q18" s="8"/>
      <c r="R18" s="13"/>
      <c r="S18" s="133"/>
      <c r="T18" s="133"/>
      <c r="U18" s="8"/>
      <c r="V18" s="131"/>
      <c r="W18" s="214"/>
      <c r="X18" s="133"/>
      <c r="Z18" s="100"/>
      <c r="AA18" s="101"/>
      <c r="AB18" s="136"/>
      <c r="AC18" s="152"/>
      <c r="AD18" s="136"/>
      <c r="AE18" s="131"/>
      <c r="AF18" s="50"/>
      <c r="AG18" s="52"/>
      <c r="AH18" s="171"/>
      <c r="AI18" s="147"/>
      <c r="AJ18" s="139"/>
      <c r="AK18" s="125"/>
      <c r="AL18" s="116"/>
      <c r="AM18" s="8"/>
      <c r="AN18" s="456"/>
      <c r="AO18" s="150"/>
      <c r="AP18" s="142"/>
    </row>
    <row r="19" spans="1:42" ht="15.75">
      <c r="A19" s="129"/>
      <c r="B19" s="128"/>
      <c r="C19" s="33"/>
      <c r="D19" s="208"/>
      <c r="E19" s="131"/>
      <c r="F19" s="131"/>
      <c r="G19" s="76"/>
      <c r="H19" s="8"/>
      <c r="I19" s="8"/>
      <c r="J19" s="8"/>
      <c r="K19" s="8"/>
      <c r="L19" s="13"/>
      <c r="M19" s="132"/>
      <c r="N19" s="8"/>
      <c r="O19" s="8"/>
      <c r="P19" s="8"/>
      <c r="Q19" s="8"/>
      <c r="R19" s="13"/>
      <c r="S19" s="133"/>
      <c r="T19" s="133"/>
      <c r="U19" s="25"/>
      <c r="V19" s="131"/>
      <c r="W19" s="214"/>
      <c r="X19" s="133"/>
      <c r="Z19" s="100"/>
      <c r="AA19" s="101"/>
      <c r="AB19" s="136"/>
      <c r="AC19" s="152"/>
      <c r="AD19" s="136"/>
      <c r="AE19" s="131"/>
      <c r="AF19" s="50"/>
      <c r="AG19" s="52"/>
      <c r="AH19" s="171"/>
      <c r="AI19" s="147"/>
      <c r="AJ19" s="139"/>
      <c r="AK19" s="140"/>
      <c r="AL19" s="116"/>
      <c r="AM19" s="8"/>
      <c r="AN19" s="452"/>
      <c r="AO19" s="150"/>
      <c r="AP19" s="142"/>
    </row>
    <row r="20" spans="1:42" ht="15.75">
      <c r="A20" s="160"/>
      <c r="B20" s="128"/>
      <c r="C20" s="33"/>
      <c r="D20" s="208"/>
      <c r="E20" s="143"/>
      <c r="F20" s="143"/>
      <c r="G20" s="144"/>
      <c r="H20" s="145"/>
      <c r="I20" s="145"/>
      <c r="J20" s="145"/>
      <c r="K20" s="145"/>
      <c r="L20" s="134"/>
      <c r="M20" s="132"/>
      <c r="N20" s="145"/>
      <c r="O20" s="8"/>
      <c r="P20" s="8"/>
      <c r="Q20" s="145"/>
      <c r="R20" s="134"/>
      <c r="S20" s="133"/>
      <c r="T20" s="133"/>
      <c r="U20" s="25"/>
      <c r="V20" s="131"/>
      <c r="W20" s="214"/>
      <c r="X20" s="133"/>
      <c r="Z20" s="123"/>
      <c r="AA20" s="155"/>
      <c r="AB20" s="136"/>
      <c r="AC20" s="135"/>
      <c r="AD20" s="136"/>
      <c r="AE20" s="143"/>
      <c r="AF20" s="50"/>
      <c r="AG20" s="52"/>
      <c r="AH20" s="171"/>
      <c r="AI20" s="457"/>
      <c r="AJ20" s="161"/>
      <c r="AK20" s="149"/>
      <c r="AL20" s="458"/>
      <c r="AM20" s="145"/>
      <c r="AN20" s="450"/>
      <c r="AO20" s="150"/>
      <c r="AP20" s="151"/>
    </row>
    <row r="21" spans="1:42" ht="15.75">
      <c r="A21" s="160"/>
      <c r="B21" s="128"/>
      <c r="C21" s="33"/>
      <c r="D21" s="208"/>
      <c r="E21" s="143"/>
      <c r="F21" s="143"/>
      <c r="G21" s="144"/>
      <c r="H21" s="145"/>
      <c r="I21" s="145"/>
      <c r="J21" s="145"/>
      <c r="K21" s="145"/>
      <c r="L21" s="134"/>
      <c r="M21" s="132"/>
      <c r="N21" s="145"/>
      <c r="O21" s="8"/>
      <c r="P21" s="8"/>
      <c r="Q21" s="145"/>
      <c r="R21" s="134"/>
      <c r="S21" s="133"/>
      <c r="T21" s="133"/>
      <c r="U21" s="8"/>
      <c r="V21" s="131"/>
      <c r="W21" s="214"/>
      <c r="X21" s="133"/>
      <c r="Z21" s="123"/>
      <c r="AA21" s="155"/>
      <c r="AB21" s="136"/>
      <c r="AC21" s="135"/>
      <c r="AD21" s="136"/>
      <c r="AE21" s="143"/>
      <c r="AF21" s="50"/>
      <c r="AG21" s="52"/>
      <c r="AH21" s="171"/>
      <c r="AI21" s="457"/>
      <c r="AJ21" s="161"/>
      <c r="AK21" s="149"/>
      <c r="AL21" s="458"/>
      <c r="AM21" s="145"/>
      <c r="AN21" s="453"/>
      <c r="AO21" s="150"/>
      <c r="AP21" s="151"/>
    </row>
    <row r="22" spans="1:42" ht="15.75">
      <c r="A22" s="160"/>
      <c r="B22" s="128"/>
      <c r="C22" s="33"/>
      <c r="D22" s="208"/>
      <c r="E22" s="130"/>
      <c r="F22" s="143"/>
      <c r="G22" s="144"/>
      <c r="H22" s="145"/>
      <c r="I22" s="145"/>
      <c r="J22" s="145"/>
      <c r="K22" s="145"/>
      <c r="L22" s="134"/>
      <c r="M22" s="132"/>
      <c r="N22" s="145"/>
      <c r="O22" s="8"/>
      <c r="P22" s="8"/>
      <c r="Q22" s="145"/>
      <c r="R22" s="134"/>
      <c r="S22" s="133"/>
      <c r="T22" s="133"/>
      <c r="U22" s="459"/>
      <c r="V22" s="131"/>
      <c r="W22" s="214"/>
      <c r="X22" s="133"/>
      <c r="Z22" s="123"/>
      <c r="AA22" s="155"/>
      <c r="AB22" s="136"/>
      <c r="AC22" s="135"/>
      <c r="AD22" s="136"/>
      <c r="AE22" s="143"/>
      <c r="AF22" s="50"/>
      <c r="AG22" s="52"/>
      <c r="AH22" s="171"/>
      <c r="AI22" s="457"/>
      <c r="AJ22" s="154"/>
      <c r="AK22" s="460"/>
      <c r="AL22" s="458"/>
      <c r="AM22" s="145"/>
      <c r="AN22" s="455"/>
      <c r="AO22" s="150"/>
      <c r="AP22" s="151"/>
    </row>
    <row r="23" spans="1:42" ht="15.75">
      <c r="A23" s="160"/>
      <c r="B23" s="128"/>
      <c r="C23" s="33"/>
      <c r="D23" s="208"/>
      <c r="E23" s="162"/>
      <c r="F23" s="143"/>
      <c r="G23" s="144"/>
      <c r="H23" s="145"/>
      <c r="I23" s="145"/>
      <c r="J23" s="145"/>
      <c r="K23" s="145"/>
      <c r="L23" s="134"/>
      <c r="M23" s="132"/>
      <c r="N23" s="145"/>
      <c r="O23" s="8"/>
      <c r="P23" s="8"/>
      <c r="Q23" s="145"/>
      <c r="R23" s="134"/>
      <c r="S23" s="133"/>
      <c r="T23" s="133"/>
      <c r="U23" s="145"/>
      <c r="V23" s="131"/>
      <c r="W23" s="214"/>
      <c r="X23" s="133"/>
      <c r="Z23" s="123"/>
      <c r="AA23" s="155"/>
      <c r="AB23" s="136"/>
      <c r="AC23" s="135"/>
      <c r="AD23" s="136"/>
      <c r="AE23" s="143"/>
      <c r="AF23" s="50"/>
      <c r="AG23" s="52"/>
      <c r="AH23" s="164"/>
      <c r="AI23" s="457"/>
      <c r="AJ23" s="156"/>
      <c r="AK23" s="460"/>
      <c r="AL23" s="458"/>
      <c r="AM23" s="145"/>
      <c r="AN23" s="456"/>
      <c r="AO23" s="150"/>
      <c r="AP23" s="151"/>
    </row>
    <row r="24" spans="1:42" ht="15.75">
      <c r="A24" s="160"/>
      <c r="B24" s="128"/>
      <c r="C24" s="33"/>
      <c r="D24" s="208"/>
      <c r="E24" s="143"/>
      <c r="F24" s="143"/>
      <c r="G24" s="144"/>
      <c r="H24" s="145"/>
      <c r="I24" s="145"/>
      <c r="J24" s="145"/>
      <c r="K24" s="145"/>
      <c r="L24" s="134"/>
      <c r="M24" s="132"/>
      <c r="N24" s="145"/>
      <c r="O24" s="8"/>
      <c r="P24" s="8"/>
      <c r="Q24" s="145"/>
      <c r="R24" s="134"/>
      <c r="S24" s="133"/>
      <c r="T24" s="133"/>
      <c r="U24" s="25"/>
      <c r="V24" s="131"/>
      <c r="W24" s="214"/>
      <c r="X24" s="133"/>
      <c r="Z24" s="123"/>
      <c r="AA24" s="155"/>
      <c r="AB24" s="136"/>
      <c r="AC24" s="135"/>
      <c r="AD24" s="136"/>
      <c r="AE24" s="143"/>
      <c r="AF24" s="50"/>
      <c r="AG24" s="52"/>
      <c r="AH24" s="171"/>
      <c r="AI24" s="457"/>
      <c r="AJ24" s="161"/>
      <c r="AK24" s="149"/>
      <c r="AL24" s="458"/>
      <c r="AM24" s="145"/>
      <c r="AN24" s="450"/>
      <c r="AO24" s="150"/>
      <c r="AP24" s="151"/>
    </row>
    <row r="25" spans="1:42" ht="15.75">
      <c r="A25" s="160"/>
      <c r="B25" s="128"/>
      <c r="C25" s="33"/>
      <c r="D25" s="208"/>
      <c r="E25" s="143"/>
      <c r="F25" s="143"/>
      <c r="G25" s="144"/>
      <c r="H25" s="145"/>
      <c r="I25" s="145"/>
      <c r="J25" s="145"/>
      <c r="K25" s="145"/>
      <c r="L25" s="134"/>
      <c r="M25" s="132"/>
      <c r="N25" s="145"/>
      <c r="O25" s="8"/>
      <c r="P25" s="8"/>
      <c r="Q25" s="145"/>
      <c r="R25" s="134"/>
      <c r="S25" s="133"/>
      <c r="T25" s="133"/>
      <c r="U25" s="8"/>
      <c r="V25" s="131"/>
      <c r="W25" s="214"/>
      <c r="X25" s="133"/>
      <c r="Z25" s="123"/>
      <c r="AA25" s="155"/>
      <c r="AB25" s="136"/>
      <c r="AC25" s="152"/>
      <c r="AD25" s="136"/>
      <c r="AE25" s="143"/>
      <c r="AF25" s="50"/>
      <c r="AG25" s="52"/>
      <c r="AH25" s="171"/>
      <c r="AI25" s="147"/>
      <c r="AJ25" s="139"/>
      <c r="AK25" s="140"/>
      <c r="AL25" s="116"/>
      <c r="AM25" s="145"/>
      <c r="AN25" s="451"/>
      <c r="AO25" s="150"/>
      <c r="AP25" s="151"/>
    </row>
    <row r="26" spans="1:42" ht="15.75">
      <c r="A26" s="160"/>
      <c r="B26" s="128"/>
      <c r="C26" s="33"/>
      <c r="D26" s="208"/>
      <c r="E26" s="130"/>
      <c r="F26" s="143"/>
      <c r="G26" s="144"/>
      <c r="H26" s="145"/>
      <c r="I26" s="145"/>
      <c r="J26" s="145"/>
      <c r="K26" s="145"/>
      <c r="L26" s="134"/>
      <c r="M26" s="132"/>
      <c r="N26" s="145"/>
      <c r="O26" s="8"/>
      <c r="P26" s="8"/>
      <c r="Q26" s="145"/>
      <c r="R26" s="134"/>
      <c r="S26" s="133"/>
      <c r="T26" s="133"/>
      <c r="U26" s="145"/>
      <c r="V26" s="131"/>
      <c r="W26" s="214"/>
      <c r="X26" s="133"/>
      <c r="Z26" s="123"/>
      <c r="AA26" s="155"/>
      <c r="AB26" s="136"/>
      <c r="AC26" s="135"/>
      <c r="AD26" s="136"/>
      <c r="AE26" s="143"/>
      <c r="AF26" s="50"/>
      <c r="AG26" s="52"/>
      <c r="AH26" s="164"/>
      <c r="AI26" s="457"/>
      <c r="AJ26" s="245"/>
      <c r="AK26" s="460"/>
      <c r="AL26" s="116"/>
      <c r="AM26" s="145"/>
      <c r="AN26" s="452"/>
      <c r="AO26" s="150"/>
      <c r="AP26" s="151"/>
    </row>
    <row r="27" spans="1:42" ht="15.75">
      <c r="A27" s="160"/>
      <c r="B27" s="128"/>
      <c r="C27" s="33"/>
      <c r="D27" s="208"/>
      <c r="E27" s="143"/>
      <c r="F27" s="143"/>
      <c r="G27" s="144"/>
      <c r="H27" s="145"/>
      <c r="I27" s="145"/>
      <c r="J27" s="145"/>
      <c r="K27" s="145"/>
      <c r="L27" s="134"/>
      <c r="M27" s="132"/>
      <c r="N27" s="145"/>
      <c r="O27" s="8"/>
      <c r="P27" s="8"/>
      <c r="Q27" s="145"/>
      <c r="R27" s="134"/>
      <c r="S27" s="133"/>
      <c r="T27" s="133"/>
      <c r="U27" s="25"/>
      <c r="V27" s="131"/>
      <c r="W27" s="214"/>
      <c r="X27" s="133"/>
      <c r="Z27" s="123"/>
      <c r="AA27" s="155"/>
      <c r="AB27" s="136"/>
      <c r="AC27" s="135"/>
      <c r="AD27" s="136"/>
      <c r="AE27" s="143"/>
      <c r="AF27" s="50"/>
      <c r="AG27" s="52"/>
      <c r="AH27" s="171"/>
      <c r="AI27" s="457"/>
      <c r="AJ27" s="161"/>
      <c r="AK27" s="149"/>
      <c r="AL27" s="458"/>
      <c r="AM27" s="145"/>
      <c r="AN27" s="450"/>
      <c r="AO27" s="150"/>
      <c r="AP27" s="151"/>
    </row>
    <row r="28" spans="1:42" ht="15.75">
      <c r="A28" s="160"/>
      <c r="B28" s="128"/>
      <c r="C28" s="33"/>
      <c r="D28" s="208"/>
      <c r="E28" s="143"/>
      <c r="F28" s="143"/>
      <c r="G28" s="144"/>
      <c r="H28" s="145"/>
      <c r="I28" s="145"/>
      <c r="J28" s="145"/>
      <c r="K28" s="145"/>
      <c r="L28" s="134"/>
      <c r="M28" s="132"/>
      <c r="N28" s="145"/>
      <c r="O28" s="8"/>
      <c r="P28" s="8"/>
      <c r="Q28" s="145"/>
      <c r="R28" s="134"/>
      <c r="S28" s="133"/>
      <c r="T28" s="133"/>
      <c r="U28" s="25"/>
      <c r="V28" s="131"/>
      <c r="W28" s="214"/>
      <c r="X28" s="133"/>
      <c r="Z28" s="123"/>
      <c r="AA28" s="155"/>
      <c r="AB28" s="136"/>
      <c r="AC28" s="135"/>
      <c r="AD28" s="136"/>
      <c r="AE28" s="143"/>
      <c r="AF28" s="50"/>
      <c r="AG28" s="52"/>
      <c r="AH28" s="171"/>
      <c r="AI28" s="147"/>
      <c r="AJ28" s="161"/>
      <c r="AK28" s="140"/>
      <c r="AL28" s="116"/>
      <c r="AM28" s="145"/>
      <c r="AN28" s="461"/>
      <c r="AO28" s="150"/>
      <c r="AP28" s="151"/>
    </row>
    <row r="29" spans="1:42" ht="15.75">
      <c r="A29" s="160"/>
      <c r="B29" s="128"/>
      <c r="C29" s="33"/>
      <c r="D29" s="208"/>
      <c r="E29" s="143"/>
      <c r="F29" s="143"/>
      <c r="G29" s="144"/>
      <c r="H29" s="145"/>
      <c r="I29" s="145"/>
      <c r="J29" s="145"/>
      <c r="K29" s="145"/>
      <c r="L29" s="134"/>
      <c r="M29" s="132"/>
      <c r="N29" s="145"/>
      <c r="O29" s="8"/>
      <c r="P29" s="8"/>
      <c r="Q29" s="145"/>
      <c r="R29" s="134"/>
      <c r="S29" s="133"/>
      <c r="T29" s="133"/>
      <c r="U29" s="8"/>
      <c r="V29" s="131"/>
      <c r="W29" s="214"/>
      <c r="X29" s="133"/>
      <c r="Z29" s="123"/>
      <c r="AA29" s="155"/>
      <c r="AB29" s="136"/>
      <c r="AC29" s="152"/>
      <c r="AD29" s="136"/>
      <c r="AE29" s="143"/>
      <c r="AF29" s="50"/>
      <c r="AG29" s="52"/>
      <c r="AH29" s="171"/>
      <c r="AI29" s="147"/>
      <c r="AJ29" s="165"/>
      <c r="AK29" s="457"/>
      <c r="AL29" s="116"/>
      <c r="AM29" s="145"/>
      <c r="AN29" s="458"/>
      <c r="AO29" s="150"/>
      <c r="AP29" s="151"/>
    </row>
    <row r="30" spans="1:42" ht="15.75">
      <c r="A30" s="160"/>
      <c r="B30" s="128"/>
      <c r="C30" s="166"/>
      <c r="D30" s="209"/>
      <c r="E30" s="162"/>
      <c r="F30" s="143"/>
      <c r="G30" s="144"/>
      <c r="H30" s="145"/>
      <c r="I30" s="145"/>
      <c r="J30" s="145"/>
      <c r="K30" s="145"/>
      <c r="L30" s="134"/>
      <c r="M30" s="132"/>
      <c r="N30" s="145"/>
      <c r="O30" s="8"/>
      <c r="P30" s="8"/>
      <c r="Q30" s="145"/>
      <c r="R30" s="134"/>
      <c r="S30" s="133"/>
      <c r="T30" s="133"/>
      <c r="U30" s="459"/>
      <c r="V30" s="131"/>
      <c r="W30" s="214"/>
      <c r="X30" s="133"/>
      <c r="Z30" s="123"/>
      <c r="AA30" s="155"/>
      <c r="AB30" s="136"/>
      <c r="AC30" s="152"/>
      <c r="AD30" s="136"/>
      <c r="AE30" s="143"/>
      <c r="AF30" s="50"/>
      <c r="AG30" s="52"/>
      <c r="AH30" s="171"/>
      <c r="AI30" s="460"/>
      <c r="AJ30" s="246"/>
      <c r="AK30" s="462"/>
      <c r="AL30" s="458"/>
      <c r="AM30" s="145"/>
      <c r="AN30" s="458"/>
      <c r="AO30" s="150"/>
      <c r="AP30" s="151"/>
    </row>
    <row r="31" spans="1:42" ht="15.75">
      <c r="A31" s="160"/>
      <c r="B31" s="128"/>
      <c r="C31" s="33"/>
      <c r="D31" s="208"/>
      <c r="E31" s="143"/>
      <c r="F31" s="143"/>
      <c r="G31" s="144"/>
      <c r="H31" s="145"/>
      <c r="I31" s="145"/>
      <c r="J31" s="145"/>
      <c r="K31" s="145"/>
      <c r="L31" s="134"/>
      <c r="M31" s="132"/>
      <c r="N31" s="145"/>
      <c r="O31" s="8"/>
      <c r="P31" s="8"/>
      <c r="Q31" s="145"/>
      <c r="R31" s="134"/>
      <c r="S31" s="133"/>
      <c r="T31" s="133"/>
      <c r="U31" s="145"/>
      <c r="V31" s="131"/>
      <c r="W31" s="214"/>
      <c r="X31" s="133"/>
      <c r="Z31" s="123"/>
      <c r="AA31" s="155"/>
      <c r="AB31" s="136"/>
      <c r="AC31" s="152"/>
      <c r="AD31" s="136"/>
      <c r="AE31" s="143"/>
      <c r="AF31" s="50"/>
      <c r="AG31" s="52"/>
      <c r="AH31" s="164"/>
      <c r="AI31" s="457"/>
      <c r="AJ31" s="463"/>
      <c r="AK31" s="464"/>
      <c r="AL31" s="458"/>
      <c r="AM31" s="145"/>
      <c r="AN31" s="458"/>
      <c r="AO31" s="150"/>
      <c r="AP31" s="151"/>
    </row>
    <row r="32" spans="1:42" ht="15.75">
      <c r="A32" s="160"/>
      <c r="B32" s="128"/>
      <c r="C32" s="33"/>
      <c r="D32" s="208"/>
      <c r="E32" s="130"/>
      <c r="F32" s="143"/>
      <c r="G32" s="144"/>
      <c r="H32" s="145"/>
      <c r="I32" s="145"/>
      <c r="J32" s="145"/>
      <c r="K32" s="145"/>
      <c r="L32" s="134"/>
      <c r="M32" s="132"/>
      <c r="N32" s="145"/>
      <c r="O32" s="8"/>
      <c r="P32" s="8"/>
      <c r="Q32" s="145"/>
      <c r="R32" s="134"/>
      <c r="S32" s="133"/>
      <c r="T32" s="133"/>
      <c r="U32" s="459"/>
      <c r="V32" s="131"/>
      <c r="W32" s="214"/>
      <c r="X32" s="133"/>
      <c r="Z32" s="123"/>
      <c r="AA32" s="155"/>
      <c r="AB32" s="136"/>
      <c r="AC32" s="135"/>
      <c r="AD32" s="136"/>
      <c r="AE32" s="143"/>
      <c r="AF32" s="50"/>
      <c r="AG32" s="52"/>
      <c r="AH32" s="171"/>
      <c r="AI32" s="147"/>
      <c r="AJ32" s="156"/>
      <c r="AK32" s="138"/>
      <c r="AL32" s="458"/>
      <c r="AM32" s="145"/>
      <c r="AN32" s="458"/>
      <c r="AO32" s="150"/>
      <c r="AP32" s="151"/>
    </row>
    <row r="33" spans="1:42" ht="15.75">
      <c r="A33" s="160"/>
      <c r="B33" s="128"/>
      <c r="C33" s="33"/>
      <c r="D33" s="208"/>
      <c r="E33" s="130"/>
      <c r="F33" s="143"/>
      <c r="G33" s="144"/>
      <c r="H33" s="145"/>
      <c r="I33" s="145"/>
      <c r="J33" s="145"/>
      <c r="K33" s="145"/>
      <c r="L33" s="134"/>
      <c r="M33" s="132"/>
      <c r="N33" s="145"/>
      <c r="O33" s="8"/>
      <c r="P33" s="8"/>
      <c r="Q33" s="145"/>
      <c r="R33" s="134"/>
      <c r="S33" s="133"/>
      <c r="T33" s="133"/>
      <c r="U33" s="459"/>
      <c r="V33" s="131"/>
      <c r="W33" s="214"/>
      <c r="X33" s="133"/>
      <c r="Z33" s="123"/>
      <c r="AA33" s="155"/>
      <c r="AB33" s="136"/>
      <c r="AC33" s="152"/>
      <c r="AD33" s="136"/>
      <c r="AE33" s="143"/>
      <c r="AF33" s="50"/>
      <c r="AG33" s="52"/>
      <c r="AH33" s="169"/>
      <c r="AI33" s="138"/>
      <c r="AJ33" s="246"/>
      <c r="AK33" s="465"/>
      <c r="AL33" s="458"/>
      <c r="AM33" s="145"/>
      <c r="AN33" s="458"/>
      <c r="AO33" s="150"/>
      <c r="AP33" s="151"/>
    </row>
    <row r="34" spans="1:42" ht="15.75">
      <c r="A34" s="160"/>
      <c r="B34" s="128"/>
      <c r="C34" s="33"/>
      <c r="D34" s="208"/>
      <c r="E34" s="130"/>
      <c r="F34" s="143"/>
      <c r="G34" s="144"/>
      <c r="H34" s="145"/>
      <c r="I34" s="145"/>
      <c r="J34" s="145"/>
      <c r="K34" s="145"/>
      <c r="L34" s="134"/>
      <c r="M34" s="132"/>
      <c r="N34" s="145"/>
      <c r="O34" s="8"/>
      <c r="P34" s="8"/>
      <c r="Q34" s="145"/>
      <c r="R34" s="134"/>
      <c r="S34" s="133"/>
      <c r="T34" s="133"/>
      <c r="U34" s="459"/>
      <c r="V34" s="131"/>
      <c r="W34" s="214"/>
      <c r="X34" s="133"/>
      <c r="Z34" s="167"/>
      <c r="AA34" s="155"/>
      <c r="AB34" s="136"/>
      <c r="AC34" s="152"/>
      <c r="AD34" s="136"/>
      <c r="AE34" s="143"/>
      <c r="AF34" s="50"/>
      <c r="AG34" s="52"/>
      <c r="AH34" s="169"/>
      <c r="AI34" s="147"/>
      <c r="AJ34" s="170"/>
      <c r="AK34" s="466"/>
      <c r="AL34" s="458"/>
      <c r="AM34" s="145"/>
      <c r="AN34" s="458"/>
      <c r="AO34" s="150"/>
      <c r="AP34" s="151"/>
    </row>
    <row r="35" spans="1:42" ht="15.75">
      <c r="A35" s="160"/>
      <c r="B35" s="128"/>
      <c r="C35" s="33"/>
      <c r="D35" s="208"/>
      <c r="E35" s="162"/>
      <c r="F35" s="143"/>
      <c r="G35" s="144"/>
      <c r="H35" s="145"/>
      <c r="I35" s="145"/>
      <c r="J35" s="145"/>
      <c r="K35" s="145"/>
      <c r="L35" s="134"/>
      <c r="M35" s="132"/>
      <c r="N35" s="145"/>
      <c r="O35" s="8"/>
      <c r="P35" s="8"/>
      <c r="Q35" s="145"/>
      <c r="R35" s="134"/>
      <c r="S35" s="133"/>
      <c r="T35" s="133"/>
      <c r="U35" s="145"/>
      <c r="V35" s="131"/>
      <c r="W35" s="214"/>
      <c r="X35" s="133"/>
      <c r="Z35" s="123"/>
      <c r="AA35" s="155"/>
      <c r="AB35" s="136"/>
      <c r="AC35" s="152"/>
      <c r="AD35" s="136"/>
      <c r="AE35" s="143"/>
      <c r="AF35" s="50"/>
      <c r="AG35" s="52"/>
      <c r="AH35" s="171"/>
      <c r="AI35" s="460"/>
      <c r="AJ35" s="467"/>
      <c r="AK35" s="460"/>
      <c r="AL35" s="458"/>
      <c r="AM35" s="145"/>
      <c r="AN35" s="458"/>
      <c r="AO35" s="150"/>
      <c r="AP35" s="151"/>
    </row>
    <row r="36" spans="1:42" ht="15.75">
      <c r="A36" s="160"/>
      <c r="B36" s="128"/>
      <c r="C36" s="33"/>
      <c r="D36" s="208"/>
      <c r="E36" s="143"/>
      <c r="F36" s="143"/>
      <c r="G36" s="144"/>
      <c r="H36" s="145"/>
      <c r="I36" s="145"/>
      <c r="J36" s="145"/>
      <c r="K36" s="145"/>
      <c r="L36" s="134"/>
      <c r="M36" s="132"/>
      <c r="N36" s="145"/>
      <c r="O36" s="8"/>
      <c r="P36" s="8"/>
      <c r="Q36" s="145"/>
      <c r="R36" s="134"/>
      <c r="S36" s="133"/>
      <c r="T36" s="133"/>
      <c r="U36" s="145"/>
      <c r="V36" s="131"/>
      <c r="W36" s="214"/>
      <c r="X36" s="133"/>
      <c r="Z36" s="123"/>
      <c r="AA36" s="155"/>
      <c r="AB36" s="136"/>
      <c r="AC36" s="152"/>
      <c r="AD36" s="136"/>
      <c r="AE36" s="143"/>
      <c r="AF36" s="50"/>
      <c r="AG36" s="52"/>
      <c r="AH36" s="468"/>
      <c r="AI36" s="469"/>
      <c r="AJ36" s="458"/>
      <c r="AK36" s="470"/>
      <c r="AL36" s="458"/>
      <c r="AM36" s="145"/>
      <c r="AN36" s="458"/>
      <c r="AO36" s="150"/>
      <c r="AP36" s="151"/>
    </row>
    <row r="37" spans="1:42" ht="15.75">
      <c r="A37" s="160"/>
      <c r="B37" s="128"/>
      <c r="C37" s="33"/>
      <c r="D37" s="208"/>
      <c r="E37" s="130"/>
      <c r="F37" s="143"/>
      <c r="G37" s="144"/>
      <c r="H37" s="145"/>
      <c r="I37" s="145"/>
      <c r="J37" s="145"/>
      <c r="K37" s="145"/>
      <c r="L37" s="134"/>
      <c r="M37" s="132"/>
      <c r="N37" s="145"/>
      <c r="O37" s="8"/>
      <c r="P37" s="8"/>
      <c r="Q37" s="145"/>
      <c r="R37" s="134"/>
      <c r="S37" s="133"/>
      <c r="T37" s="133"/>
      <c r="U37" s="145"/>
      <c r="V37" s="131"/>
      <c r="W37" s="214"/>
      <c r="X37" s="133"/>
      <c r="Z37" s="123"/>
      <c r="AA37" s="155"/>
      <c r="AB37" s="136"/>
      <c r="AC37" s="152"/>
      <c r="AD37" s="136"/>
      <c r="AE37" s="143"/>
      <c r="AF37" s="50"/>
      <c r="AG37" s="52"/>
      <c r="AH37" s="169"/>
      <c r="AI37" s="147"/>
      <c r="AJ37" s="471"/>
      <c r="AK37" s="138"/>
      <c r="AL37" s="458"/>
      <c r="AM37" s="145"/>
      <c r="AN37" s="458"/>
      <c r="AO37" s="150"/>
      <c r="AP37" s="151"/>
    </row>
    <row r="38" spans="1:42" ht="15.75">
      <c r="A38" s="160"/>
      <c r="B38" s="128"/>
      <c r="C38" s="33"/>
      <c r="D38" s="208"/>
      <c r="E38" s="143"/>
      <c r="F38" s="143"/>
      <c r="G38" s="144"/>
      <c r="H38" s="145"/>
      <c r="I38" s="145"/>
      <c r="J38" s="145"/>
      <c r="K38" s="145"/>
      <c r="L38" s="134"/>
      <c r="M38" s="132"/>
      <c r="N38" s="145"/>
      <c r="O38" s="8"/>
      <c r="P38" s="8"/>
      <c r="Q38" s="145"/>
      <c r="R38" s="134"/>
      <c r="S38" s="133"/>
      <c r="T38" s="133"/>
      <c r="U38" s="172"/>
      <c r="V38" s="131"/>
      <c r="W38" s="214"/>
      <c r="X38" s="133"/>
      <c r="Z38" s="123"/>
      <c r="AA38" s="155"/>
      <c r="AB38" s="136"/>
      <c r="AC38" s="152"/>
      <c r="AD38" s="136"/>
      <c r="AE38" s="143"/>
      <c r="AF38" s="50"/>
      <c r="AG38" s="52"/>
      <c r="AH38" s="169"/>
      <c r="AI38" s="147"/>
      <c r="AJ38" s="247"/>
      <c r="AK38" s="148"/>
      <c r="AL38" s="116"/>
      <c r="AM38" s="145"/>
      <c r="AN38" s="458"/>
      <c r="AO38" s="150"/>
      <c r="AP38" s="151"/>
    </row>
    <row r="39" spans="1:42" ht="15.75">
      <c r="A39" s="160"/>
      <c r="B39" s="128"/>
      <c r="C39" s="33"/>
      <c r="D39" s="208"/>
      <c r="E39" s="130"/>
      <c r="F39" s="143"/>
      <c r="G39" s="144"/>
      <c r="H39" s="145"/>
      <c r="I39" s="145"/>
      <c r="J39" s="145"/>
      <c r="K39" s="145"/>
      <c r="L39" s="134"/>
      <c r="M39" s="132"/>
      <c r="N39" s="145"/>
      <c r="O39" s="8"/>
      <c r="P39" s="8"/>
      <c r="Q39" s="145"/>
      <c r="R39" s="134"/>
      <c r="S39" s="133"/>
      <c r="T39" s="133"/>
      <c r="U39" s="145"/>
      <c r="V39" s="131"/>
      <c r="W39" s="214"/>
      <c r="X39" s="133"/>
      <c r="Z39" s="123"/>
      <c r="AA39" s="155"/>
      <c r="AB39" s="136"/>
      <c r="AC39" s="152"/>
      <c r="AD39" s="136"/>
      <c r="AE39" s="143"/>
      <c r="AF39" s="50"/>
      <c r="AG39" s="52"/>
      <c r="AH39" s="171"/>
      <c r="AI39" s="460"/>
      <c r="AJ39" s="467"/>
      <c r="AK39" s="138"/>
      <c r="AL39" s="458"/>
      <c r="AM39" s="145"/>
      <c r="AN39" s="458"/>
      <c r="AO39" s="150"/>
      <c r="AP39" s="151"/>
    </row>
    <row r="40" spans="1:42" ht="15.75">
      <c r="A40" s="160"/>
      <c r="B40" s="128"/>
      <c r="C40" s="33"/>
      <c r="D40" s="208"/>
      <c r="E40" s="143"/>
      <c r="F40" s="143"/>
      <c r="G40" s="144"/>
      <c r="H40" s="145"/>
      <c r="I40" s="145"/>
      <c r="J40" s="145"/>
      <c r="K40" s="145"/>
      <c r="L40" s="134"/>
      <c r="M40" s="132"/>
      <c r="N40" s="145"/>
      <c r="O40" s="8"/>
      <c r="P40" s="8"/>
      <c r="Q40" s="145"/>
      <c r="R40" s="134"/>
      <c r="S40" s="133"/>
      <c r="T40" s="133"/>
      <c r="U40" s="145"/>
      <c r="V40" s="131"/>
      <c r="W40" s="214"/>
      <c r="X40" s="133"/>
      <c r="Z40" s="123"/>
      <c r="AA40" s="155"/>
      <c r="AB40" s="136"/>
      <c r="AC40" s="152"/>
      <c r="AD40" s="136"/>
      <c r="AE40" s="143"/>
      <c r="AF40" s="173"/>
      <c r="AG40" s="174"/>
      <c r="AH40" s="240"/>
      <c r="AI40" s="469"/>
      <c r="AJ40" s="458"/>
      <c r="AK40" s="472"/>
      <c r="AL40" s="458"/>
      <c r="AM40" s="145"/>
      <c r="AN40" s="458"/>
      <c r="AO40" s="150"/>
      <c r="AP40" s="151"/>
    </row>
    <row r="41" spans="1:42" ht="15.75">
      <c r="A41" s="160"/>
      <c r="B41" s="128"/>
      <c r="C41" s="33"/>
      <c r="D41" s="208"/>
      <c r="E41" s="130"/>
      <c r="F41" s="143"/>
      <c r="G41" s="144"/>
      <c r="H41" s="145"/>
      <c r="I41" s="145"/>
      <c r="J41" s="145"/>
      <c r="K41" s="145"/>
      <c r="L41" s="134"/>
      <c r="M41" s="132"/>
      <c r="N41" s="145"/>
      <c r="O41" s="8"/>
      <c r="P41" s="8"/>
      <c r="Q41" s="145"/>
      <c r="R41" s="134"/>
      <c r="S41" s="133"/>
      <c r="T41" s="133"/>
      <c r="U41" s="459"/>
      <c r="V41" s="131"/>
      <c r="W41" s="214"/>
      <c r="X41" s="133"/>
      <c r="Z41" s="123"/>
      <c r="AA41" s="155"/>
      <c r="AB41" s="136"/>
      <c r="AC41" s="152"/>
      <c r="AD41" s="136"/>
      <c r="AE41" s="143"/>
      <c r="AF41" s="50"/>
      <c r="AG41" s="52"/>
      <c r="AH41" s="171"/>
      <c r="AI41" s="147"/>
      <c r="AJ41" s="156"/>
      <c r="AK41" s="460"/>
      <c r="AL41" s="458"/>
      <c r="AM41" s="145"/>
      <c r="AN41" s="458"/>
      <c r="AO41" s="150"/>
      <c r="AP41" s="151"/>
    </row>
    <row r="42" spans="1:42" ht="15.75">
      <c r="A42" s="160"/>
      <c r="B42" s="128"/>
      <c r="C42" s="33"/>
      <c r="D42" s="208"/>
      <c r="E42" s="143"/>
      <c r="F42" s="143"/>
      <c r="G42" s="144"/>
      <c r="H42" s="145"/>
      <c r="I42" s="145"/>
      <c r="J42" s="145"/>
      <c r="K42" s="145"/>
      <c r="L42" s="134"/>
      <c r="M42" s="132"/>
      <c r="N42" s="145"/>
      <c r="O42" s="8"/>
      <c r="P42" s="8"/>
      <c r="Q42" s="145"/>
      <c r="R42" s="134"/>
      <c r="S42" s="133"/>
      <c r="T42" s="133"/>
      <c r="U42" s="459"/>
      <c r="V42" s="131"/>
      <c r="W42" s="214"/>
      <c r="X42" s="133"/>
      <c r="Z42" s="123"/>
      <c r="AA42" s="155"/>
      <c r="AB42" s="136"/>
      <c r="AC42" s="152"/>
      <c r="AD42" s="136"/>
      <c r="AE42" s="143"/>
      <c r="AF42" s="50"/>
      <c r="AG42" s="52"/>
      <c r="AH42" s="171"/>
      <c r="AI42" s="457"/>
      <c r="AJ42" s="473"/>
      <c r="AK42" s="460"/>
      <c r="AL42" s="458"/>
      <c r="AM42" s="145"/>
      <c r="AN42" s="458"/>
      <c r="AO42" s="150"/>
      <c r="AP42" s="151"/>
    </row>
    <row r="43" spans="1:42" ht="15.75">
      <c r="A43" s="160"/>
      <c r="B43" s="128"/>
      <c r="C43" s="33"/>
      <c r="D43" s="210"/>
      <c r="E43" s="175"/>
      <c r="F43" s="143"/>
      <c r="G43" s="144"/>
      <c r="H43" s="145"/>
      <c r="I43" s="145"/>
      <c r="J43" s="145"/>
      <c r="K43" s="145"/>
      <c r="L43" s="134"/>
      <c r="M43" s="132"/>
      <c r="N43" s="145"/>
      <c r="O43" s="8"/>
      <c r="P43" s="8"/>
      <c r="Q43" s="145"/>
      <c r="R43" s="134"/>
      <c r="S43" s="133"/>
      <c r="T43" s="133"/>
      <c r="U43" s="459"/>
      <c r="V43" s="131"/>
      <c r="W43" s="214"/>
      <c r="X43" s="133"/>
      <c r="Z43" s="123"/>
      <c r="AA43" s="155"/>
      <c r="AB43" s="136"/>
      <c r="AC43" s="152"/>
      <c r="AD43" s="136"/>
      <c r="AE43" s="143"/>
      <c r="AF43" s="173"/>
      <c r="AG43" s="174"/>
      <c r="AH43" s="164"/>
      <c r="AI43" s="138"/>
      <c r="AJ43" s="462"/>
      <c r="AK43" s="460"/>
      <c r="AL43" s="458"/>
      <c r="AM43" s="145"/>
      <c r="AN43" s="458"/>
      <c r="AO43" s="150"/>
      <c r="AP43" s="151"/>
    </row>
    <row r="44" spans="1:42" ht="15.75">
      <c r="A44" s="160"/>
      <c r="B44" s="128"/>
      <c r="C44" s="33"/>
      <c r="D44" s="208"/>
      <c r="E44" s="130"/>
      <c r="F44" s="143"/>
      <c r="G44" s="144"/>
      <c r="H44" s="145"/>
      <c r="I44" s="145"/>
      <c r="J44" s="145"/>
      <c r="K44" s="145"/>
      <c r="L44" s="134"/>
      <c r="M44" s="132"/>
      <c r="N44" s="145"/>
      <c r="O44" s="8"/>
      <c r="P44" s="8"/>
      <c r="Q44" s="145"/>
      <c r="R44" s="134"/>
      <c r="S44" s="133"/>
      <c r="T44" s="133"/>
      <c r="U44" s="145"/>
      <c r="V44" s="131"/>
      <c r="W44" s="214"/>
      <c r="X44" s="133"/>
      <c r="Z44" s="123"/>
      <c r="AA44" s="155"/>
      <c r="AB44" s="136"/>
      <c r="AC44" s="152"/>
      <c r="AD44" s="136"/>
      <c r="AE44" s="143"/>
      <c r="AF44" s="173"/>
      <c r="AG44" s="174"/>
      <c r="AH44" s="241"/>
      <c r="AI44" s="457"/>
      <c r="AJ44" s="156"/>
      <c r="AK44" s="466"/>
      <c r="AL44" s="458"/>
      <c r="AM44" s="145"/>
      <c r="AN44" s="458"/>
      <c r="AO44" s="150"/>
      <c r="AP44" s="151"/>
    </row>
    <row r="45" spans="1:42" ht="15.75">
      <c r="A45" s="160"/>
      <c r="B45" s="128"/>
      <c r="C45" s="33"/>
      <c r="D45" s="208"/>
      <c r="E45" s="143"/>
      <c r="F45" s="143"/>
      <c r="G45" s="144"/>
      <c r="H45" s="145"/>
      <c r="I45" s="145"/>
      <c r="J45" s="145"/>
      <c r="K45" s="145"/>
      <c r="L45" s="134"/>
      <c r="M45" s="132"/>
      <c r="N45" s="145"/>
      <c r="O45" s="8"/>
      <c r="P45" s="8"/>
      <c r="Q45" s="145"/>
      <c r="R45" s="134"/>
      <c r="S45" s="133"/>
      <c r="T45" s="133"/>
      <c r="U45" s="8"/>
      <c r="V45" s="131"/>
      <c r="W45" s="214"/>
      <c r="X45" s="133"/>
      <c r="Z45" s="123"/>
      <c r="AA45" s="155"/>
      <c r="AB45" s="136"/>
      <c r="AC45" s="152"/>
      <c r="AD45" s="136"/>
      <c r="AE45" s="143"/>
      <c r="AF45" s="173"/>
      <c r="AG45" s="174"/>
      <c r="AH45" s="242"/>
      <c r="AI45" s="147"/>
      <c r="AJ45" s="471"/>
      <c r="AK45" s="138"/>
      <c r="AL45" s="116"/>
      <c r="AM45" s="145"/>
      <c r="AN45" s="458"/>
      <c r="AO45" s="150"/>
      <c r="AP45" s="151"/>
    </row>
    <row r="46" spans="1:42" ht="15.75">
      <c r="A46" s="160"/>
      <c r="B46" s="128"/>
      <c r="C46" s="33"/>
      <c r="D46" s="208"/>
      <c r="E46" s="130"/>
      <c r="F46" s="143"/>
      <c r="G46" s="144"/>
      <c r="H46" s="145"/>
      <c r="I46" s="145"/>
      <c r="J46" s="145"/>
      <c r="K46" s="145"/>
      <c r="L46" s="134"/>
      <c r="M46" s="132"/>
      <c r="N46" s="145"/>
      <c r="O46" s="8"/>
      <c r="P46" s="8"/>
      <c r="Q46" s="145"/>
      <c r="R46" s="134"/>
      <c r="S46" s="133"/>
      <c r="T46" s="133"/>
      <c r="U46" s="145"/>
      <c r="V46" s="131"/>
      <c r="W46" s="214"/>
      <c r="X46" s="133"/>
      <c r="Z46" s="123"/>
      <c r="AA46" s="155"/>
      <c r="AB46" s="136"/>
      <c r="AC46" s="135"/>
      <c r="AD46" s="136"/>
      <c r="AE46" s="143"/>
      <c r="AF46" s="173"/>
      <c r="AG46" s="174"/>
      <c r="AH46" s="241"/>
      <c r="AI46" s="457"/>
      <c r="AJ46" s="467"/>
      <c r="AK46" s="138"/>
      <c r="AL46" s="458"/>
      <c r="AM46" s="145"/>
      <c r="AN46" s="458"/>
      <c r="AO46" s="150"/>
      <c r="AP46" s="151"/>
    </row>
    <row r="47" spans="1:42" ht="15.75">
      <c r="A47" s="160"/>
      <c r="B47" s="128"/>
      <c r="C47" s="33"/>
      <c r="D47" s="208"/>
      <c r="E47" s="143"/>
      <c r="F47" s="143"/>
      <c r="G47" s="144"/>
      <c r="H47" s="145"/>
      <c r="I47" s="145"/>
      <c r="J47" s="145"/>
      <c r="K47" s="145"/>
      <c r="L47" s="134"/>
      <c r="M47" s="132"/>
      <c r="N47" s="145"/>
      <c r="O47" s="8"/>
      <c r="P47" s="8"/>
      <c r="Q47" s="145"/>
      <c r="R47" s="134"/>
      <c r="S47" s="133"/>
      <c r="T47" s="133"/>
      <c r="U47" s="8"/>
      <c r="V47" s="131"/>
      <c r="W47" s="214"/>
      <c r="X47" s="133"/>
      <c r="Z47" s="123"/>
      <c r="AA47" s="155"/>
      <c r="AB47" s="136"/>
      <c r="AC47" s="135"/>
      <c r="AD47" s="136"/>
      <c r="AE47" s="143"/>
      <c r="AF47" s="50"/>
      <c r="AG47" s="52"/>
      <c r="AH47" s="171"/>
      <c r="AI47" s="147"/>
      <c r="AJ47" s="473"/>
      <c r="AK47" s="176"/>
      <c r="AL47" s="458"/>
      <c r="AM47" s="145"/>
      <c r="AN47" s="458"/>
      <c r="AO47" s="150"/>
      <c r="AP47" s="151"/>
    </row>
    <row r="48" spans="1:42" ht="15.75">
      <c r="A48" s="160"/>
      <c r="B48" s="128"/>
      <c r="C48" s="33"/>
      <c r="D48" s="208"/>
      <c r="E48" s="130"/>
      <c r="F48" s="143"/>
      <c r="G48" s="144"/>
      <c r="H48" s="145"/>
      <c r="I48" s="145"/>
      <c r="J48" s="145"/>
      <c r="K48" s="145"/>
      <c r="L48" s="134"/>
      <c r="M48" s="132"/>
      <c r="N48" s="145"/>
      <c r="O48" s="8"/>
      <c r="P48" s="8"/>
      <c r="Q48" s="145"/>
      <c r="R48" s="134"/>
      <c r="S48" s="133"/>
      <c r="T48" s="133"/>
      <c r="U48" s="145"/>
      <c r="V48" s="131"/>
      <c r="W48" s="214"/>
      <c r="X48" s="133"/>
      <c r="Z48" s="123"/>
      <c r="AA48" s="155"/>
      <c r="AB48" s="136"/>
      <c r="AC48" s="135"/>
      <c r="AD48" s="136"/>
      <c r="AE48" s="143"/>
      <c r="AF48" s="173"/>
      <c r="AG48" s="174"/>
      <c r="AH48" s="241"/>
      <c r="AI48" s="457"/>
      <c r="AJ48" s="462"/>
      <c r="AK48" s="460"/>
      <c r="AL48" s="458"/>
      <c r="AM48" s="145"/>
      <c r="AN48" s="458"/>
      <c r="AO48" s="150"/>
      <c r="AP48" s="151"/>
    </row>
    <row r="49" spans="1:42" ht="15.75">
      <c r="A49" s="160"/>
      <c r="B49" s="128"/>
      <c r="C49" s="33"/>
      <c r="D49" s="208"/>
      <c r="E49" s="143"/>
      <c r="F49" s="177"/>
      <c r="G49" s="178"/>
      <c r="H49" s="179"/>
      <c r="I49" s="179"/>
      <c r="J49" s="179"/>
      <c r="K49" s="179"/>
      <c r="L49" s="180"/>
      <c r="M49" s="132"/>
      <c r="N49" s="145"/>
      <c r="O49" s="8"/>
      <c r="P49" s="8"/>
      <c r="Q49" s="179"/>
      <c r="R49" s="180"/>
      <c r="S49" s="133"/>
      <c r="T49" s="133"/>
      <c r="U49" s="8"/>
      <c r="V49" s="131"/>
      <c r="W49" s="214"/>
      <c r="X49" s="133"/>
      <c r="Z49" s="123"/>
      <c r="AA49" s="181"/>
      <c r="AB49" s="136"/>
      <c r="AC49" s="152"/>
      <c r="AD49" s="136"/>
      <c r="AE49" s="143"/>
      <c r="AF49" s="173"/>
      <c r="AG49" s="174"/>
      <c r="AH49" s="241"/>
      <c r="AI49" s="147"/>
      <c r="AJ49" s="473"/>
      <c r="AK49" s="460"/>
      <c r="AL49" s="116"/>
      <c r="AM49" s="145"/>
      <c r="AN49" s="458"/>
      <c r="AO49" s="150"/>
      <c r="AP49" s="182"/>
    </row>
    <row r="50" spans="1:42" ht="15.75">
      <c r="A50" s="160"/>
      <c r="B50" s="128"/>
      <c r="C50" s="33"/>
      <c r="D50" s="208"/>
      <c r="E50" s="130"/>
      <c r="F50" s="143"/>
      <c r="G50" s="144"/>
      <c r="H50" s="145"/>
      <c r="I50" s="145"/>
      <c r="J50" s="145"/>
      <c r="K50" s="145"/>
      <c r="L50" s="134"/>
      <c r="M50" s="132"/>
      <c r="N50" s="145"/>
      <c r="O50" s="8"/>
      <c r="P50" s="145"/>
      <c r="Q50" s="145"/>
      <c r="R50" s="134"/>
      <c r="S50" s="133"/>
      <c r="T50" s="133"/>
      <c r="U50" s="145"/>
      <c r="V50" s="131"/>
      <c r="W50" s="214"/>
      <c r="X50" s="133"/>
      <c r="Z50" s="123"/>
      <c r="AA50" s="265"/>
      <c r="AB50" s="136"/>
      <c r="AC50" s="135"/>
      <c r="AD50" s="153"/>
      <c r="AE50" s="143"/>
      <c r="AF50" s="173"/>
      <c r="AG50" s="174"/>
      <c r="AH50" s="241"/>
      <c r="AI50" s="147"/>
      <c r="AJ50" s="462"/>
      <c r="AK50" s="460"/>
      <c r="AL50" s="458"/>
      <c r="AM50" s="145"/>
      <c r="AN50" s="458"/>
      <c r="AO50" s="150"/>
      <c r="AP50" s="151"/>
    </row>
    <row r="51" spans="1:42" ht="15.75">
      <c r="A51" s="160"/>
      <c r="B51" s="128"/>
      <c r="C51" s="33"/>
      <c r="D51" s="208"/>
      <c r="E51" s="130"/>
      <c r="F51" s="177"/>
      <c r="G51" s="178"/>
      <c r="H51" s="179"/>
      <c r="I51" s="179"/>
      <c r="J51" s="179"/>
      <c r="K51" s="179"/>
      <c r="L51" s="180"/>
      <c r="M51" s="132"/>
      <c r="N51" s="145"/>
      <c r="O51" s="8"/>
      <c r="P51" s="145"/>
      <c r="Q51" s="179"/>
      <c r="R51" s="180"/>
      <c r="S51" s="133"/>
      <c r="T51" s="133"/>
      <c r="U51" s="145"/>
      <c r="V51" s="131"/>
      <c r="W51" s="214"/>
      <c r="X51" s="133"/>
      <c r="Z51" s="123"/>
      <c r="AA51" s="181"/>
      <c r="AB51" s="136"/>
      <c r="AC51" s="135"/>
      <c r="AD51" s="136"/>
      <c r="AE51" s="143"/>
      <c r="AF51" s="50"/>
      <c r="AG51" s="52"/>
      <c r="AH51" s="241"/>
      <c r="AI51" s="457"/>
      <c r="AJ51" s="156"/>
      <c r="AK51" s="460"/>
      <c r="AL51" s="458"/>
      <c r="AM51" s="145"/>
      <c r="AN51" s="458"/>
      <c r="AO51" s="150"/>
      <c r="AP51" s="182"/>
    </row>
    <row r="52" spans="1:42" ht="15.75">
      <c r="A52" s="160"/>
      <c r="B52" s="128"/>
      <c r="C52" s="33"/>
      <c r="D52" s="208"/>
      <c r="E52" s="143"/>
      <c r="F52" s="177"/>
      <c r="G52" s="178"/>
      <c r="H52" s="179"/>
      <c r="I52" s="179"/>
      <c r="J52" s="179"/>
      <c r="K52" s="179"/>
      <c r="L52" s="180"/>
      <c r="M52" s="132"/>
      <c r="N52" s="145"/>
      <c r="O52" s="8"/>
      <c r="P52" s="145"/>
      <c r="Q52" s="179"/>
      <c r="R52" s="180"/>
      <c r="S52" s="133"/>
      <c r="T52" s="133"/>
      <c r="U52" s="145"/>
      <c r="V52" s="131"/>
      <c r="W52" s="214"/>
      <c r="X52" s="133"/>
      <c r="Z52" s="123"/>
      <c r="AA52" s="181"/>
      <c r="AB52" s="136"/>
      <c r="AC52" s="184"/>
      <c r="AD52" s="136"/>
      <c r="AE52" s="143"/>
      <c r="AF52" s="185"/>
      <c r="AG52" s="186"/>
      <c r="AH52" s="243"/>
      <c r="AI52" s="469"/>
      <c r="AJ52" s="458"/>
      <c r="AK52" s="469"/>
      <c r="AL52" s="458"/>
      <c r="AM52" s="145"/>
      <c r="AN52" s="458"/>
      <c r="AO52" s="150"/>
      <c r="AP52" s="182"/>
    </row>
    <row r="53" spans="1:42" ht="15.75">
      <c r="A53" s="160"/>
      <c r="B53" s="163"/>
      <c r="C53" s="33"/>
      <c r="D53" s="208"/>
      <c r="E53" s="162"/>
      <c r="F53" s="177"/>
      <c r="G53" s="178"/>
      <c r="H53" s="179"/>
      <c r="I53" s="179"/>
      <c r="J53" s="179"/>
      <c r="K53" s="179"/>
      <c r="L53" s="180"/>
      <c r="M53" s="132"/>
      <c r="N53" s="145"/>
      <c r="O53" s="8"/>
      <c r="P53" s="145"/>
      <c r="Q53" s="179"/>
      <c r="R53" s="180"/>
      <c r="S53" s="133"/>
      <c r="T53" s="133"/>
      <c r="U53" s="145"/>
      <c r="V53" s="131"/>
      <c r="W53" s="214"/>
      <c r="X53" s="133"/>
      <c r="Z53" s="123"/>
      <c r="AA53" s="181"/>
      <c r="AB53" s="136"/>
      <c r="AC53" s="135"/>
      <c r="AD53" s="136"/>
      <c r="AE53" s="143"/>
      <c r="AF53" s="173"/>
      <c r="AG53" s="174"/>
      <c r="AH53" s="241"/>
      <c r="AI53" s="457"/>
      <c r="AJ53" s="462"/>
      <c r="AK53" s="466"/>
      <c r="AL53" s="458"/>
      <c r="AM53" s="145"/>
      <c r="AN53" s="458"/>
      <c r="AO53" s="150"/>
      <c r="AP53" s="182"/>
    </row>
    <row r="54" spans="1:42" ht="15.75">
      <c r="A54" s="160"/>
      <c r="B54" s="163"/>
      <c r="C54" s="33"/>
      <c r="D54" s="208"/>
      <c r="E54" s="130"/>
      <c r="F54" s="143"/>
      <c r="G54" s="144"/>
      <c r="H54" s="145"/>
      <c r="I54" s="145"/>
      <c r="J54" s="145"/>
      <c r="K54" s="145"/>
      <c r="L54" s="134"/>
      <c r="M54" s="132"/>
      <c r="N54" s="145"/>
      <c r="O54" s="8"/>
      <c r="P54" s="145"/>
      <c r="Q54" s="145"/>
      <c r="R54" s="134"/>
      <c r="S54" s="134"/>
      <c r="T54" s="134"/>
      <c r="U54" s="145"/>
      <c r="V54" s="131"/>
      <c r="W54" s="214"/>
      <c r="X54" s="133"/>
      <c r="Z54" s="123"/>
      <c r="AA54" s="265"/>
      <c r="AB54" s="136"/>
      <c r="AC54" s="152"/>
      <c r="AD54" s="136"/>
      <c r="AE54" s="143"/>
      <c r="AF54" s="173"/>
      <c r="AG54" s="174"/>
      <c r="AH54" s="241"/>
      <c r="AI54" s="147"/>
      <c r="AJ54" s="467"/>
      <c r="AK54" s="138"/>
      <c r="AL54" s="458"/>
      <c r="AM54" s="145"/>
      <c r="AN54" s="458"/>
      <c r="AO54" s="150"/>
      <c r="AP54" s="151"/>
    </row>
    <row r="55" spans="1:42" ht="15.75">
      <c r="A55" s="160"/>
      <c r="B55" s="163"/>
      <c r="C55" s="33"/>
      <c r="D55" s="211"/>
      <c r="E55" s="187"/>
      <c r="F55" s="143"/>
      <c r="G55" s="144"/>
      <c r="H55" s="145"/>
      <c r="I55" s="145"/>
      <c r="J55" s="145"/>
      <c r="K55" s="145"/>
      <c r="L55" s="134"/>
      <c r="M55" s="132"/>
      <c r="N55" s="145"/>
      <c r="O55" s="8"/>
      <c r="P55" s="145"/>
      <c r="Q55" s="145"/>
      <c r="R55" s="134"/>
      <c r="S55" s="134"/>
      <c r="T55" s="134"/>
      <c r="U55" s="459"/>
      <c r="V55" s="131"/>
      <c r="W55" s="214"/>
      <c r="X55" s="133"/>
      <c r="Z55" s="123"/>
      <c r="AA55" s="265"/>
      <c r="AB55" s="136"/>
      <c r="AC55" s="152"/>
      <c r="AD55" s="136"/>
      <c r="AE55" s="143"/>
      <c r="AF55" s="173"/>
      <c r="AG55" s="174"/>
      <c r="AH55" s="241"/>
      <c r="AI55" s="140"/>
      <c r="AJ55" s="266"/>
      <c r="AK55" s="125"/>
      <c r="AL55" s="458"/>
      <c r="AM55" s="145"/>
      <c r="AN55" s="458"/>
      <c r="AO55" s="150"/>
      <c r="AP55" s="151"/>
    </row>
    <row r="56" spans="1:42" ht="15.75">
      <c r="A56" s="160"/>
      <c r="B56" s="163"/>
      <c r="C56" s="126"/>
      <c r="D56" s="126"/>
      <c r="E56" s="153"/>
      <c r="F56" s="143"/>
      <c r="G56" s="144"/>
      <c r="H56" s="145"/>
      <c r="I56" s="145"/>
      <c r="J56" s="145"/>
      <c r="K56" s="145"/>
      <c r="L56" s="134"/>
      <c r="M56" s="132"/>
      <c r="N56" s="145"/>
      <c r="O56" s="8"/>
      <c r="P56" s="145"/>
      <c r="Q56" s="145"/>
      <c r="R56" s="134"/>
      <c r="S56" s="188"/>
      <c r="T56" s="188"/>
      <c r="U56" s="459"/>
      <c r="V56" s="131"/>
      <c r="W56" s="214"/>
      <c r="X56" s="133"/>
      <c r="Z56" s="123"/>
      <c r="AA56" s="265"/>
      <c r="AB56" s="136"/>
      <c r="AC56" s="152"/>
      <c r="AD56" s="136"/>
      <c r="AE56" s="143"/>
      <c r="AF56" s="267"/>
      <c r="AG56" s="186"/>
      <c r="AH56" s="241"/>
      <c r="AI56" s="140"/>
      <c r="AJ56" s="266"/>
      <c r="AK56" s="125"/>
      <c r="AL56" s="458"/>
      <c r="AM56" s="145"/>
      <c r="AN56" s="213"/>
      <c r="AO56" s="150"/>
      <c r="AP56" s="151"/>
    </row>
    <row r="57" spans="1:42" ht="15.75">
      <c r="A57" s="160"/>
      <c r="B57" s="163"/>
      <c r="C57" s="126"/>
      <c r="D57" s="126"/>
      <c r="E57" s="153"/>
      <c r="F57" s="143"/>
      <c r="G57" s="144"/>
      <c r="H57" s="145"/>
      <c r="I57" s="145"/>
      <c r="J57" s="145"/>
      <c r="K57" s="145"/>
      <c r="L57" s="134"/>
      <c r="M57" s="132"/>
      <c r="N57" s="145"/>
      <c r="O57" s="8"/>
      <c r="P57" s="145"/>
      <c r="Q57" s="145"/>
      <c r="R57" s="134"/>
      <c r="S57" s="468"/>
      <c r="T57" s="468"/>
      <c r="U57" s="459"/>
      <c r="V57" s="131"/>
      <c r="W57" s="214"/>
      <c r="X57" s="133"/>
      <c r="Z57" s="123"/>
      <c r="AA57" s="265"/>
      <c r="AB57" s="136"/>
      <c r="AC57" s="152"/>
      <c r="AD57" s="136"/>
      <c r="AE57" s="143"/>
      <c r="AF57" s="267"/>
      <c r="AG57" s="186"/>
      <c r="AH57" s="241"/>
      <c r="AI57" s="140"/>
      <c r="AJ57" s="266"/>
      <c r="AK57" s="125"/>
      <c r="AL57" s="458"/>
      <c r="AM57" s="145"/>
      <c r="AN57" s="458"/>
      <c r="AO57" s="150"/>
      <c r="AP57" s="151"/>
    </row>
    <row r="58" spans="1:42" ht="15.75">
      <c r="A58" s="160"/>
      <c r="B58" s="163"/>
      <c r="C58" s="33"/>
      <c r="D58" s="212"/>
      <c r="E58" s="189"/>
      <c r="F58" s="143"/>
      <c r="G58" s="144"/>
      <c r="H58" s="145"/>
      <c r="I58" s="145"/>
      <c r="J58" s="145"/>
      <c r="K58" s="145"/>
      <c r="L58" s="134"/>
      <c r="M58" s="132"/>
      <c r="N58" s="145"/>
      <c r="O58" s="8"/>
      <c r="P58" s="145"/>
      <c r="Q58" s="145"/>
      <c r="R58" s="134"/>
      <c r="S58" s="134"/>
      <c r="T58" s="193"/>
      <c r="U58" s="474"/>
      <c r="V58" s="131"/>
      <c r="W58" s="214"/>
      <c r="X58" s="133"/>
      <c r="Z58" s="123"/>
      <c r="AA58" s="181"/>
      <c r="AB58" s="136"/>
      <c r="AC58" s="152"/>
      <c r="AD58" s="136"/>
      <c r="AE58" s="143"/>
      <c r="AF58" s="267"/>
      <c r="AG58" s="186"/>
      <c r="AH58" s="241"/>
      <c r="AI58" s="140"/>
      <c r="AJ58" s="266"/>
      <c r="AK58" s="125"/>
      <c r="AL58" s="458"/>
      <c r="AM58" s="145"/>
      <c r="AN58" s="458"/>
      <c r="AO58" s="150"/>
      <c r="AP58" s="151"/>
    </row>
    <row r="59" spans="1:42" ht="15.75">
      <c r="A59" s="160"/>
      <c r="B59" s="163"/>
      <c r="C59" s="33"/>
      <c r="D59" s="208"/>
      <c r="E59" s="130"/>
      <c r="F59" s="143"/>
      <c r="G59" s="191"/>
      <c r="H59" s="145"/>
      <c r="I59" s="145"/>
      <c r="J59" s="145"/>
      <c r="K59" s="145"/>
      <c r="L59" s="134"/>
      <c r="M59" s="132"/>
      <c r="N59" s="145"/>
      <c r="O59" s="8"/>
      <c r="P59" s="145"/>
      <c r="Q59" s="145"/>
      <c r="R59" s="134"/>
      <c r="S59" s="468"/>
      <c r="T59" s="468"/>
      <c r="U59" s="459"/>
      <c r="V59" s="131"/>
      <c r="W59" s="214"/>
      <c r="X59" s="133"/>
      <c r="Z59" s="123"/>
      <c r="AA59" s="265"/>
      <c r="AB59" s="136"/>
      <c r="AC59" s="152"/>
      <c r="AD59" s="136"/>
      <c r="AE59" s="143"/>
      <c r="AF59" s="267"/>
      <c r="AG59" s="186"/>
      <c r="AH59" s="241"/>
      <c r="AI59" s="140"/>
      <c r="AJ59" s="266"/>
      <c r="AK59" s="125"/>
      <c r="AL59" s="458"/>
      <c r="AM59" s="145"/>
      <c r="AN59" s="213"/>
      <c r="AO59" s="150"/>
      <c r="AP59" s="151"/>
    </row>
    <row r="60" spans="1:42" ht="15.75">
      <c r="A60" s="160"/>
      <c r="B60" s="163"/>
      <c r="C60" s="33"/>
      <c r="D60" s="208"/>
      <c r="E60" s="143"/>
      <c r="F60" s="143"/>
      <c r="G60" s="144"/>
      <c r="H60" s="145"/>
      <c r="I60" s="145"/>
      <c r="J60" s="145"/>
      <c r="K60" s="145"/>
      <c r="L60" s="134"/>
      <c r="M60" s="132"/>
      <c r="N60" s="145"/>
      <c r="O60" s="8"/>
      <c r="P60" s="145"/>
      <c r="Q60" s="145"/>
      <c r="R60" s="134"/>
      <c r="S60" s="468"/>
      <c r="T60" s="468"/>
      <c r="U60" s="459"/>
      <c r="V60" s="131"/>
      <c r="W60" s="214"/>
      <c r="X60" s="133"/>
      <c r="Z60" s="123"/>
      <c r="AA60" s="265"/>
      <c r="AB60" s="136"/>
      <c r="AC60" s="152"/>
      <c r="AD60" s="136"/>
      <c r="AE60" s="143"/>
      <c r="AF60" s="267"/>
      <c r="AG60" s="186"/>
      <c r="AH60" s="241"/>
      <c r="AI60" s="140"/>
      <c r="AJ60" s="266"/>
      <c r="AK60" s="125"/>
      <c r="AL60" s="458"/>
      <c r="AM60" s="145"/>
      <c r="AN60" s="213"/>
      <c r="AO60" s="150"/>
      <c r="AP60" s="151"/>
    </row>
    <row r="61" spans="1:42" ht="15.75">
      <c r="A61" s="160"/>
      <c r="B61" s="163"/>
      <c r="C61" s="33"/>
      <c r="D61" s="208"/>
      <c r="E61" s="143"/>
      <c r="F61" s="143"/>
      <c r="G61" s="144"/>
      <c r="H61" s="145"/>
      <c r="I61" s="145"/>
      <c r="J61" s="145"/>
      <c r="K61" s="145"/>
      <c r="L61" s="134"/>
      <c r="M61" s="132"/>
      <c r="N61" s="145"/>
      <c r="O61" s="8"/>
      <c r="P61" s="145"/>
      <c r="Q61" s="145"/>
      <c r="R61" s="134"/>
      <c r="S61" s="468"/>
      <c r="T61" s="468"/>
      <c r="U61" s="459"/>
      <c r="V61" s="131"/>
      <c r="W61" s="214"/>
      <c r="X61" s="133"/>
      <c r="Z61" s="123"/>
      <c r="AA61" s="181"/>
      <c r="AB61" s="136"/>
      <c r="AC61" s="152"/>
      <c r="AD61" s="136"/>
      <c r="AE61" s="143"/>
      <c r="AF61" s="267"/>
      <c r="AG61" s="186"/>
      <c r="AH61" s="241"/>
      <c r="AI61" s="140"/>
      <c r="AJ61" s="266"/>
      <c r="AK61" s="125"/>
      <c r="AL61" s="458"/>
      <c r="AM61" s="145"/>
      <c r="AN61" s="213"/>
      <c r="AO61" s="150"/>
      <c r="AP61" s="151"/>
    </row>
    <row r="62" spans="1:42" ht="15.75">
      <c r="A62" s="160"/>
      <c r="B62" s="163"/>
      <c r="C62" s="33"/>
      <c r="D62" s="208"/>
      <c r="E62" s="143"/>
      <c r="F62" s="143"/>
      <c r="G62" s="144"/>
      <c r="H62" s="145"/>
      <c r="I62" s="145"/>
      <c r="J62" s="145"/>
      <c r="K62" s="145"/>
      <c r="L62" s="134"/>
      <c r="M62" s="132"/>
      <c r="N62" s="145"/>
      <c r="O62" s="8"/>
      <c r="P62" s="145"/>
      <c r="Q62" s="145"/>
      <c r="R62" s="134"/>
      <c r="S62" s="468"/>
      <c r="T62" s="468"/>
      <c r="U62" s="459"/>
      <c r="V62" s="131"/>
      <c r="W62" s="214"/>
      <c r="X62" s="133"/>
      <c r="Z62" s="123"/>
      <c r="AA62" s="265"/>
      <c r="AB62" s="136"/>
      <c r="AC62" s="152"/>
      <c r="AD62" s="136"/>
      <c r="AE62" s="143"/>
      <c r="AF62" s="267"/>
      <c r="AG62" s="186"/>
      <c r="AH62" s="241"/>
      <c r="AI62" s="140"/>
      <c r="AJ62" s="266"/>
      <c r="AK62" s="125"/>
      <c r="AL62" s="458"/>
      <c r="AM62" s="145"/>
      <c r="AN62" s="213"/>
      <c r="AO62" s="150"/>
      <c r="AP62" s="151"/>
    </row>
    <row r="63" spans="1:42" ht="15.75">
      <c r="A63" s="160"/>
      <c r="B63" s="163"/>
      <c r="C63" s="33"/>
      <c r="D63" s="208"/>
      <c r="E63" s="143"/>
      <c r="F63" s="143"/>
      <c r="G63" s="144"/>
      <c r="H63" s="145"/>
      <c r="I63" s="145"/>
      <c r="J63" s="145"/>
      <c r="K63" s="145"/>
      <c r="L63" s="134"/>
      <c r="M63" s="132"/>
      <c r="N63" s="145"/>
      <c r="O63" s="8"/>
      <c r="P63" s="145"/>
      <c r="Q63" s="145"/>
      <c r="R63" s="134"/>
      <c r="S63" s="468"/>
      <c r="T63" s="468"/>
      <c r="U63" s="459"/>
      <c r="V63" s="131"/>
      <c r="W63" s="214"/>
      <c r="X63" s="133"/>
      <c r="Z63" s="123"/>
      <c r="AA63" s="265"/>
      <c r="AB63" s="136"/>
      <c r="AC63" s="152"/>
      <c r="AD63" s="136"/>
      <c r="AE63" s="143"/>
      <c r="AF63" s="267"/>
      <c r="AG63" s="186"/>
      <c r="AH63" s="241"/>
      <c r="AI63" s="140"/>
      <c r="AJ63" s="266"/>
      <c r="AK63" s="125"/>
      <c r="AL63" s="458"/>
      <c r="AM63" s="145"/>
      <c r="AN63" s="213"/>
      <c r="AO63" s="150"/>
      <c r="AP63" s="151"/>
    </row>
    <row r="64" spans="1:42" ht="15.75">
      <c r="A64" s="160"/>
      <c r="B64" s="163"/>
      <c r="C64" s="33"/>
      <c r="D64" s="208"/>
      <c r="E64" s="143"/>
      <c r="F64" s="143"/>
      <c r="G64" s="144"/>
      <c r="H64" s="145"/>
      <c r="I64" s="145"/>
      <c r="J64" s="145"/>
      <c r="K64" s="145"/>
      <c r="L64" s="134"/>
      <c r="M64" s="132"/>
      <c r="N64" s="145"/>
      <c r="O64" s="8"/>
      <c r="P64" s="145"/>
      <c r="Q64" s="145"/>
      <c r="R64" s="134"/>
      <c r="S64" s="468"/>
      <c r="T64" s="468"/>
      <c r="U64" s="459"/>
      <c r="V64" s="131"/>
      <c r="W64" s="214"/>
      <c r="X64" s="133"/>
      <c r="Z64" s="123"/>
      <c r="AA64" s="265"/>
      <c r="AB64" s="136"/>
      <c r="AC64" s="152"/>
      <c r="AD64" s="136"/>
      <c r="AE64" s="143"/>
      <c r="AF64" s="267"/>
      <c r="AG64" s="186"/>
      <c r="AH64" s="241"/>
      <c r="AI64" s="140"/>
      <c r="AJ64" s="266"/>
      <c r="AK64" s="125"/>
      <c r="AL64" s="458"/>
      <c r="AM64" s="145"/>
      <c r="AN64" s="213"/>
      <c r="AO64" s="150"/>
      <c r="AP64" s="151"/>
    </row>
    <row r="65" spans="1:42" ht="15.75">
      <c r="A65" s="160"/>
      <c r="B65" s="163"/>
      <c r="C65" s="33"/>
      <c r="D65" s="208"/>
      <c r="E65" s="143"/>
      <c r="F65" s="143"/>
      <c r="G65" s="144"/>
      <c r="H65" s="145"/>
      <c r="I65" s="145"/>
      <c r="J65" s="145"/>
      <c r="K65" s="145"/>
      <c r="L65" s="134"/>
      <c r="M65" s="132"/>
      <c r="N65" s="145"/>
      <c r="O65" s="8"/>
      <c r="P65" s="145"/>
      <c r="Q65" s="145"/>
      <c r="R65" s="134"/>
      <c r="S65" s="468"/>
      <c r="T65" s="468"/>
      <c r="U65" s="459"/>
      <c r="V65" s="131"/>
      <c r="W65" s="214"/>
      <c r="X65" s="133"/>
      <c r="Z65" s="123"/>
      <c r="AA65" s="265"/>
      <c r="AB65" s="136"/>
      <c r="AC65" s="152"/>
      <c r="AD65" s="136"/>
      <c r="AE65" s="143"/>
      <c r="AF65" s="267"/>
      <c r="AG65" s="186"/>
      <c r="AH65" s="241"/>
      <c r="AI65" s="140"/>
      <c r="AJ65" s="266"/>
      <c r="AK65" s="125"/>
      <c r="AL65" s="458"/>
      <c r="AM65" s="145"/>
      <c r="AN65" s="213"/>
      <c r="AO65" s="150"/>
      <c r="AP65" s="151"/>
    </row>
    <row r="66" spans="1:42" ht="15.75">
      <c r="A66" s="160"/>
      <c r="B66" s="163"/>
      <c r="C66" s="33"/>
      <c r="D66" s="208"/>
      <c r="E66" s="143"/>
      <c r="F66" s="143"/>
      <c r="G66" s="144"/>
      <c r="H66" s="145"/>
      <c r="I66" s="145"/>
      <c r="J66" s="145"/>
      <c r="K66" s="145"/>
      <c r="L66" s="134"/>
      <c r="M66" s="132"/>
      <c r="N66" s="145"/>
      <c r="O66" s="8"/>
      <c r="P66" s="145"/>
      <c r="Q66" s="145"/>
      <c r="R66" s="134"/>
      <c r="S66" s="468"/>
      <c r="T66" s="475"/>
      <c r="U66" s="476"/>
      <c r="V66" s="131"/>
      <c r="W66" s="214"/>
      <c r="X66" s="133"/>
      <c r="Z66" s="123"/>
      <c r="AA66" s="181"/>
      <c r="AB66" s="136"/>
      <c r="AC66" s="152"/>
      <c r="AD66" s="136"/>
      <c r="AE66" s="143"/>
      <c r="AF66" s="267"/>
      <c r="AG66" s="186"/>
      <c r="AH66" s="241"/>
      <c r="AI66" s="140"/>
      <c r="AJ66" s="266"/>
      <c r="AK66" s="125"/>
      <c r="AL66" s="458"/>
      <c r="AM66" s="145"/>
      <c r="AN66" s="213"/>
      <c r="AO66" s="150"/>
      <c r="AP66" s="151"/>
    </row>
    <row r="67" spans="1:42" ht="15.75">
      <c r="A67" s="160"/>
      <c r="B67" s="163"/>
      <c r="C67" s="33"/>
      <c r="D67" s="208"/>
      <c r="E67" s="143"/>
      <c r="F67" s="143"/>
      <c r="G67" s="144"/>
      <c r="H67" s="145"/>
      <c r="I67" s="145"/>
      <c r="J67" s="145"/>
      <c r="K67" s="145"/>
      <c r="L67" s="134"/>
      <c r="M67" s="132"/>
      <c r="N67" s="145"/>
      <c r="O67" s="8"/>
      <c r="P67" s="145"/>
      <c r="Q67" s="145"/>
      <c r="R67" s="134"/>
      <c r="S67" s="468"/>
      <c r="T67" s="468"/>
      <c r="U67" s="459"/>
      <c r="V67" s="131"/>
      <c r="W67" s="214"/>
      <c r="X67" s="133"/>
      <c r="Z67" s="123"/>
      <c r="AA67" s="265"/>
      <c r="AB67" s="136"/>
      <c r="AC67" s="152"/>
      <c r="AD67" s="136"/>
      <c r="AE67" s="143"/>
      <c r="AF67" s="267"/>
      <c r="AG67" s="186"/>
      <c r="AH67" s="241"/>
      <c r="AI67" s="140"/>
      <c r="AJ67" s="266"/>
      <c r="AK67" s="125"/>
      <c r="AL67" s="458"/>
      <c r="AM67" s="145"/>
      <c r="AN67" s="213"/>
      <c r="AO67" s="150"/>
      <c r="AP67" s="151"/>
    </row>
    <row r="68" spans="1:42" ht="15.75">
      <c r="A68" s="160"/>
      <c r="B68" s="163"/>
      <c r="C68" s="33"/>
      <c r="D68" s="208"/>
      <c r="E68" s="143"/>
      <c r="F68" s="143"/>
      <c r="G68" s="144"/>
      <c r="H68" s="145"/>
      <c r="I68" s="145"/>
      <c r="J68" s="145"/>
      <c r="K68" s="145"/>
      <c r="L68" s="134"/>
      <c r="M68" s="132"/>
      <c r="N68" s="145"/>
      <c r="O68" s="8"/>
      <c r="P68" s="145"/>
      <c r="Q68" s="145"/>
      <c r="R68" s="134"/>
      <c r="S68" s="468"/>
      <c r="T68" s="468"/>
      <c r="U68" s="459"/>
      <c r="V68" s="131"/>
      <c r="W68" s="214"/>
      <c r="X68" s="133"/>
      <c r="Z68" s="123"/>
      <c r="AA68" s="265"/>
      <c r="AB68" s="136"/>
      <c r="AC68" s="152"/>
      <c r="AD68" s="136"/>
      <c r="AE68" s="143"/>
      <c r="AF68" s="267"/>
      <c r="AG68" s="186"/>
      <c r="AH68" s="241"/>
      <c r="AI68" s="140"/>
      <c r="AJ68" s="266"/>
      <c r="AK68" s="125"/>
      <c r="AL68" s="458"/>
      <c r="AM68" s="145"/>
      <c r="AN68" s="213"/>
      <c r="AO68" s="150"/>
      <c r="AP68" s="151"/>
    </row>
    <row r="69" spans="1:42" ht="15.75">
      <c r="A69" s="160"/>
      <c r="B69" s="163"/>
      <c r="C69" s="33"/>
      <c r="D69" s="208"/>
      <c r="E69" s="143"/>
      <c r="F69" s="143"/>
      <c r="G69" s="144"/>
      <c r="H69" s="145"/>
      <c r="I69" s="145"/>
      <c r="J69" s="145"/>
      <c r="K69" s="145"/>
      <c r="L69" s="134"/>
      <c r="M69" s="132"/>
      <c r="N69" s="145"/>
      <c r="O69" s="8"/>
      <c r="P69" s="145"/>
      <c r="Q69" s="145"/>
      <c r="R69" s="134"/>
      <c r="S69" s="468"/>
      <c r="T69" s="468"/>
      <c r="U69" s="459"/>
      <c r="V69" s="131"/>
      <c r="W69" s="131"/>
      <c r="X69" s="134"/>
      <c r="Z69" s="123"/>
      <c r="AA69" s="265"/>
      <c r="AB69" s="136"/>
      <c r="AC69" s="152"/>
      <c r="AD69" s="136"/>
      <c r="AE69" s="143"/>
      <c r="AF69" s="267"/>
      <c r="AG69" s="186"/>
      <c r="AH69" s="241"/>
      <c r="AI69" s="140"/>
      <c r="AJ69" s="266"/>
      <c r="AK69" s="125"/>
      <c r="AL69" s="458"/>
      <c r="AM69" s="145"/>
      <c r="AN69" s="213"/>
      <c r="AO69" s="150"/>
      <c r="AP69" s="151"/>
    </row>
    <row r="70" spans="1:42" ht="15.75">
      <c r="A70" s="160"/>
      <c r="B70" s="163"/>
      <c r="C70" s="33"/>
      <c r="D70" s="208"/>
      <c r="E70" s="143"/>
      <c r="F70" s="143"/>
      <c r="G70" s="144"/>
      <c r="H70" s="145"/>
      <c r="I70" s="145"/>
      <c r="J70" s="145"/>
      <c r="K70" s="145"/>
      <c r="L70" s="134"/>
      <c r="M70" s="132"/>
      <c r="N70" s="145"/>
      <c r="O70" s="8"/>
      <c r="P70" s="145"/>
      <c r="Q70" s="145"/>
      <c r="R70" s="145"/>
      <c r="S70" s="459"/>
      <c r="T70" s="477"/>
      <c r="U70" s="477"/>
      <c r="V70" s="131"/>
      <c r="W70" s="131"/>
      <c r="X70" s="134"/>
      <c r="Z70" s="123"/>
      <c r="AA70" s="265"/>
      <c r="AB70" s="136"/>
      <c r="AC70" s="152"/>
      <c r="AD70" s="136"/>
      <c r="AE70" s="143"/>
      <c r="AF70" s="267"/>
      <c r="AG70" s="186"/>
      <c r="AH70" s="241"/>
      <c r="AI70" s="140"/>
      <c r="AJ70" s="266"/>
      <c r="AK70" s="125"/>
      <c r="AL70" s="458"/>
      <c r="AM70" s="145"/>
      <c r="AN70" s="213"/>
      <c r="AO70" s="150"/>
      <c r="AP70" s="151"/>
    </row>
    <row r="71" spans="1:42" ht="15.75">
      <c r="A71" s="195"/>
      <c r="B71" s="163"/>
      <c r="C71" s="33"/>
      <c r="D71" s="208"/>
      <c r="E71" s="143"/>
      <c r="F71" s="143"/>
      <c r="G71" s="144"/>
      <c r="H71" s="145"/>
      <c r="I71" s="145"/>
      <c r="J71" s="145"/>
      <c r="K71" s="145"/>
      <c r="L71" s="134"/>
      <c r="M71" s="132"/>
      <c r="N71" s="145"/>
      <c r="O71" s="8"/>
      <c r="P71" s="145"/>
      <c r="Q71" s="145"/>
      <c r="R71" s="145"/>
      <c r="S71" s="459"/>
      <c r="T71" s="459"/>
      <c r="U71" s="459"/>
      <c r="V71" s="131"/>
      <c r="W71" s="131"/>
      <c r="X71" s="134"/>
      <c r="Z71" s="123"/>
      <c r="AA71" s="265"/>
      <c r="AB71" s="136"/>
      <c r="AC71" s="152"/>
      <c r="AD71" s="136"/>
      <c r="AE71" s="143"/>
      <c r="AF71" s="267"/>
      <c r="AG71" s="186"/>
      <c r="AH71" s="241"/>
      <c r="AI71" s="140"/>
      <c r="AJ71" s="266"/>
      <c r="AK71" s="125"/>
      <c r="AL71" s="458"/>
      <c r="AM71" s="145"/>
      <c r="AN71" s="213"/>
      <c r="AO71" s="150"/>
      <c r="AP71" s="151"/>
    </row>
    <row r="72" spans="1:42" ht="15.75">
      <c r="A72" s="160"/>
      <c r="B72" s="196"/>
      <c r="C72" s="33"/>
      <c r="D72" s="208"/>
      <c r="E72" s="143"/>
      <c r="F72" s="143"/>
      <c r="G72" s="144"/>
      <c r="H72" s="145"/>
      <c r="I72" s="145"/>
      <c r="J72" s="145"/>
      <c r="K72" s="145"/>
      <c r="L72" s="134"/>
      <c r="M72" s="132"/>
      <c r="N72" s="145"/>
      <c r="O72" s="8"/>
      <c r="P72" s="145"/>
      <c r="S72" s="459"/>
      <c r="T72" s="459"/>
      <c r="U72" s="459"/>
      <c r="V72" s="131"/>
      <c r="W72" s="131"/>
      <c r="X72" s="134"/>
      <c r="Z72" s="146"/>
      <c r="AA72" s="265"/>
      <c r="AB72" s="136"/>
      <c r="AC72" s="152"/>
      <c r="AD72" s="136"/>
      <c r="AE72" s="143"/>
      <c r="AF72" s="267"/>
      <c r="AG72" s="186"/>
      <c r="AH72" s="241"/>
      <c r="AI72" s="140"/>
      <c r="AJ72" s="266"/>
      <c r="AK72" s="125"/>
      <c r="AL72" s="458"/>
      <c r="AM72" s="145"/>
      <c r="AN72" s="213"/>
      <c r="AO72" s="150"/>
      <c r="AP72" s="151"/>
    </row>
    <row r="73" spans="1:42" ht="15.75">
      <c r="A73" s="197"/>
      <c r="B73" s="163"/>
      <c r="C73" s="33"/>
      <c r="D73" s="208"/>
      <c r="E73" s="143"/>
      <c r="F73" s="143"/>
      <c r="G73" s="144"/>
      <c r="H73" s="145"/>
      <c r="I73" s="145"/>
      <c r="J73" s="145"/>
      <c r="K73" s="145"/>
      <c r="L73" s="134"/>
      <c r="M73" s="132"/>
      <c r="N73" s="145"/>
      <c r="O73" s="8"/>
      <c r="P73" s="145"/>
      <c r="Q73" s="145"/>
      <c r="R73" s="145"/>
      <c r="S73" s="459"/>
      <c r="T73" s="459"/>
      <c r="U73" s="459"/>
      <c r="V73" s="131"/>
      <c r="W73" s="131"/>
      <c r="X73" s="134"/>
      <c r="Z73" s="146"/>
      <c r="AA73" s="265"/>
      <c r="AB73" s="136"/>
      <c r="AC73" s="152"/>
      <c r="AD73" s="136"/>
      <c r="AE73" s="143"/>
      <c r="AF73" s="267"/>
      <c r="AG73" s="186"/>
      <c r="AH73" s="241"/>
      <c r="AI73" s="140"/>
      <c r="AJ73" s="266"/>
      <c r="AK73" s="125"/>
      <c r="AL73" s="458"/>
      <c r="AM73" s="145"/>
      <c r="AN73" s="213"/>
      <c r="AO73" s="150"/>
      <c r="AP73" s="151"/>
    </row>
    <row r="74" spans="1:42" ht="15.75">
      <c r="A74" s="160"/>
      <c r="B74" s="163"/>
      <c r="C74" s="33"/>
      <c r="D74" s="208"/>
      <c r="E74" s="143"/>
      <c r="F74" s="143"/>
      <c r="G74" s="144"/>
      <c r="H74" s="145"/>
      <c r="I74" s="145"/>
      <c r="J74" s="145"/>
      <c r="K74" s="145"/>
      <c r="L74" s="134"/>
      <c r="M74" s="145"/>
      <c r="N74" s="145"/>
      <c r="O74" s="8"/>
      <c r="P74" s="145"/>
      <c r="Q74" s="145"/>
      <c r="R74" s="145"/>
      <c r="S74" s="459"/>
      <c r="T74" s="459"/>
      <c r="U74" s="459"/>
      <c r="V74" s="143"/>
      <c r="W74" s="143"/>
      <c r="X74" s="134"/>
      <c r="Z74" s="123"/>
      <c r="AA74" s="265"/>
      <c r="AB74" s="136"/>
      <c r="AC74" s="152"/>
      <c r="AD74" s="136"/>
      <c r="AE74" s="143"/>
      <c r="AF74" s="267"/>
      <c r="AG74" s="186"/>
      <c r="AH74" s="241"/>
      <c r="AI74" s="140"/>
      <c r="AJ74" s="266"/>
      <c r="AK74" s="125"/>
      <c r="AL74" s="458"/>
      <c r="AM74" s="145"/>
      <c r="AN74" s="458"/>
      <c r="AO74" s="150"/>
      <c r="AP74" s="151"/>
    </row>
    <row r="75" spans="1:42" ht="15.75">
      <c r="A75" s="160"/>
      <c r="B75" s="163"/>
      <c r="C75" s="33"/>
      <c r="D75" s="208"/>
      <c r="E75" s="130"/>
      <c r="F75" s="143"/>
      <c r="G75" s="144"/>
      <c r="H75" s="145"/>
      <c r="I75" s="145"/>
      <c r="J75" s="145"/>
      <c r="K75" s="145"/>
      <c r="L75" s="134"/>
      <c r="M75" s="145"/>
      <c r="N75" s="145"/>
      <c r="O75" s="8"/>
      <c r="P75" s="145"/>
      <c r="Q75" s="145"/>
      <c r="R75" s="145"/>
      <c r="S75" s="459"/>
      <c r="T75" s="459"/>
      <c r="U75" s="145"/>
      <c r="V75" s="143"/>
      <c r="W75" s="143"/>
      <c r="X75" s="134"/>
      <c r="Z75" s="123"/>
      <c r="AA75" s="265"/>
      <c r="AB75" s="136"/>
      <c r="AC75" s="152"/>
      <c r="AD75" s="136"/>
      <c r="AE75" s="143"/>
      <c r="AF75" s="267"/>
      <c r="AG75" s="186"/>
      <c r="AH75" s="241"/>
      <c r="AI75" s="140"/>
      <c r="AJ75" s="266"/>
      <c r="AK75" s="125"/>
      <c r="AL75" s="458"/>
      <c r="AM75" s="145"/>
      <c r="AN75" s="213"/>
      <c r="AO75" s="150"/>
      <c r="AP75" s="151"/>
    </row>
    <row r="76" spans="1:42" ht="15.75">
      <c r="A76" s="160"/>
      <c r="B76" s="163"/>
      <c r="C76" s="33"/>
      <c r="D76" s="208"/>
      <c r="E76" s="130"/>
      <c r="F76" s="143"/>
      <c r="G76" s="144"/>
      <c r="H76" s="145"/>
      <c r="I76" s="145"/>
      <c r="J76" s="145"/>
      <c r="K76" s="145"/>
      <c r="L76" s="134"/>
      <c r="M76" s="145"/>
      <c r="N76" s="145"/>
      <c r="O76" s="8"/>
      <c r="P76" s="145"/>
      <c r="Q76" s="145"/>
      <c r="R76" s="145"/>
      <c r="S76" s="459"/>
      <c r="T76" s="459"/>
      <c r="U76" s="459"/>
      <c r="V76" s="143"/>
      <c r="W76" s="143"/>
      <c r="X76" s="134"/>
      <c r="Z76" s="123"/>
      <c r="AA76" s="265"/>
      <c r="AB76" s="136"/>
      <c r="AC76" s="152"/>
      <c r="AD76" s="136"/>
      <c r="AE76" s="143"/>
      <c r="AF76" s="267"/>
      <c r="AG76" s="186"/>
      <c r="AH76" s="241"/>
      <c r="AI76" s="140"/>
      <c r="AJ76" s="266"/>
      <c r="AK76" s="125"/>
      <c r="AL76" s="458"/>
      <c r="AM76" s="145"/>
      <c r="AN76" s="213"/>
      <c r="AO76" s="150"/>
      <c r="AP76" s="151"/>
    </row>
    <row r="77" spans="1:42" ht="15.75">
      <c r="A77" s="160"/>
      <c r="B77" s="163"/>
      <c r="C77" s="33"/>
      <c r="D77" s="208"/>
      <c r="E77" s="143"/>
      <c r="F77" s="143"/>
      <c r="G77" s="144"/>
      <c r="H77" s="145"/>
      <c r="I77" s="145"/>
      <c r="J77" s="145"/>
      <c r="K77" s="145"/>
      <c r="L77" s="134"/>
      <c r="M77" s="145"/>
      <c r="N77" s="145"/>
      <c r="O77" s="8"/>
      <c r="P77" s="145"/>
      <c r="Q77" s="145"/>
      <c r="R77" s="145"/>
      <c r="S77" s="459"/>
      <c r="T77" s="459"/>
      <c r="U77" s="459"/>
      <c r="V77" s="143"/>
      <c r="W77" s="143"/>
      <c r="X77" s="134"/>
      <c r="Z77" s="123"/>
      <c r="AA77" s="265"/>
      <c r="AB77" s="136"/>
      <c r="AC77" s="152"/>
      <c r="AD77" s="136"/>
      <c r="AE77" s="143"/>
      <c r="AF77" s="267"/>
      <c r="AG77" s="186"/>
      <c r="AH77" s="241"/>
      <c r="AI77" s="140"/>
      <c r="AJ77" s="266"/>
      <c r="AK77" s="125"/>
      <c r="AL77" s="458"/>
      <c r="AM77" s="145"/>
      <c r="AN77" s="458"/>
      <c r="AO77" s="150"/>
      <c r="AP77" s="151"/>
    </row>
    <row r="78" spans="1:42" ht="15.75">
      <c r="A78" s="160"/>
      <c r="B78" s="163"/>
      <c r="C78" s="33"/>
      <c r="D78" s="208"/>
      <c r="E78" s="143"/>
      <c r="F78" s="143"/>
      <c r="G78" s="144"/>
      <c r="H78" s="145"/>
      <c r="I78" s="145"/>
      <c r="J78" s="145"/>
      <c r="K78" s="145"/>
      <c r="L78" s="134"/>
      <c r="M78" s="145"/>
      <c r="N78" s="145"/>
      <c r="O78" s="8"/>
      <c r="P78" s="145"/>
      <c r="Q78" s="145"/>
      <c r="R78" s="145"/>
      <c r="S78" s="459"/>
      <c r="T78" s="459"/>
      <c r="U78" s="459"/>
      <c r="V78" s="143"/>
      <c r="W78" s="143"/>
      <c r="X78" s="134"/>
      <c r="Z78" s="123"/>
      <c r="AA78" s="265"/>
      <c r="AB78" s="136"/>
      <c r="AC78" s="152"/>
      <c r="AD78" s="136"/>
      <c r="AE78" s="143"/>
      <c r="AF78" s="267"/>
      <c r="AG78" s="186"/>
      <c r="AH78" s="241"/>
      <c r="AI78" s="140"/>
      <c r="AJ78" s="266"/>
      <c r="AK78" s="125"/>
      <c r="AL78" s="458"/>
      <c r="AM78" s="145"/>
      <c r="AN78" s="213"/>
      <c r="AO78" s="150"/>
      <c r="AP78" s="151"/>
    </row>
    <row r="79" spans="1:42" ht="15.75">
      <c r="A79" s="160"/>
      <c r="B79" s="163"/>
      <c r="C79" s="33"/>
      <c r="D79" s="208"/>
      <c r="E79" s="130"/>
      <c r="F79" s="143"/>
      <c r="G79" s="144"/>
      <c r="H79" s="145"/>
      <c r="I79" s="145"/>
      <c r="J79" s="145"/>
      <c r="K79" s="145"/>
      <c r="L79" s="134"/>
      <c r="M79" s="145"/>
      <c r="N79" s="145"/>
      <c r="O79" s="8"/>
      <c r="P79" s="145"/>
      <c r="Q79" s="145"/>
      <c r="R79" s="145"/>
      <c r="S79" s="459"/>
      <c r="T79" s="476"/>
      <c r="U79" s="476"/>
      <c r="V79" s="143"/>
      <c r="W79" s="143"/>
      <c r="X79" s="134"/>
      <c r="Z79" s="123"/>
      <c r="AA79" s="265"/>
      <c r="AB79" s="136"/>
      <c r="AC79" s="152"/>
      <c r="AD79" s="136"/>
      <c r="AE79" s="143"/>
      <c r="AF79" s="267"/>
      <c r="AG79" s="186"/>
      <c r="AH79" s="241"/>
      <c r="AI79" s="140"/>
      <c r="AJ79" s="266"/>
      <c r="AK79" s="125"/>
      <c r="AL79" s="458"/>
      <c r="AM79" s="145"/>
      <c r="AN79" s="213"/>
      <c r="AO79" s="150"/>
      <c r="AP79" s="151"/>
    </row>
    <row r="80" spans="1:42" ht="15.75">
      <c r="A80" s="160"/>
      <c r="B80" s="163"/>
      <c r="C80" s="33"/>
      <c r="D80" s="208"/>
      <c r="E80" s="130"/>
      <c r="F80" s="143"/>
      <c r="G80" s="144"/>
      <c r="H80" s="145"/>
      <c r="I80" s="145"/>
      <c r="J80" s="145"/>
      <c r="K80" s="145"/>
      <c r="L80" s="134"/>
      <c r="M80" s="145"/>
      <c r="N80" s="145"/>
      <c r="O80" s="8"/>
      <c r="P80" s="145"/>
      <c r="Q80" s="145"/>
      <c r="R80" s="145"/>
      <c r="S80" s="459"/>
      <c r="T80" s="459"/>
      <c r="U80" s="25"/>
      <c r="V80" s="143"/>
      <c r="W80" s="143"/>
      <c r="X80" s="134"/>
      <c r="Z80" s="123"/>
      <c r="AA80" s="265"/>
      <c r="AB80" s="136"/>
      <c r="AC80" s="152"/>
      <c r="AD80" s="136"/>
      <c r="AE80" s="143"/>
      <c r="AF80" s="267"/>
      <c r="AG80" s="186"/>
      <c r="AH80" s="241"/>
      <c r="AI80" s="140"/>
      <c r="AJ80" s="266"/>
      <c r="AK80" s="125"/>
      <c r="AL80" s="458"/>
      <c r="AM80" s="145"/>
      <c r="AN80" s="213"/>
      <c r="AO80" s="150"/>
      <c r="AP80" s="151"/>
    </row>
    <row r="81" spans="1:42" ht="15.75">
      <c r="A81" s="160"/>
      <c r="B81" s="163"/>
      <c r="C81" s="33"/>
      <c r="D81" s="208"/>
      <c r="E81" s="143"/>
      <c r="F81" s="143"/>
      <c r="G81" s="144"/>
      <c r="H81" s="145"/>
      <c r="I81" s="145"/>
      <c r="J81" s="145"/>
      <c r="K81" s="145"/>
      <c r="L81" s="134"/>
      <c r="M81" s="145"/>
      <c r="N81" s="145"/>
      <c r="O81" s="8"/>
      <c r="P81" s="145"/>
      <c r="Q81" s="145"/>
      <c r="R81" s="145"/>
      <c r="S81" s="459"/>
      <c r="T81" s="477"/>
      <c r="U81" s="477"/>
      <c r="V81" s="143"/>
      <c r="W81" s="143"/>
      <c r="X81" s="134"/>
      <c r="Z81" s="146"/>
      <c r="AA81" s="265"/>
      <c r="AB81" s="136"/>
      <c r="AC81" s="152"/>
      <c r="AD81" s="136"/>
      <c r="AE81" s="143"/>
      <c r="AF81" s="267"/>
      <c r="AG81" s="186"/>
      <c r="AH81" s="241"/>
      <c r="AI81" s="140"/>
      <c r="AJ81" s="266"/>
      <c r="AK81" s="125"/>
      <c r="AL81" s="458"/>
      <c r="AM81" s="145"/>
      <c r="AN81" s="213"/>
      <c r="AO81" s="150"/>
      <c r="AP81" s="151"/>
    </row>
    <row r="82" spans="1:42" ht="15.75">
      <c r="A82" s="160"/>
      <c r="B82" s="163"/>
      <c r="C82" s="33"/>
      <c r="D82" s="208"/>
      <c r="E82" s="143"/>
      <c r="F82" s="143"/>
      <c r="G82" s="144"/>
      <c r="H82" s="145"/>
      <c r="I82" s="145"/>
      <c r="J82" s="145"/>
      <c r="K82" s="145"/>
      <c r="L82" s="134"/>
      <c r="M82" s="145"/>
      <c r="N82" s="145"/>
      <c r="O82" s="8"/>
      <c r="P82" s="145"/>
      <c r="Q82" s="145"/>
      <c r="R82" s="145"/>
      <c r="S82" s="459"/>
      <c r="T82" s="459"/>
      <c r="U82" s="459"/>
      <c r="V82" s="143"/>
      <c r="W82" s="143"/>
      <c r="X82" s="134"/>
      <c r="Z82" s="146"/>
      <c r="AA82" s="265"/>
      <c r="AB82" s="136"/>
      <c r="AC82" s="152"/>
      <c r="AD82" s="136"/>
      <c r="AE82" s="143"/>
      <c r="AF82" s="267"/>
      <c r="AG82" s="186"/>
      <c r="AH82" s="241"/>
      <c r="AI82" s="140"/>
      <c r="AJ82" s="266"/>
      <c r="AK82" s="125"/>
      <c r="AL82" s="458"/>
      <c r="AM82" s="145"/>
      <c r="AN82" s="213"/>
      <c r="AO82" s="150"/>
      <c r="AP82" s="151"/>
    </row>
    <row r="83" spans="1:42" ht="15.75">
      <c r="A83" s="160"/>
      <c r="B83" s="163"/>
      <c r="C83" s="33"/>
      <c r="D83" s="208"/>
      <c r="E83" s="143"/>
      <c r="F83" s="143"/>
      <c r="G83" s="198"/>
      <c r="H83" s="145"/>
      <c r="I83" s="145"/>
      <c r="J83" s="145"/>
      <c r="K83" s="145"/>
      <c r="L83" s="134"/>
      <c r="M83" s="145"/>
      <c r="N83" s="145"/>
      <c r="O83" s="8"/>
      <c r="P83" s="145"/>
      <c r="Q83" s="145"/>
      <c r="R83" s="145"/>
      <c r="S83" s="459"/>
      <c r="T83" s="459"/>
      <c r="U83" s="459"/>
      <c r="V83" s="143"/>
      <c r="W83" s="143"/>
      <c r="X83" s="134"/>
      <c r="Z83" s="123"/>
      <c r="AA83" s="265"/>
      <c r="AB83" s="136"/>
      <c r="AC83" s="152"/>
      <c r="AD83" s="136"/>
      <c r="AE83" s="143"/>
      <c r="AF83" s="267"/>
      <c r="AG83" s="186"/>
      <c r="AH83" s="241"/>
      <c r="AI83" s="140"/>
      <c r="AJ83" s="266"/>
      <c r="AK83" s="125"/>
      <c r="AL83" s="458"/>
      <c r="AM83" s="145"/>
      <c r="AN83" s="213"/>
      <c r="AO83" s="150"/>
      <c r="AP83" s="151"/>
    </row>
    <row r="84" spans="1:42" ht="15.75">
      <c r="A84" s="160"/>
      <c r="B84" s="163"/>
      <c r="C84" s="145"/>
      <c r="D84" s="143"/>
      <c r="E84" s="143"/>
      <c r="F84" s="143"/>
      <c r="G84" s="144"/>
      <c r="H84" s="145"/>
      <c r="I84" s="145"/>
      <c r="J84" s="145"/>
      <c r="K84" s="145"/>
      <c r="L84" s="134"/>
      <c r="M84" s="145"/>
      <c r="N84" s="145"/>
      <c r="O84" s="8"/>
      <c r="P84" s="145"/>
      <c r="Q84" s="145"/>
      <c r="R84" s="145"/>
      <c r="S84" s="459"/>
      <c r="T84" s="459"/>
      <c r="U84" s="459"/>
      <c r="V84" s="143"/>
      <c r="W84" s="143"/>
      <c r="X84" s="134"/>
      <c r="Z84" s="123"/>
      <c r="AA84" s="265"/>
      <c r="AB84" s="136"/>
      <c r="AC84" s="152"/>
      <c r="AD84" s="136"/>
      <c r="AE84" s="143"/>
      <c r="AF84" s="267"/>
      <c r="AG84" s="186"/>
      <c r="AH84" s="241"/>
      <c r="AI84" s="140"/>
      <c r="AJ84" s="266"/>
      <c r="AK84" s="125"/>
      <c r="AL84" s="458"/>
      <c r="AM84" s="145"/>
      <c r="AN84" s="213"/>
      <c r="AO84" s="150"/>
      <c r="AP84" s="151"/>
    </row>
    <row r="85" spans="1:42" ht="15.75">
      <c r="A85" s="160"/>
      <c r="B85" s="163"/>
      <c r="C85" s="163"/>
      <c r="D85" s="213"/>
      <c r="E85" s="130"/>
      <c r="F85" s="143"/>
      <c r="G85" s="144"/>
      <c r="H85" s="145"/>
      <c r="I85" s="145"/>
      <c r="J85" s="145"/>
      <c r="K85" s="145"/>
      <c r="L85" s="145"/>
      <c r="M85" s="145"/>
      <c r="N85" s="145"/>
      <c r="O85" s="8"/>
      <c r="P85" s="145"/>
      <c r="Q85" s="145"/>
      <c r="R85" s="145"/>
      <c r="S85" s="459"/>
      <c r="T85" s="459"/>
      <c r="U85" s="459"/>
      <c r="V85" s="143"/>
      <c r="W85" s="143"/>
      <c r="X85" s="134"/>
      <c r="Z85" s="123"/>
      <c r="AA85" s="265"/>
      <c r="AB85" s="136"/>
      <c r="AC85" s="152"/>
      <c r="AD85" s="136"/>
      <c r="AE85" s="143"/>
      <c r="AF85" s="267"/>
      <c r="AG85" s="186"/>
      <c r="AH85" s="241"/>
      <c r="AI85" s="140"/>
      <c r="AJ85" s="266"/>
      <c r="AK85" s="125"/>
      <c r="AL85" s="213"/>
      <c r="AM85" s="145"/>
      <c r="AN85" s="213"/>
      <c r="AO85" s="150"/>
      <c r="AP85" s="151"/>
    </row>
    <row r="86" spans="1:42" ht="15.75">
      <c r="A86" s="160"/>
      <c r="B86" s="163"/>
      <c r="C86" s="145"/>
      <c r="D86" s="143"/>
      <c r="E86" s="143"/>
      <c r="F86" s="143"/>
      <c r="G86" s="144"/>
      <c r="H86" s="145"/>
      <c r="I86" s="145"/>
      <c r="J86" s="145"/>
      <c r="K86" s="145"/>
      <c r="L86" s="145"/>
      <c r="M86" s="145"/>
      <c r="N86" s="145"/>
      <c r="O86" s="8"/>
      <c r="P86" s="145"/>
      <c r="Q86" s="145"/>
      <c r="R86" s="145"/>
      <c r="S86" s="459"/>
      <c r="T86" s="459"/>
      <c r="U86" s="459"/>
      <c r="V86" s="143"/>
      <c r="W86" s="143"/>
      <c r="X86" s="134"/>
      <c r="Z86" s="146"/>
      <c r="AA86" s="265"/>
      <c r="AB86" s="136"/>
      <c r="AC86" s="152"/>
      <c r="AD86" s="136"/>
      <c r="AE86" s="143"/>
      <c r="AF86" s="267"/>
      <c r="AG86" s="186"/>
      <c r="AH86" s="241"/>
      <c r="AI86" s="140"/>
      <c r="AJ86" s="266"/>
      <c r="AK86" s="125"/>
      <c r="AL86" s="213"/>
      <c r="AM86" s="145"/>
      <c r="AN86" s="213"/>
      <c r="AO86" s="150"/>
      <c r="AP86" s="151"/>
    </row>
    <row r="87" spans="1:42" ht="15.75">
      <c r="A87" s="160"/>
      <c r="B87" s="163"/>
      <c r="C87" s="145"/>
      <c r="D87" s="143"/>
      <c r="E87" s="143"/>
      <c r="F87" s="143"/>
      <c r="G87" s="144"/>
      <c r="H87" s="145"/>
      <c r="I87" s="145"/>
      <c r="J87" s="145"/>
      <c r="K87" s="145"/>
      <c r="L87" s="145"/>
      <c r="M87" s="145"/>
      <c r="N87" s="145"/>
      <c r="O87" s="8"/>
      <c r="P87" s="145"/>
      <c r="Q87" s="145"/>
      <c r="R87" s="145"/>
      <c r="S87" s="145"/>
      <c r="T87" s="145"/>
      <c r="U87" s="145"/>
      <c r="V87" s="143"/>
      <c r="W87" s="143"/>
      <c r="X87" s="134"/>
      <c r="Z87" s="146"/>
      <c r="AA87" s="265"/>
      <c r="AB87" s="136"/>
      <c r="AC87" s="152"/>
      <c r="AD87" s="136"/>
      <c r="AE87" s="143"/>
      <c r="AF87" s="267"/>
      <c r="AG87" s="186"/>
      <c r="AH87" s="241"/>
      <c r="AI87" s="140"/>
      <c r="AJ87" s="266"/>
      <c r="AK87" s="125"/>
      <c r="AL87" s="213"/>
      <c r="AM87" s="145"/>
      <c r="AN87" s="213"/>
      <c r="AO87" s="150"/>
      <c r="AP87" s="151"/>
    </row>
    <row r="88" spans="1:42" ht="15.75">
      <c r="A88" s="160"/>
      <c r="B88" s="163"/>
      <c r="C88" s="145"/>
      <c r="D88" s="143"/>
      <c r="E88" s="143"/>
      <c r="F88" s="143"/>
      <c r="G88" s="144"/>
      <c r="H88" s="145"/>
      <c r="I88" s="145"/>
      <c r="J88" s="145"/>
      <c r="K88" s="145"/>
      <c r="L88" s="145"/>
      <c r="M88" s="145"/>
      <c r="N88" s="145"/>
      <c r="O88" s="8"/>
      <c r="P88" s="145"/>
      <c r="Q88" s="145"/>
      <c r="R88" s="145"/>
      <c r="S88" s="459"/>
      <c r="T88" s="459"/>
      <c r="U88" s="145"/>
      <c r="V88" s="143"/>
      <c r="W88" s="143"/>
      <c r="X88" s="134"/>
      <c r="Z88" s="146"/>
      <c r="AA88" s="265"/>
      <c r="AB88" s="136"/>
      <c r="AC88" s="152"/>
      <c r="AD88" s="136"/>
      <c r="AE88" s="143"/>
      <c r="AF88" s="267"/>
      <c r="AG88" s="186"/>
      <c r="AH88" s="241"/>
      <c r="AI88" s="140"/>
      <c r="AJ88" s="266"/>
      <c r="AK88" s="125"/>
      <c r="AL88" s="213"/>
      <c r="AM88" s="145"/>
      <c r="AN88" s="213"/>
      <c r="AO88" s="150"/>
      <c r="AP88" s="151"/>
    </row>
    <row r="89" spans="1:42" ht="15.75">
      <c r="A89" s="160"/>
      <c r="B89" s="163"/>
      <c r="C89" s="145"/>
      <c r="D89" s="143"/>
      <c r="E89" s="143"/>
      <c r="F89" s="143"/>
      <c r="G89" s="144"/>
      <c r="H89" s="145"/>
      <c r="I89" s="145"/>
      <c r="J89" s="145"/>
      <c r="K89" s="145"/>
      <c r="L89" s="145"/>
      <c r="M89" s="145"/>
      <c r="N89" s="145"/>
      <c r="O89" s="8"/>
      <c r="P89" s="145"/>
      <c r="Q89" s="145"/>
      <c r="R89" s="145"/>
      <c r="S89" s="459"/>
      <c r="T89" s="459"/>
      <c r="U89" s="459"/>
      <c r="V89" s="143"/>
      <c r="W89" s="143"/>
      <c r="X89" s="134"/>
      <c r="Z89" s="146"/>
      <c r="AA89" s="265"/>
      <c r="AB89" s="136"/>
      <c r="AC89" s="152"/>
      <c r="AD89" s="136"/>
      <c r="AE89" s="143"/>
      <c r="AF89" s="267"/>
      <c r="AG89" s="186"/>
      <c r="AH89" s="241"/>
      <c r="AI89" s="140"/>
      <c r="AJ89" s="266"/>
      <c r="AK89" s="125"/>
      <c r="AL89" s="213"/>
      <c r="AM89" s="145"/>
      <c r="AN89" s="213"/>
      <c r="AO89" s="150"/>
      <c r="AP89" s="151"/>
    </row>
    <row r="90" spans="1:42" ht="16.5">
      <c r="A90" s="160"/>
      <c r="B90" s="200" t="s">
        <v>928</v>
      </c>
      <c r="C90" s="145" t="s">
        <v>392</v>
      </c>
      <c r="D90" s="143"/>
      <c r="E90" s="143" t="s">
        <v>52</v>
      </c>
      <c r="F90" s="143"/>
      <c r="G90" s="144"/>
      <c r="H90" s="145"/>
      <c r="I90" s="145"/>
      <c r="J90" s="145"/>
      <c r="K90" s="145"/>
      <c r="L90" s="145"/>
      <c r="M90" s="201"/>
      <c r="N90" s="145" t="s">
        <v>41</v>
      </c>
      <c r="O90" s="8" t="s">
        <v>889</v>
      </c>
      <c r="P90" s="145" t="s">
        <v>890</v>
      </c>
      <c r="Q90" s="145" t="s">
        <v>885</v>
      </c>
      <c r="R90" s="145"/>
      <c r="S90" s="478">
        <v>721293763</v>
      </c>
      <c r="T90" s="478"/>
      <c r="U90" s="459"/>
      <c r="V90" s="202"/>
      <c r="W90" s="202"/>
      <c r="X90" s="134"/>
      <c r="Z90" s="146"/>
      <c r="AA90" s="265"/>
      <c r="AB90" s="136"/>
      <c r="AC90" s="152"/>
      <c r="AD90" s="136"/>
      <c r="AE90" s="143"/>
      <c r="AF90" s="267"/>
      <c r="AG90" s="186"/>
      <c r="AH90" s="241"/>
      <c r="AI90" s="140"/>
      <c r="AJ90" s="266"/>
      <c r="AK90" s="125"/>
      <c r="AL90" s="213"/>
      <c r="AM90" s="145"/>
      <c r="AN90" s="458"/>
      <c r="AO90" s="150"/>
      <c r="AP90" s="151"/>
    </row>
    <row r="91" spans="1:42" ht="16.5">
      <c r="A91" s="160"/>
      <c r="B91" s="203" t="s">
        <v>929</v>
      </c>
      <c r="C91" s="145" t="s">
        <v>385</v>
      </c>
      <c r="D91" s="143"/>
      <c r="E91" s="143" t="s">
        <v>52</v>
      </c>
      <c r="F91" s="143"/>
      <c r="G91" s="144"/>
      <c r="H91" s="145"/>
      <c r="I91" s="145"/>
      <c r="J91" s="145"/>
      <c r="K91" s="145"/>
      <c r="L91" s="145"/>
      <c r="M91" s="201"/>
      <c r="N91" s="145" t="s">
        <v>901</v>
      </c>
      <c r="O91" s="8" t="s">
        <v>889</v>
      </c>
      <c r="P91" s="145" t="s">
        <v>890</v>
      </c>
      <c r="Q91" s="145" t="s">
        <v>903</v>
      </c>
      <c r="R91" s="145"/>
      <c r="S91" s="478" t="s">
        <v>905</v>
      </c>
      <c r="T91" s="478"/>
      <c r="U91" s="459"/>
      <c r="V91" s="202"/>
      <c r="W91" s="202"/>
      <c r="X91" s="134"/>
      <c r="Z91" s="146"/>
      <c r="AA91" s="265"/>
      <c r="AB91" s="136"/>
      <c r="AC91" s="152"/>
      <c r="AD91" s="136"/>
      <c r="AE91" s="143"/>
      <c r="AF91" s="267"/>
      <c r="AG91" s="186"/>
      <c r="AH91" s="241"/>
      <c r="AI91" s="140"/>
      <c r="AJ91" s="266"/>
      <c r="AK91" s="125"/>
      <c r="AL91" s="213"/>
      <c r="AM91" s="145"/>
      <c r="AN91" s="458"/>
      <c r="AO91" s="150"/>
      <c r="AP91" s="151"/>
    </row>
    <row r="92" spans="1:42" ht="16.5">
      <c r="A92" s="160"/>
      <c r="B92" s="203" t="s">
        <v>930</v>
      </c>
      <c r="C92" s="145" t="s">
        <v>392</v>
      </c>
      <c r="D92" s="143"/>
      <c r="E92" s="143" t="s">
        <v>52</v>
      </c>
      <c r="F92" s="143"/>
      <c r="G92" s="144"/>
      <c r="H92" s="145"/>
      <c r="I92" s="145"/>
      <c r="J92" s="145"/>
      <c r="K92" s="145"/>
      <c r="L92" s="145"/>
      <c r="M92" s="201"/>
      <c r="N92" s="145" t="s">
        <v>41</v>
      </c>
      <c r="O92" s="8" t="s">
        <v>889</v>
      </c>
      <c r="P92" s="145" t="s">
        <v>890</v>
      </c>
      <c r="Q92" s="145" t="s">
        <v>912</v>
      </c>
      <c r="R92" s="145"/>
      <c r="S92" s="478">
        <v>721315569</v>
      </c>
      <c r="T92" s="478"/>
      <c r="U92" s="459"/>
      <c r="V92" s="202"/>
      <c r="W92" s="202"/>
      <c r="X92" s="134"/>
      <c r="Z92" s="146"/>
      <c r="AA92" s="265"/>
      <c r="AB92" s="136"/>
      <c r="AC92" s="152"/>
      <c r="AD92" s="136"/>
      <c r="AE92" s="143"/>
      <c r="AF92" s="267"/>
      <c r="AG92" s="186"/>
      <c r="AH92" s="241"/>
      <c r="AI92" s="140"/>
      <c r="AJ92" s="266"/>
      <c r="AK92" s="125"/>
      <c r="AL92" s="213"/>
      <c r="AM92" s="145"/>
      <c r="AN92" s="458"/>
      <c r="AO92" s="150"/>
      <c r="AP92" s="151"/>
    </row>
    <row r="93" spans="1:42" ht="16.5">
      <c r="A93" s="160"/>
      <c r="B93" s="203" t="s">
        <v>931</v>
      </c>
      <c r="C93" s="145" t="s">
        <v>385</v>
      </c>
      <c r="D93" s="143"/>
      <c r="E93" s="143" t="s">
        <v>52</v>
      </c>
      <c r="F93" s="143"/>
      <c r="G93" s="144"/>
      <c r="H93" s="145"/>
      <c r="I93" s="145"/>
      <c r="J93" s="145"/>
      <c r="K93" s="145"/>
      <c r="L93" s="145"/>
      <c r="M93" s="201"/>
      <c r="N93" s="145" t="s">
        <v>41</v>
      </c>
      <c r="O93" s="8" t="s">
        <v>889</v>
      </c>
      <c r="P93" s="145" t="s">
        <v>890</v>
      </c>
      <c r="Q93" s="145" t="s">
        <v>918</v>
      </c>
      <c r="R93" s="145"/>
      <c r="S93" s="478">
        <v>721336816</v>
      </c>
      <c r="T93" s="478"/>
      <c r="U93" s="459"/>
      <c r="V93" s="202"/>
      <c r="W93" s="202"/>
      <c r="X93" s="134"/>
      <c r="Z93" s="146"/>
      <c r="AA93" s="265"/>
      <c r="AB93" s="136"/>
      <c r="AC93" s="152"/>
      <c r="AD93" s="136"/>
      <c r="AE93" s="143"/>
      <c r="AF93" s="267"/>
      <c r="AG93" s="186"/>
      <c r="AH93" s="241"/>
      <c r="AI93" s="140"/>
      <c r="AJ93" s="266"/>
      <c r="AK93" s="125"/>
      <c r="AL93" s="213"/>
      <c r="AM93" s="145"/>
      <c r="AN93" s="458"/>
      <c r="AO93" s="150"/>
      <c r="AP93" s="151"/>
    </row>
    <row r="94" spans="1:42" ht="15.75">
      <c r="A94" s="160"/>
      <c r="B94" s="163"/>
      <c r="C94" s="145"/>
      <c r="D94" s="143"/>
      <c r="E94" s="143"/>
      <c r="F94" s="143"/>
      <c r="G94" s="144"/>
      <c r="H94" s="145"/>
      <c r="I94" s="145"/>
      <c r="J94" s="145"/>
      <c r="K94" s="145"/>
      <c r="L94" s="145"/>
      <c r="M94" s="145"/>
      <c r="N94" s="145"/>
      <c r="O94" s="145"/>
      <c r="P94" s="145"/>
      <c r="Q94" s="145"/>
      <c r="R94" s="145"/>
      <c r="S94" s="459"/>
      <c r="T94" s="459"/>
      <c r="U94" s="459"/>
      <c r="V94" s="143"/>
      <c r="W94" s="143"/>
      <c r="X94" s="134"/>
      <c r="Z94" s="146"/>
      <c r="AA94" s="265"/>
      <c r="AB94" s="136"/>
      <c r="AC94" s="152"/>
      <c r="AD94" s="136"/>
      <c r="AE94" s="143"/>
      <c r="AF94" s="267"/>
      <c r="AG94" s="186"/>
      <c r="AH94" s="241"/>
      <c r="AI94" s="140"/>
      <c r="AJ94" s="266"/>
      <c r="AK94" s="125"/>
      <c r="AL94" s="213"/>
      <c r="AM94" s="145"/>
      <c r="AN94" s="213"/>
      <c r="AO94" s="150"/>
      <c r="AP94" s="151"/>
    </row>
    <row r="95" spans="1:42" ht="15.75">
      <c r="A95" s="160"/>
      <c r="B95" s="163"/>
      <c r="C95" s="145"/>
      <c r="D95" s="143"/>
      <c r="E95" s="143"/>
      <c r="F95" s="143"/>
      <c r="G95" s="144"/>
      <c r="H95" s="145"/>
      <c r="I95" s="145"/>
      <c r="J95" s="145"/>
      <c r="K95" s="145"/>
      <c r="L95" s="145"/>
      <c r="M95" s="145"/>
      <c r="N95" s="145"/>
      <c r="O95" s="145"/>
      <c r="P95" s="145"/>
      <c r="Q95" s="145"/>
      <c r="R95" s="145"/>
      <c r="S95" s="459"/>
      <c r="T95" s="459"/>
      <c r="U95" s="459"/>
      <c r="V95" s="143"/>
      <c r="W95" s="143"/>
      <c r="X95" s="134"/>
      <c r="Z95" s="146"/>
      <c r="AA95" s="265"/>
      <c r="AB95" s="136"/>
      <c r="AC95" s="152"/>
      <c r="AD95" s="136"/>
      <c r="AE95" s="143"/>
      <c r="AF95" s="267"/>
      <c r="AG95" s="186"/>
      <c r="AH95" s="241"/>
      <c r="AI95" s="140"/>
      <c r="AJ95" s="266"/>
      <c r="AK95" s="125"/>
      <c r="AL95" s="213"/>
      <c r="AM95" s="145"/>
      <c r="AN95" s="213"/>
      <c r="AO95" s="150"/>
      <c r="AP95" s="151"/>
    </row>
    <row r="96" spans="1:42" ht="15.75">
      <c r="A96" s="160"/>
      <c r="B96" s="163"/>
      <c r="C96" s="145"/>
      <c r="D96" s="143"/>
      <c r="E96" s="143"/>
      <c r="F96" s="143"/>
      <c r="G96" s="144"/>
      <c r="H96" s="145"/>
      <c r="I96" s="145"/>
      <c r="J96" s="145"/>
      <c r="K96" s="145"/>
      <c r="L96" s="145"/>
      <c r="M96" s="145"/>
      <c r="N96" s="145"/>
      <c r="O96" s="145"/>
      <c r="P96" s="145"/>
      <c r="Q96" s="145"/>
      <c r="R96" s="145"/>
      <c r="S96" s="459"/>
      <c r="T96" s="459"/>
      <c r="U96" s="459"/>
      <c r="V96" s="143"/>
      <c r="W96" s="143"/>
      <c r="X96" s="134"/>
      <c r="Z96" s="146"/>
      <c r="AA96" s="265"/>
      <c r="AB96" s="136"/>
      <c r="AC96" s="152"/>
      <c r="AD96" s="136"/>
      <c r="AE96" s="143"/>
      <c r="AF96" s="267"/>
      <c r="AG96" s="186"/>
      <c r="AH96" s="241"/>
      <c r="AI96" s="140"/>
      <c r="AJ96" s="266"/>
      <c r="AK96" s="125"/>
      <c r="AL96" s="213"/>
      <c r="AM96" s="145"/>
      <c r="AN96" s="213"/>
      <c r="AO96" s="150"/>
      <c r="AP96" s="151"/>
    </row>
    <row r="97" spans="1:42" ht="15.75">
      <c r="A97" s="160"/>
      <c r="B97" s="163"/>
      <c r="C97" s="145"/>
      <c r="D97" s="143"/>
      <c r="E97" s="143"/>
      <c r="F97" s="143"/>
      <c r="G97" s="144"/>
      <c r="H97" s="145"/>
      <c r="I97" s="145"/>
      <c r="J97" s="145"/>
      <c r="K97" s="145"/>
      <c r="L97" s="145"/>
      <c r="M97" s="145"/>
      <c r="N97" s="145"/>
      <c r="O97" s="145"/>
      <c r="P97" s="145"/>
      <c r="Q97" s="145"/>
      <c r="R97" s="145"/>
      <c r="S97" s="459"/>
      <c r="T97" s="476"/>
      <c r="U97" s="476"/>
      <c r="V97" s="143"/>
      <c r="W97" s="143"/>
      <c r="X97" s="134"/>
      <c r="Z97" s="146"/>
      <c r="AA97" s="265"/>
      <c r="AB97" s="136"/>
      <c r="AC97" s="152"/>
      <c r="AD97" s="136"/>
      <c r="AE97" s="143"/>
      <c r="AF97" s="267"/>
      <c r="AG97" s="186"/>
      <c r="AH97" s="241"/>
      <c r="AI97" s="140"/>
      <c r="AJ97" s="266"/>
      <c r="AK97" s="125"/>
      <c r="AL97" s="213"/>
      <c r="AM97" s="145"/>
      <c r="AN97" s="213"/>
      <c r="AO97" s="150"/>
      <c r="AP97" s="151"/>
    </row>
    <row r="98" spans="1:42" ht="15.75">
      <c r="A98" s="160"/>
      <c r="B98" s="163"/>
      <c r="C98" s="145"/>
      <c r="D98" s="143"/>
      <c r="E98" s="143"/>
      <c r="F98" s="143"/>
      <c r="G98" s="144"/>
      <c r="H98" s="145"/>
      <c r="I98" s="145"/>
      <c r="J98" s="145"/>
      <c r="K98" s="145"/>
      <c r="L98" s="145"/>
      <c r="M98" s="145"/>
      <c r="N98" s="145"/>
      <c r="O98" s="145"/>
      <c r="P98" s="145"/>
      <c r="Q98" s="145"/>
      <c r="R98" s="145"/>
      <c r="S98" s="459"/>
      <c r="T98" s="459"/>
      <c r="U98" s="478"/>
      <c r="V98" s="143"/>
      <c r="W98" s="143"/>
      <c r="X98" s="134"/>
      <c r="Z98" s="146"/>
      <c r="AA98" s="265"/>
      <c r="AB98" s="136"/>
      <c r="AC98" s="152"/>
      <c r="AD98" s="136"/>
      <c r="AE98" s="143"/>
      <c r="AF98" s="267"/>
      <c r="AG98" s="186"/>
      <c r="AH98" s="241"/>
      <c r="AI98" s="140"/>
      <c r="AJ98" s="266"/>
      <c r="AK98" s="125"/>
      <c r="AL98" s="213"/>
      <c r="AM98" s="145"/>
      <c r="AN98" s="458"/>
      <c r="AO98" s="150"/>
      <c r="AP98" s="151"/>
    </row>
    <row r="99" spans="1:42" ht="15.75">
      <c r="A99" s="160"/>
      <c r="B99" s="163"/>
      <c r="C99" s="145"/>
      <c r="D99" s="143"/>
      <c r="E99" s="143"/>
      <c r="F99" s="143"/>
      <c r="G99" s="144"/>
      <c r="H99" s="145"/>
      <c r="I99" s="145"/>
      <c r="J99" s="145"/>
      <c r="K99" s="145"/>
      <c r="L99" s="145"/>
      <c r="M99" s="145"/>
      <c r="N99" s="145"/>
      <c r="O99" s="145"/>
      <c r="P99" s="145"/>
      <c r="Q99" s="145"/>
      <c r="R99" s="145"/>
      <c r="S99" s="459"/>
      <c r="T99" s="477"/>
      <c r="U99" s="477"/>
      <c r="V99" s="143"/>
      <c r="W99" s="143"/>
      <c r="X99" s="134"/>
      <c r="Z99" s="146"/>
      <c r="AA99" s="265"/>
      <c r="AB99" s="136"/>
      <c r="AC99" s="152"/>
      <c r="AD99" s="136"/>
      <c r="AE99" s="143"/>
      <c r="AF99" s="267"/>
      <c r="AG99" s="186"/>
      <c r="AH99" s="241"/>
      <c r="AI99" s="140"/>
      <c r="AJ99" s="266"/>
      <c r="AK99" s="125"/>
      <c r="AL99" s="213"/>
      <c r="AM99" s="145"/>
      <c r="AN99" s="458"/>
      <c r="AO99" s="150"/>
      <c r="AP99" s="151"/>
    </row>
    <row r="100" spans="1:42" ht="15.75">
      <c r="A100" s="197"/>
      <c r="B100" s="163"/>
      <c r="C100" s="145"/>
      <c r="D100" s="143"/>
      <c r="E100" s="143"/>
      <c r="F100" s="143"/>
      <c r="G100" s="144"/>
      <c r="H100" s="145"/>
      <c r="I100" s="145"/>
      <c r="J100" s="145"/>
      <c r="K100" s="145"/>
      <c r="L100" s="145"/>
      <c r="M100" s="145"/>
      <c r="N100" s="145"/>
      <c r="O100" s="145"/>
      <c r="P100" s="145"/>
      <c r="Q100" s="145"/>
      <c r="R100" s="145"/>
      <c r="S100" s="459"/>
      <c r="T100" s="459"/>
      <c r="U100" s="459"/>
      <c r="V100" s="143"/>
      <c r="W100" s="143"/>
      <c r="X100" s="134"/>
      <c r="Z100" s="146"/>
      <c r="AA100" s="265"/>
      <c r="AB100" s="136"/>
      <c r="AC100" s="152"/>
      <c r="AD100" s="136"/>
      <c r="AE100" s="143"/>
      <c r="AF100" s="267"/>
      <c r="AG100" s="186"/>
      <c r="AH100" s="241"/>
      <c r="AI100" s="140"/>
      <c r="AJ100" s="266"/>
      <c r="AK100" s="125"/>
      <c r="AL100" s="213"/>
      <c r="AM100" s="145"/>
      <c r="AN100" s="458"/>
      <c r="AO100" s="150"/>
      <c r="AP100" s="151"/>
    </row>
    <row r="101" spans="1:42" ht="15.75">
      <c r="A101" s="160"/>
      <c r="B101" s="163"/>
      <c r="C101" s="145"/>
      <c r="D101" s="143"/>
      <c r="E101" s="143"/>
      <c r="F101" s="143"/>
      <c r="G101" s="144"/>
      <c r="H101" s="145"/>
      <c r="I101" s="145"/>
      <c r="J101" s="145"/>
      <c r="K101" s="145"/>
      <c r="L101" s="145"/>
      <c r="M101" s="145"/>
      <c r="N101" s="145"/>
      <c r="O101" s="145"/>
      <c r="P101" s="145"/>
      <c r="Q101" s="145"/>
      <c r="R101" s="145"/>
      <c r="S101" s="459"/>
      <c r="T101" s="459"/>
      <c r="U101" s="459"/>
      <c r="V101" s="143"/>
      <c r="W101" s="143"/>
      <c r="X101" s="134"/>
      <c r="Z101" s="123"/>
      <c r="AA101" s="265"/>
      <c r="AB101" s="136"/>
      <c r="AC101" s="152"/>
      <c r="AD101" s="136"/>
      <c r="AE101" s="143"/>
      <c r="AF101" s="267"/>
      <c r="AG101" s="186"/>
      <c r="AH101" s="241"/>
      <c r="AI101" s="140"/>
      <c r="AJ101" s="266"/>
      <c r="AK101" s="125"/>
      <c r="AL101" s="213"/>
      <c r="AM101" s="145"/>
      <c r="AN101" s="458"/>
      <c r="AO101" s="150"/>
      <c r="AP101" s="151"/>
    </row>
    <row r="102" spans="1:42" ht="15.75">
      <c r="A102" s="160"/>
      <c r="B102" s="163"/>
      <c r="C102" s="145"/>
      <c r="D102" s="143"/>
      <c r="E102" s="143"/>
      <c r="F102" s="143"/>
      <c r="G102" s="144"/>
      <c r="H102" s="145"/>
      <c r="I102" s="145"/>
      <c r="J102" s="145"/>
      <c r="K102" s="145"/>
      <c r="L102" s="145"/>
      <c r="M102" s="145"/>
      <c r="N102" s="145"/>
      <c r="O102" s="145"/>
      <c r="P102" s="145"/>
      <c r="Q102" s="145"/>
      <c r="R102" s="145"/>
      <c r="S102" s="459"/>
      <c r="T102" s="459"/>
      <c r="U102" s="459"/>
      <c r="V102" s="143"/>
      <c r="W102" s="143"/>
      <c r="X102" s="134"/>
      <c r="Z102" s="146"/>
      <c r="AA102" s="265"/>
      <c r="AB102" s="136"/>
      <c r="AC102" s="152"/>
      <c r="AD102" s="136"/>
      <c r="AE102" s="143"/>
      <c r="AF102" s="267"/>
      <c r="AG102" s="186"/>
      <c r="AH102" s="241"/>
      <c r="AI102" s="140"/>
      <c r="AJ102" s="266"/>
      <c r="AK102" s="125"/>
      <c r="AL102" s="213"/>
      <c r="AM102" s="145"/>
      <c r="AN102" s="458"/>
      <c r="AO102" s="150"/>
      <c r="AP102" s="151"/>
    </row>
    <row r="103" spans="1:42" ht="15.75">
      <c r="A103" s="160"/>
      <c r="B103" s="163"/>
      <c r="C103" s="145"/>
      <c r="D103" s="143"/>
      <c r="E103" s="143"/>
      <c r="F103" s="143"/>
      <c r="G103" s="144"/>
      <c r="H103" s="145"/>
      <c r="I103" s="145"/>
      <c r="J103" s="145"/>
      <c r="K103" s="145"/>
      <c r="L103" s="145"/>
      <c r="M103" s="145"/>
      <c r="N103" s="145"/>
      <c r="O103" s="145"/>
      <c r="P103" s="145"/>
      <c r="Q103" s="145"/>
      <c r="R103" s="145"/>
      <c r="S103" s="459"/>
      <c r="T103" s="459"/>
      <c r="U103" s="459"/>
      <c r="V103" s="143"/>
      <c r="W103" s="143"/>
      <c r="X103" s="134"/>
      <c r="Z103" s="123"/>
      <c r="AA103" s="265"/>
      <c r="AB103" s="136"/>
      <c r="AC103" s="152"/>
      <c r="AD103" s="136"/>
      <c r="AE103" s="143"/>
      <c r="AF103" s="267"/>
      <c r="AG103" s="186"/>
      <c r="AH103" s="241"/>
      <c r="AI103" s="140"/>
      <c r="AJ103" s="266"/>
      <c r="AK103" s="125"/>
      <c r="AL103" s="213"/>
      <c r="AM103" s="145"/>
      <c r="AN103" s="458"/>
      <c r="AO103" s="150"/>
      <c r="AP103" s="151"/>
    </row>
    <row r="104" spans="1:42" ht="15.75">
      <c r="A104" s="160"/>
      <c r="B104" s="204"/>
      <c r="C104" s="145"/>
      <c r="D104" s="143"/>
      <c r="E104" s="143"/>
      <c r="F104" s="143"/>
      <c r="G104" s="144"/>
      <c r="H104" s="145"/>
      <c r="I104" s="145"/>
      <c r="J104" s="145"/>
      <c r="K104" s="145"/>
      <c r="L104" s="145"/>
      <c r="M104" s="199"/>
      <c r="N104" s="199"/>
      <c r="O104" s="199"/>
      <c r="P104" s="199"/>
      <c r="Q104" s="199"/>
      <c r="R104" s="199"/>
      <c r="S104" s="477"/>
      <c r="T104" s="477"/>
      <c r="U104" s="477"/>
      <c r="V104" s="145"/>
      <c r="W104" s="145"/>
      <c r="X104" s="134"/>
      <c r="Z104" s="146"/>
      <c r="AA104" s="265"/>
      <c r="AB104" s="136"/>
      <c r="AC104" s="152"/>
      <c r="AD104" s="136"/>
      <c r="AE104" s="143"/>
      <c r="AF104" s="267"/>
      <c r="AG104" s="186"/>
      <c r="AH104" s="241"/>
      <c r="AI104" s="140"/>
      <c r="AJ104" s="266"/>
      <c r="AK104" s="125"/>
      <c r="AL104" s="213"/>
      <c r="AM104" s="145"/>
      <c r="AN104" s="458"/>
      <c r="AO104" s="150"/>
      <c r="AP104" s="151"/>
    </row>
    <row r="105" spans="1:42" ht="15.75">
      <c r="A105" s="160"/>
      <c r="B105" s="163"/>
      <c r="C105" s="145"/>
      <c r="D105" s="143"/>
      <c r="E105" s="143"/>
      <c r="F105" s="143"/>
      <c r="G105" s="144"/>
      <c r="H105" s="145"/>
      <c r="I105" s="145"/>
      <c r="J105" s="145"/>
      <c r="K105" s="145"/>
      <c r="L105" s="145"/>
      <c r="M105" s="145"/>
      <c r="N105" s="145"/>
      <c r="O105" s="145"/>
      <c r="P105" s="145"/>
      <c r="Q105" s="145"/>
      <c r="R105" s="145"/>
      <c r="S105" s="459"/>
      <c r="T105" s="459"/>
      <c r="U105" s="459"/>
      <c r="V105" s="145"/>
      <c r="W105" s="145"/>
      <c r="X105" s="134"/>
      <c r="Z105" s="479"/>
      <c r="AA105" s="155"/>
      <c r="AB105" s="163"/>
      <c r="AC105" s="190"/>
      <c r="AD105" s="163"/>
      <c r="AE105" s="143"/>
      <c r="AF105" s="145"/>
      <c r="AG105" s="145"/>
      <c r="AH105" s="134"/>
      <c r="AI105" s="469"/>
      <c r="AJ105" s="458"/>
      <c r="AK105" s="469"/>
      <c r="AL105" s="469"/>
      <c r="AM105" s="145"/>
      <c r="AN105" s="458"/>
      <c r="AO105" s="150"/>
      <c r="AP105" s="151"/>
    </row>
    <row r="106" spans="1:42" ht="15.75">
      <c r="A106" s="160"/>
      <c r="B106" s="163"/>
      <c r="C106" s="145"/>
      <c r="D106" s="143"/>
      <c r="E106" s="143"/>
      <c r="F106" s="143"/>
      <c r="G106" s="144"/>
      <c r="H106" s="145"/>
      <c r="I106" s="145"/>
      <c r="J106" s="145"/>
      <c r="K106" s="145"/>
      <c r="L106" s="145"/>
      <c r="M106" s="145"/>
      <c r="N106" s="145"/>
      <c r="O106" s="145"/>
      <c r="P106" s="145"/>
      <c r="Q106" s="145"/>
      <c r="R106" s="145"/>
      <c r="S106" s="459"/>
      <c r="T106" s="459"/>
      <c r="U106" s="459"/>
      <c r="V106" s="145"/>
      <c r="W106" s="145"/>
      <c r="X106" s="134"/>
      <c r="Z106" s="479"/>
      <c r="AA106" s="194"/>
      <c r="AB106" s="163"/>
      <c r="AC106" s="190"/>
      <c r="AD106" s="163"/>
      <c r="AE106" s="141"/>
      <c r="AF106" s="199"/>
      <c r="AG106" s="199"/>
      <c r="AH106" s="244"/>
      <c r="AI106" s="469"/>
      <c r="AJ106" s="458"/>
      <c r="AK106" s="469"/>
      <c r="AL106" s="469"/>
      <c r="AM106" s="145"/>
      <c r="AN106" s="458"/>
      <c r="AO106" s="150"/>
      <c r="AP106" s="151"/>
    </row>
    <row r="107" spans="1:42" ht="15.75">
      <c r="A107" s="160"/>
      <c r="B107" s="163"/>
      <c r="C107" s="145"/>
      <c r="D107" s="143"/>
      <c r="E107" s="143"/>
      <c r="F107" s="143"/>
      <c r="G107" s="144"/>
      <c r="H107" s="145"/>
      <c r="I107" s="145"/>
      <c r="J107" s="145"/>
      <c r="K107" s="145"/>
      <c r="L107" s="145"/>
      <c r="M107" s="145"/>
      <c r="N107" s="145"/>
      <c r="O107" s="145"/>
      <c r="P107" s="145"/>
      <c r="Q107" s="145"/>
      <c r="R107" s="145"/>
      <c r="S107" s="459"/>
      <c r="T107" s="459"/>
      <c r="U107" s="459"/>
      <c r="V107" s="145"/>
      <c r="W107" s="145"/>
      <c r="X107" s="134"/>
      <c r="Z107" s="123"/>
      <c r="AA107" s="155"/>
      <c r="AB107" s="163"/>
      <c r="AC107" s="190"/>
      <c r="AD107" s="163"/>
      <c r="AE107" s="143"/>
      <c r="AF107" s="145"/>
      <c r="AG107" s="145"/>
      <c r="AH107" s="134"/>
      <c r="AI107" s="469"/>
      <c r="AJ107" s="458"/>
      <c r="AK107" s="469"/>
      <c r="AL107" s="469"/>
      <c r="AM107" s="145"/>
      <c r="AN107" s="458"/>
      <c r="AO107" s="150"/>
      <c r="AP107" s="151"/>
    </row>
    <row r="108" spans="1:42" ht="15.75">
      <c r="A108" s="160"/>
      <c r="B108" s="163"/>
      <c r="C108" s="145"/>
      <c r="D108" s="143"/>
      <c r="E108" s="143"/>
      <c r="F108" s="143"/>
      <c r="G108" s="144"/>
      <c r="H108" s="145"/>
      <c r="I108" s="145"/>
      <c r="J108" s="145"/>
      <c r="K108" s="145"/>
      <c r="L108" s="145"/>
      <c r="M108" s="145"/>
      <c r="N108" s="145"/>
      <c r="O108" s="145"/>
      <c r="P108" s="145"/>
      <c r="Q108" s="145"/>
      <c r="R108" s="145"/>
      <c r="S108" s="459"/>
      <c r="T108" s="459"/>
      <c r="U108" s="459"/>
      <c r="V108" s="145"/>
      <c r="W108" s="145"/>
      <c r="X108" s="134"/>
      <c r="Z108" s="123"/>
      <c r="AA108" s="155"/>
      <c r="AB108" s="163"/>
      <c r="AC108" s="190"/>
      <c r="AD108" s="163"/>
      <c r="AE108" s="143"/>
      <c r="AF108" s="145"/>
      <c r="AG108" s="145"/>
      <c r="AH108" s="134"/>
      <c r="AI108" s="469"/>
      <c r="AJ108" s="458"/>
      <c r="AK108" s="469"/>
      <c r="AL108" s="469"/>
      <c r="AM108" s="145"/>
      <c r="AN108" s="458"/>
      <c r="AO108" s="150"/>
      <c r="AP108" s="151"/>
    </row>
    <row r="109" spans="1:42" ht="15.75">
      <c r="A109" s="160"/>
      <c r="B109" s="163"/>
      <c r="C109" s="145"/>
      <c r="D109" s="143"/>
      <c r="E109" s="143"/>
      <c r="F109" s="143"/>
      <c r="G109" s="144"/>
      <c r="H109" s="145"/>
      <c r="I109" s="145"/>
      <c r="J109" s="145"/>
      <c r="K109" s="145"/>
      <c r="L109" s="145"/>
      <c r="M109" s="145"/>
      <c r="N109" s="145"/>
      <c r="O109" s="145"/>
      <c r="P109" s="145"/>
      <c r="Q109" s="145"/>
      <c r="R109" s="145"/>
      <c r="S109" s="459"/>
      <c r="T109" s="459"/>
      <c r="U109" s="459"/>
      <c r="V109" s="145"/>
      <c r="W109" s="145"/>
      <c r="X109" s="134"/>
      <c r="Z109" s="123"/>
      <c r="AA109" s="155"/>
      <c r="AB109" s="163"/>
      <c r="AC109" s="190"/>
      <c r="AD109" s="163"/>
      <c r="AE109" s="143"/>
      <c r="AF109" s="145"/>
      <c r="AG109" s="145"/>
      <c r="AH109" s="134"/>
      <c r="AI109" s="469"/>
      <c r="AJ109" s="458"/>
      <c r="AK109" s="469"/>
      <c r="AL109" s="469"/>
      <c r="AM109" s="145"/>
      <c r="AN109" s="458"/>
      <c r="AO109" s="150"/>
      <c r="AP109" s="151"/>
    </row>
    <row r="110" spans="1:42" ht="15.75">
      <c r="A110" s="160"/>
      <c r="B110" s="163"/>
      <c r="C110" s="145"/>
      <c r="D110" s="143"/>
      <c r="E110" s="143"/>
      <c r="F110" s="143"/>
      <c r="G110" s="144"/>
      <c r="H110" s="145"/>
      <c r="I110" s="145"/>
      <c r="J110" s="145"/>
      <c r="K110" s="145"/>
      <c r="L110" s="145"/>
      <c r="M110" s="145"/>
      <c r="N110" s="145"/>
      <c r="O110" s="145"/>
      <c r="P110" s="145"/>
      <c r="Q110" s="145"/>
      <c r="R110" s="145"/>
      <c r="S110" s="459"/>
      <c r="T110" s="459"/>
      <c r="U110" s="459"/>
      <c r="V110" s="145"/>
      <c r="W110" s="145"/>
      <c r="X110" s="134"/>
      <c r="Z110" s="123"/>
      <c r="AA110" s="155"/>
      <c r="AB110" s="163"/>
      <c r="AC110" s="190"/>
      <c r="AD110" s="163"/>
      <c r="AE110" s="143"/>
      <c r="AF110" s="145"/>
      <c r="AG110" s="145"/>
      <c r="AH110" s="134"/>
      <c r="AI110" s="469"/>
      <c r="AJ110" s="213"/>
      <c r="AK110" s="163"/>
      <c r="AL110" s="469"/>
      <c r="AM110" s="145"/>
      <c r="AN110" s="458"/>
      <c r="AO110" s="150"/>
      <c r="AP110" s="151"/>
    </row>
    <row r="111" spans="1:42" ht="15.75">
      <c r="A111" s="160"/>
      <c r="B111" s="163"/>
      <c r="C111" s="145"/>
      <c r="D111" s="143"/>
      <c r="E111" s="143"/>
      <c r="F111" s="143"/>
      <c r="G111" s="144"/>
      <c r="H111" s="145"/>
      <c r="I111" s="145"/>
      <c r="J111" s="145"/>
      <c r="K111" s="145"/>
      <c r="L111" s="145"/>
      <c r="M111" s="145"/>
      <c r="N111" s="145"/>
      <c r="O111" s="145"/>
      <c r="P111" s="145"/>
      <c r="Q111" s="145"/>
      <c r="R111" s="145"/>
      <c r="S111" s="459"/>
      <c r="T111" s="459"/>
      <c r="U111" s="459"/>
      <c r="V111" s="145"/>
      <c r="W111" s="145"/>
      <c r="X111" s="134"/>
      <c r="Z111" s="123"/>
      <c r="AA111" s="155"/>
      <c r="AB111" s="163"/>
      <c r="AC111" s="190"/>
      <c r="AD111" s="163"/>
      <c r="AE111" s="143"/>
      <c r="AF111" s="145"/>
      <c r="AG111" s="145"/>
      <c r="AH111" s="134"/>
      <c r="AI111" s="469"/>
      <c r="AJ111" s="213"/>
      <c r="AK111" s="163"/>
      <c r="AL111" s="469"/>
      <c r="AM111" s="145"/>
      <c r="AN111" s="458"/>
      <c r="AO111" s="150"/>
      <c r="AP111" s="151"/>
    </row>
    <row r="112" spans="1:42" ht="15.75">
      <c r="A112" s="160"/>
      <c r="B112" s="163"/>
      <c r="C112" s="145"/>
      <c r="D112" s="143"/>
      <c r="E112" s="143"/>
      <c r="F112" s="143"/>
      <c r="G112" s="144"/>
      <c r="H112" s="145"/>
      <c r="I112" s="145"/>
      <c r="J112" s="145"/>
      <c r="K112" s="145"/>
      <c r="L112" s="145"/>
      <c r="M112" s="145"/>
      <c r="N112" s="145"/>
      <c r="O112" s="145"/>
      <c r="P112" s="145"/>
      <c r="Q112" s="145"/>
      <c r="R112" s="145"/>
      <c r="S112" s="459"/>
      <c r="T112" s="459"/>
      <c r="U112" s="459"/>
      <c r="V112" s="145"/>
      <c r="W112" s="145"/>
      <c r="X112" s="134"/>
      <c r="Z112" s="123"/>
      <c r="AA112" s="155"/>
      <c r="AB112" s="163"/>
      <c r="AC112" s="190"/>
      <c r="AD112" s="163"/>
      <c r="AE112" s="143"/>
      <c r="AF112" s="145"/>
      <c r="AG112" s="145"/>
      <c r="AH112" s="134"/>
      <c r="AI112" s="469"/>
      <c r="AJ112" s="213"/>
      <c r="AK112" s="163"/>
      <c r="AL112" s="469"/>
      <c r="AM112" s="145"/>
      <c r="AN112" s="458"/>
      <c r="AO112" s="150"/>
      <c r="AP112" s="151"/>
    </row>
    <row r="113" spans="1:42" ht="15.75">
      <c r="A113" s="160"/>
      <c r="B113" s="163"/>
      <c r="C113" s="145"/>
      <c r="D113" s="143"/>
      <c r="E113" s="143"/>
      <c r="F113" s="143"/>
      <c r="G113" s="144"/>
      <c r="H113" s="145"/>
      <c r="I113" s="145"/>
      <c r="J113" s="145"/>
      <c r="K113" s="145"/>
      <c r="L113" s="145"/>
      <c r="M113" s="145"/>
      <c r="N113" s="145"/>
      <c r="O113" s="145"/>
      <c r="P113" s="145"/>
      <c r="Q113" s="145"/>
      <c r="R113" s="145"/>
      <c r="S113" s="459"/>
      <c r="T113" s="459"/>
      <c r="U113" s="459"/>
      <c r="V113" s="145"/>
      <c r="W113" s="145"/>
      <c r="X113" s="134"/>
      <c r="Z113" s="123"/>
      <c r="AA113" s="155"/>
      <c r="AB113" s="163"/>
      <c r="AC113" s="190"/>
      <c r="AD113" s="163"/>
      <c r="AE113" s="143"/>
      <c r="AF113" s="145"/>
      <c r="AG113" s="145"/>
      <c r="AH113" s="134"/>
      <c r="AI113" s="469"/>
      <c r="AJ113" s="213"/>
      <c r="AK113" s="163"/>
      <c r="AL113" s="469"/>
      <c r="AM113" s="145"/>
      <c r="AN113" s="458"/>
      <c r="AO113" s="150"/>
      <c r="AP113" s="151"/>
    </row>
    <row r="114" spans="1:42" ht="15.75">
      <c r="A114" s="160"/>
      <c r="B114" s="163"/>
      <c r="C114" s="145"/>
      <c r="D114" s="143"/>
      <c r="E114" s="143"/>
      <c r="F114" s="143"/>
      <c r="G114" s="144"/>
      <c r="H114" s="145"/>
      <c r="I114" s="145"/>
      <c r="J114" s="145"/>
      <c r="K114" s="145"/>
      <c r="L114" s="145"/>
      <c r="M114" s="145"/>
      <c r="N114" s="145"/>
      <c r="O114" s="145"/>
      <c r="P114" s="145"/>
      <c r="Q114" s="145"/>
      <c r="R114" s="145"/>
      <c r="S114" s="459"/>
      <c r="T114" s="459"/>
      <c r="U114" s="459"/>
      <c r="V114" s="145"/>
      <c r="W114" s="145"/>
      <c r="X114" s="134"/>
      <c r="Z114" s="123"/>
      <c r="AA114" s="155"/>
      <c r="AB114" s="163"/>
      <c r="AC114" s="190"/>
      <c r="AD114" s="163"/>
      <c r="AE114" s="143"/>
      <c r="AF114" s="145"/>
      <c r="AG114" s="145"/>
      <c r="AH114" s="134"/>
      <c r="AI114" s="469"/>
      <c r="AJ114" s="213"/>
      <c r="AK114" s="163"/>
      <c r="AL114" s="469"/>
      <c r="AM114" s="145"/>
      <c r="AN114" s="458"/>
      <c r="AO114" s="150"/>
      <c r="AP114" s="151"/>
    </row>
    <row r="115" spans="1:42" ht="15.75">
      <c r="A115" s="160"/>
      <c r="B115" s="163"/>
      <c r="C115" s="145"/>
      <c r="D115" s="143"/>
      <c r="E115" s="143"/>
      <c r="F115" s="143"/>
      <c r="G115" s="144"/>
      <c r="H115" s="145"/>
      <c r="I115" s="145"/>
      <c r="J115" s="145"/>
      <c r="K115" s="145"/>
      <c r="L115" s="145"/>
      <c r="M115" s="145"/>
      <c r="N115" s="145"/>
      <c r="O115" s="145"/>
      <c r="P115" s="145"/>
      <c r="Q115" s="145"/>
      <c r="R115" s="145"/>
      <c r="S115" s="145"/>
      <c r="T115" s="145"/>
      <c r="U115" s="459"/>
      <c r="V115" s="145"/>
      <c r="W115" s="145"/>
      <c r="X115" s="134"/>
      <c r="Z115" s="123"/>
      <c r="AA115" s="155"/>
      <c r="AB115" s="163"/>
      <c r="AC115" s="190"/>
      <c r="AD115" s="163"/>
      <c r="AE115" s="143"/>
      <c r="AF115" s="145"/>
      <c r="AG115" s="145"/>
      <c r="AH115" s="134"/>
      <c r="AI115" s="469"/>
      <c r="AJ115" s="213"/>
      <c r="AK115" s="163"/>
      <c r="AL115" s="469"/>
      <c r="AM115" s="145"/>
      <c r="AN115" s="458"/>
      <c r="AO115" s="150"/>
      <c r="AP115" s="151"/>
    </row>
    <row r="116" spans="1:42" ht="15.75">
      <c r="A116" s="160"/>
      <c r="B116" s="163"/>
      <c r="C116" s="145"/>
      <c r="D116" s="143"/>
      <c r="E116" s="143"/>
      <c r="F116" s="143"/>
      <c r="G116" s="144"/>
      <c r="H116" s="145"/>
      <c r="I116" s="145"/>
      <c r="J116" s="145"/>
      <c r="K116" s="145"/>
      <c r="L116" s="145"/>
      <c r="M116" s="145"/>
      <c r="N116" s="145"/>
      <c r="O116" s="145"/>
      <c r="P116" s="145"/>
      <c r="Q116" s="145"/>
      <c r="R116" s="145"/>
      <c r="S116" s="145"/>
      <c r="T116" s="145"/>
      <c r="U116" s="459"/>
      <c r="V116" s="145"/>
      <c r="W116" s="145"/>
      <c r="X116" s="134"/>
      <c r="Z116" s="123"/>
      <c r="AA116" s="155"/>
      <c r="AB116" s="163"/>
      <c r="AC116" s="190"/>
      <c r="AD116" s="163"/>
      <c r="AE116" s="143"/>
      <c r="AF116" s="145"/>
      <c r="AG116" s="145"/>
      <c r="AH116" s="134"/>
      <c r="AI116" s="469"/>
      <c r="AJ116" s="213"/>
      <c r="AK116" s="163"/>
      <c r="AL116" s="469"/>
      <c r="AM116" s="145"/>
      <c r="AN116" s="458"/>
      <c r="AO116" s="150"/>
      <c r="AP116" s="151"/>
    </row>
    <row r="117" spans="1:42" ht="15.75">
      <c r="A117" s="160"/>
      <c r="B117" s="163"/>
      <c r="C117" s="145"/>
      <c r="D117" s="143"/>
      <c r="E117" s="143"/>
      <c r="F117" s="143"/>
      <c r="G117" s="144"/>
      <c r="H117" s="145"/>
      <c r="I117" s="145"/>
      <c r="J117" s="145"/>
      <c r="K117" s="145"/>
      <c r="L117" s="145"/>
      <c r="M117" s="145"/>
      <c r="N117" s="145"/>
      <c r="O117" s="145"/>
      <c r="P117" s="145"/>
      <c r="Q117" s="145"/>
      <c r="R117" s="145"/>
      <c r="S117" s="145"/>
      <c r="T117" s="145"/>
      <c r="U117" s="459"/>
      <c r="V117" s="145"/>
      <c r="W117" s="145"/>
      <c r="X117" s="134"/>
      <c r="Z117" s="123"/>
      <c r="AA117" s="155"/>
      <c r="AB117" s="163"/>
      <c r="AC117" s="190"/>
      <c r="AD117" s="163"/>
      <c r="AE117" s="143"/>
      <c r="AF117" s="145"/>
      <c r="AG117" s="145"/>
      <c r="AH117" s="134"/>
      <c r="AI117" s="469"/>
      <c r="AJ117" s="213"/>
      <c r="AK117" s="163"/>
      <c r="AL117" s="469"/>
      <c r="AM117" s="145"/>
      <c r="AN117" s="458"/>
      <c r="AO117" s="150"/>
      <c r="AP117" s="151"/>
    </row>
    <row r="118" spans="1:42" ht="15.75">
      <c r="A118" s="160"/>
      <c r="B118" s="163"/>
      <c r="C118" s="145"/>
      <c r="D118" s="143"/>
      <c r="E118" s="143"/>
      <c r="F118" s="143"/>
      <c r="G118" s="144"/>
      <c r="H118" s="145"/>
      <c r="I118" s="145"/>
      <c r="J118" s="145"/>
      <c r="K118" s="145"/>
      <c r="L118" s="145"/>
      <c r="M118" s="145"/>
      <c r="N118" s="145"/>
      <c r="O118" s="145"/>
      <c r="P118" s="145"/>
      <c r="Q118" s="145"/>
      <c r="R118" s="145"/>
      <c r="S118" s="145"/>
      <c r="T118" s="145"/>
      <c r="U118" s="459"/>
      <c r="V118" s="145"/>
      <c r="W118" s="145"/>
      <c r="X118" s="134"/>
      <c r="Z118" s="123"/>
      <c r="AA118" s="155"/>
      <c r="AB118" s="163"/>
      <c r="AC118" s="190"/>
      <c r="AD118" s="163"/>
      <c r="AE118" s="143"/>
      <c r="AF118" s="145"/>
      <c r="AG118" s="145"/>
      <c r="AH118" s="134"/>
      <c r="AI118" s="469"/>
      <c r="AJ118" s="213"/>
      <c r="AK118" s="163"/>
      <c r="AL118" s="469"/>
      <c r="AM118" s="145"/>
      <c r="AN118" s="458"/>
      <c r="AO118" s="150"/>
      <c r="AP118" s="151"/>
    </row>
    <row r="119" spans="1:42" ht="15.75">
      <c r="A119" s="160"/>
      <c r="B119" s="163"/>
      <c r="C119" s="145"/>
      <c r="D119" s="143"/>
      <c r="E119" s="143"/>
      <c r="F119" s="143"/>
      <c r="G119" s="144"/>
      <c r="H119" s="145"/>
      <c r="I119" s="145"/>
      <c r="J119" s="145"/>
      <c r="K119" s="145"/>
      <c r="L119" s="145"/>
      <c r="M119" s="145"/>
      <c r="N119" s="145"/>
      <c r="O119" s="145"/>
      <c r="P119" s="145"/>
      <c r="Q119" s="145"/>
      <c r="R119" s="145"/>
      <c r="S119" s="163"/>
      <c r="T119" s="163"/>
      <c r="U119" s="459"/>
      <c r="V119" s="145"/>
      <c r="W119" s="145"/>
      <c r="X119" s="134"/>
      <c r="Z119" s="123"/>
      <c r="AA119" s="155"/>
      <c r="AB119" s="163"/>
      <c r="AC119" s="190"/>
      <c r="AD119" s="163"/>
      <c r="AE119" s="143"/>
      <c r="AF119" s="145"/>
      <c r="AG119" s="145"/>
      <c r="AH119" s="134"/>
      <c r="AI119" s="469"/>
      <c r="AJ119" s="213"/>
      <c r="AK119" s="163"/>
      <c r="AL119" s="469"/>
      <c r="AM119" s="145"/>
      <c r="AN119" s="458"/>
      <c r="AO119" s="150"/>
      <c r="AP119" s="151"/>
    </row>
    <row r="120" spans="1:42" ht="15.75">
      <c r="A120" s="160"/>
      <c r="B120" s="163"/>
      <c r="C120" s="145"/>
      <c r="D120" s="143"/>
      <c r="E120" s="143"/>
      <c r="F120" s="143"/>
      <c r="G120" s="144"/>
      <c r="H120" s="145"/>
      <c r="I120" s="145"/>
      <c r="J120" s="145"/>
      <c r="K120" s="145"/>
      <c r="L120" s="145"/>
      <c r="M120" s="145"/>
      <c r="N120" s="145"/>
      <c r="O120" s="145"/>
      <c r="P120" s="145"/>
      <c r="Q120" s="145"/>
      <c r="R120" s="145"/>
      <c r="S120" s="145"/>
      <c r="T120" s="145"/>
      <c r="U120" s="459"/>
      <c r="V120" s="145"/>
      <c r="W120" s="145"/>
      <c r="X120" s="134"/>
      <c r="Z120" s="123"/>
      <c r="AA120" s="155"/>
      <c r="AB120" s="163"/>
      <c r="AC120" s="190"/>
      <c r="AD120" s="163"/>
      <c r="AE120" s="143"/>
      <c r="AF120" s="145"/>
      <c r="AG120" s="145"/>
      <c r="AH120" s="134"/>
      <c r="AI120" s="469"/>
      <c r="AJ120" s="213"/>
      <c r="AK120" s="163"/>
      <c r="AL120" s="469"/>
      <c r="AM120" s="145"/>
      <c r="AN120" s="458"/>
      <c r="AO120" s="150"/>
      <c r="AP120" s="151"/>
    </row>
    <row r="121" spans="1:42" ht="15.75">
      <c r="A121" s="160"/>
      <c r="B121" s="163"/>
      <c r="C121" s="145"/>
      <c r="D121" s="143"/>
      <c r="E121" s="143"/>
      <c r="F121" s="143"/>
      <c r="G121" s="144"/>
      <c r="H121" s="145"/>
      <c r="I121" s="145"/>
      <c r="J121" s="145"/>
      <c r="K121" s="145"/>
      <c r="L121" s="145"/>
      <c r="M121" s="145"/>
      <c r="N121" s="145"/>
      <c r="O121" s="145"/>
      <c r="P121" s="145"/>
      <c r="Q121" s="145"/>
      <c r="R121" s="145"/>
      <c r="S121" s="145"/>
      <c r="T121" s="145"/>
      <c r="U121" s="459"/>
      <c r="V121" s="145"/>
      <c r="W121" s="145"/>
      <c r="X121" s="134"/>
      <c r="Z121" s="123"/>
      <c r="AA121" s="155"/>
      <c r="AB121" s="163"/>
      <c r="AC121" s="190"/>
      <c r="AD121" s="163"/>
      <c r="AE121" s="143"/>
      <c r="AF121" s="145"/>
      <c r="AG121" s="145"/>
      <c r="AH121" s="134"/>
      <c r="AI121" s="469"/>
      <c r="AJ121" s="213"/>
      <c r="AK121" s="163"/>
      <c r="AL121" s="469"/>
      <c r="AM121" s="145"/>
      <c r="AN121" s="458"/>
      <c r="AO121" s="150"/>
      <c r="AP121" s="151"/>
    </row>
    <row r="122" spans="1:42" ht="15.75">
      <c r="A122" s="160"/>
      <c r="B122" s="163"/>
      <c r="C122" s="145"/>
      <c r="D122" s="143"/>
      <c r="E122" s="143"/>
      <c r="F122" s="143"/>
      <c r="G122" s="144"/>
      <c r="H122" s="145"/>
      <c r="I122" s="145"/>
      <c r="J122" s="145"/>
      <c r="K122" s="145"/>
      <c r="L122" s="145"/>
      <c r="M122" s="145"/>
      <c r="N122" s="145"/>
      <c r="O122" s="145"/>
      <c r="P122" s="145"/>
      <c r="Q122" s="145"/>
      <c r="R122" s="145"/>
      <c r="S122" s="145"/>
      <c r="T122" s="145"/>
      <c r="U122" s="459"/>
      <c r="V122" s="145"/>
      <c r="W122" s="145"/>
      <c r="X122" s="134"/>
      <c r="Z122" s="123"/>
      <c r="AA122" s="155"/>
      <c r="AB122" s="163"/>
      <c r="AC122" s="190"/>
      <c r="AD122" s="163"/>
      <c r="AE122" s="143"/>
      <c r="AF122" s="145"/>
      <c r="AG122" s="145"/>
      <c r="AH122" s="134"/>
      <c r="AI122" s="469"/>
      <c r="AJ122" s="213"/>
      <c r="AK122" s="163"/>
      <c r="AL122" s="469"/>
      <c r="AM122" s="145"/>
      <c r="AN122" s="458"/>
      <c r="AO122" s="150"/>
      <c r="AP122" s="151"/>
    </row>
    <row r="123" spans="1:42" ht="15.75">
      <c r="A123" s="160"/>
      <c r="B123" s="163"/>
      <c r="C123" s="145"/>
      <c r="D123" s="143"/>
      <c r="E123" s="143"/>
      <c r="F123" s="143"/>
      <c r="G123" s="144"/>
      <c r="H123" s="145"/>
      <c r="I123" s="145"/>
      <c r="J123" s="145"/>
      <c r="K123" s="145"/>
      <c r="L123" s="145"/>
      <c r="M123" s="145"/>
      <c r="N123" s="145"/>
      <c r="O123" s="145"/>
      <c r="P123" s="145"/>
      <c r="Q123" s="145"/>
      <c r="R123" s="145"/>
      <c r="S123" s="145"/>
      <c r="T123" s="145"/>
      <c r="U123" s="459"/>
      <c r="V123" s="145"/>
      <c r="W123" s="145"/>
      <c r="X123" s="134"/>
      <c r="Z123" s="123"/>
      <c r="AA123" s="155"/>
      <c r="AB123" s="163"/>
      <c r="AC123" s="190"/>
      <c r="AD123" s="163"/>
      <c r="AE123" s="143"/>
      <c r="AF123" s="145"/>
      <c r="AG123" s="145"/>
      <c r="AH123" s="134"/>
      <c r="AI123" s="469"/>
      <c r="AJ123" s="213"/>
      <c r="AK123" s="163"/>
      <c r="AL123" s="469"/>
      <c r="AM123" s="145"/>
      <c r="AN123" s="458"/>
      <c r="AO123" s="150"/>
      <c r="AP123" s="151"/>
    </row>
    <row r="124" spans="1:42" ht="15.75">
      <c r="A124" s="160"/>
      <c r="B124" s="163"/>
      <c r="C124" s="145"/>
      <c r="D124" s="143"/>
      <c r="E124" s="143"/>
      <c r="F124" s="143"/>
      <c r="G124" s="144"/>
      <c r="H124" s="145"/>
      <c r="I124" s="145"/>
      <c r="J124" s="145"/>
      <c r="K124" s="145"/>
      <c r="L124" s="145"/>
      <c r="M124" s="145"/>
      <c r="N124" s="145"/>
      <c r="O124" s="145"/>
      <c r="P124" s="145"/>
      <c r="Q124" s="145"/>
      <c r="R124" s="145"/>
      <c r="S124" s="145"/>
      <c r="T124" s="145"/>
      <c r="U124" s="459"/>
      <c r="V124" s="145"/>
      <c r="W124" s="145"/>
      <c r="X124" s="134"/>
      <c r="Z124" s="123"/>
      <c r="AA124" s="155"/>
      <c r="AB124" s="163"/>
      <c r="AC124" s="190"/>
      <c r="AD124" s="163"/>
      <c r="AE124" s="143"/>
      <c r="AF124" s="145"/>
      <c r="AG124" s="145"/>
      <c r="AH124" s="134"/>
      <c r="AI124" s="469"/>
      <c r="AJ124" s="213"/>
      <c r="AK124" s="163"/>
      <c r="AL124" s="469"/>
      <c r="AM124" s="145"/>
      <c r="AN124" s="458"/>
      <c r="AO124" s="150"/>
      <c r="AP124" s="151"/>
    </row>
    <row r="125" spans="1:42" ht="30.75">
      <c r="A125" s="160"/>
      <c r="B125" s="163"/>
      <c r="C125" s="145"/>
      <c r="D125" s="143"/>
      <c r="E125" s="143" t="s">
        <v>52</v>
      </c>
      <c r="F125" s="143"/>
      <c r="G125" s="144"/>
      <c r="H125" s="145"/>
      <c r="I125" s="145"/>
      <c r="J125" s="145"/>
      <c r="K125" s="145"/>
      <c r="L125" s="145"/>
      <c r="M125" s="145"/>
      <c r="N125" s="145"/>
      <c r="O125" s="145"/>
      <c r="P125" s="145"/>
      <c r="Q125" s="145"/>
      <c r="R125" s="145"/>
      <c r="S125" s="145"/>
      <c r="T125" s="145"/>
      <c r="U125" s="459"/>
      <c r="V125" s="145"/>
      <c r="W125" s="145"/>
      <c r="X125" s="134"/>
      <c r="Z125" s="123"/>
      <c r="AA125" s="155"/>
      <c r="AB125" s="163"/>
      <c r="AC125" s="190"/>
      <c r="AD125" s="163"/>
      <c r="AE125" s="143"/>
      <c r="AF125" s="145"/>
      <c r="AG125" s="145"/>
      <c r="AH125" s="134"/>
      <c r="AI125" s="469"/>
      <c r="AJ125" s="213"/>
      <c r="AK125" s="163"/>
      <c r="AL125" s="469"/>
      <c r="AM125" s="145"/>
      <c r="AN125" s="458"/>
      <c r="AO125" s="150"/>
      <c r="AP125" s="151"/>
    </row>
    <row r="126" spans="1:42" ht="30.75">
      <c r="A126" s="160"/>
      <c r="B126" s="163"/>
      <c r="C126" s="145"/>
      <c r="D126" s="143"/>
      <c r="E126" s="143" t="s">
        <v>52</v>
      </c>
      <c r="F126" s="143"/>
      <c r="G126" s="144"/>
      <c r="H126" s="145"/>
      <c r="I126" s="145"/>
      <c r="J126" s="145"/>
      <c r="K126" s="145"/>
      <c r="L126" s="145"/>
      <c r="M126" s="145"/>
      <c r="N126" s="145"/>
      <c r="O126" s="145"/>
      <c r="P126" s="145"/>
      <c r="Q126" s="145"/>
      <c r="R126" s="145"/>
      <c r="S126" s="145"/>
      <c r="T126" s="145"/>
      <c r="U126" s="459"/>
      <c r="V126" s="145"/>
      <c r="W126" s="145"/>
      <c r="X126" s="134"/>
      <c r="Z126" s="123"/>
      <c r="AA126" s="155"/>
      <c r="AB126" s="163"/>
      <c r="AC126" s="190"/>
      <c r="AD126" s="163"/>
      <c r="AE126" s="143"/>
      <c r="AF126" s="145"/>
      <c r="AG126" s="145"/>
      <c r="AH126" s="134"/>
      <c r="AI126" s="469"/>
      <c r="AJ126" s="213"/>
      <c r="AK126" s="163"/>
      <c r="AL126" s="469"/>
      <c r="AM126" s="145"/>
      <c r="AN126" s="458"/>
      <c r="AO126" s="150"/>
      <c r="AP126" s="151"/>
    </row>
    <row r="127" spans="1:42" ht="30.75">
      <c r="A127" s="160"/>
      <c r="B127" s="163"/>
      <c r="C127" s="145"/>
      <c r="D127" s="143"/>
      <c r="E127" s="143" t="s">
        <v>52</v>
      </c>
      <c r="F127" s="143"/>
      <c r="G127" s="144"/>
      <c r="H127" s="145"/>
      <c r="I127" s="145"/>
      <c r="J127" s="145"/>
      <c r="K127" s="145"/>
      <c r="L127" s="145"/>
      <c r="M127" s="145"/>
      <c r="N127" s="145"/>
      <c r="O127" s="145"/>
      <c r="P127" s="145"/>
      <c r="Q127" s="145"/>
      <c r="R127" s="145"/>
      <c r="S127" s="145"/>
      <c r="T127" s="145"/>
      <c r="U127" s="459"/>
      <c r="V127" s="145"/>
      <c r="W127" s="145"/>
      <c r="X127" s="134"/>
      <c r="Z127" s="123"/>
      <c r="AA127" s="155"/>
      <c r="AB127" s="163"/>
      <c r="AC127" s="190"/>
      <c r="AD127" s="163"/>
      <c r="AE127" s="143"/>
      <c r="AF127" s="145"/>
      <c r="AG127" s="145"/>
      <c r="AH127" s="134"/>
      <c r="AI127" s="469"/>
      <c r="AJ127" s="213"/>
      <c r="AK127" s="163"/>
      <c r="AL127" s="469"/>
      <c r="AM127" s="145"/>
      <c r="AN127" s="458"/>
      <c r="AO127" s="150"/>
      <c r="AP127" s="151"/>
    </row>
    <row r="128" spans="1:42" ht="30.75">
      <c r="A128" s="160"/>
      <c r="B128" s="163"/>
      <c r="C128" s="145"/>
      <c r="D128" s="143"/>
      <c r="E128" s="143" t="s">
        <v>52</v>
      </c>
      <c r="F128" s="143"/>
      <c r="G128" s="144"/>
      <c r="H128" s="145"/>
      <c r="I128" s="145"/>
      <c r="J128" s="145"/>
      <c r="K128" s="145"/>
      <c r="L128" s="145"/>
      <c r="M128" s="145"/>
      <c r="N128" s="145"/>
      <c r="O128" s="145"/>
      <c r="P128" s="145"/>
      <c r="Q128" s="145"/>
      <c r="R128" s="145"/>
      <c r="S128" s="145"/>
      <c r="T128" s="145"/>
      <c r="U128" s="459"/>
      <c r="V128" s="145"/>
      <c r="W128" s="145"/>
      <c r="X128" s="134"/>
      <c r="Z128" s="123"/>
      <c r="AA128" s="155"/>
      <c r="AB128" s="163"/>
      <c r="AC128" s="190"/>
      <c r="AD128" s="163"/>
      <c r="AE128" s="143"/>
      <c r="AF128" s="145"/>
      <c r="AG128" s="145"/>
      <c r="AH128" s="134"/>
      <c r="AI128" s="469"/>
      <c r="AJ128" s="213"/>
      <c r="AK128" s="163"/>
      <c r="AL128" s="469"/>
      <c r="AM128" s="145"/>
      <c r="AN128" s="458"/>
      <c r="AO128" s="150"/>
      <c r="AP128" s="151"/>
    </row>
    <row r="129" spans="1:42" ht="30.75">
      <c r="A129" s="160"/>
      <c r="B129" s="163"/>
      <c r="C129" s="145"/>
      <c r="D129" s="143"/>
      <c r="E129" s="143" t="s">
        <v>52</v>
      </c>
      <c r="F129" s="143"/>
      <c r="G129" s="144"/>
      <c r="H129" s="145"/>
      <c r="I129" s="145"/>
      <c r="J129" s="145"/>
      <c r="K129" s="145"/>
      <c r="L129" s="145"/>
      <c r="M129" s="145"/>
      <c r="N129" s="145"/>
      <c r="O129" s="145"/>
      <c r="P129" s="145"/>
      <c r="Q129" s="145"/>
      <c r="R129" s="145"/>
      <c r="S129" s="145"/>
      <c r="T129" s="145"/>
      <c r="U129" s="459"/>
      <c r="V129" s="145"/>
      <c r="W129" s="145"/>
      <c r="X129" s="134"/>
      <c r="Z129" s="123"/>
      <c r="AA129" s="155"/>
      <c r="AB129" s="163"/>
      <c r="AC129" s="190"/>
      <c r="AD129" s="163"/>
      <c r="AE129" s="143"/>
      <c r="AF129" s="145"/>
      <c r="AG129" s="145"/>
      <c r="AH129" s="134"/>
      <c r="AI129" s="469"/>
      <c r="AJ129" s="213"/>
      <c r="AK129" s="163"/>
      <c r="AL129" s="469"/>
      <c r="AM129" s="145"/>
      <c r="AN129" s="458"/>
      <c r="AO129" s="150"/>
      <c r="AP129" s="151"/>
    </row>
    <row r="130" spans="1:42" ht="30.75">
      <c r="A130" s="160"/>
      <c r="B130" s="163"/>
      <c r="C130" s="145"/>
      <c r="D130" s="143"/>
      <c r="E130" s="143" t="s">
        <v>52</v>
      </c>
      <c r="F130" s="143"/>
      <c r="G130" s="144"/>
      <c r="H130" s="145"/>
      <c r="I130" s="145"/>
      <c r="J130" s="145"/>
      <c r="K130" s="145"/>
      <c r="L130" s="145"/>
      <c r="M130" s="145"/>
      <c r="N130" s="145"/>
      <c r="O130" s="145"/>
      <c r="P130" s="145"/>
      <c r="Q130" s="145"/>
      <c r="R130" s="145"/>
      <c r="S130" s="145"/>
      <c r="T130" s="145"/>
      <c r="U130" s="459"/>
      <c r="V130" s="145"/>
      <c r="W130" s="145"/>
      <c r="X130" s="134"/>
      <c r="Z130" s="123"/>
      <c r="AA130" s="155"/>
      <c r="AB130" s="163"/>
      <c r="AC130" s="190"/>
      <c r="AD130" s="163"/>
      <c r="AE130" s="143"/>
      <c r="AF130" s="145"/>
      <c r="AG130" s="145"/>
      <c r="AH130" s="134"/>
      <c r="AI130" s="469"/>
      <c r="AJ130" s="213"/>
      <c r="AK130" s="163"/>
      <c r="AL130" s="469"/>
      <c r="AM130" s="145"/>
      <c r="AN130" s="458"/>
      <c r="AO130" s="150"/>
      <c r="AP130" s="151"/>
    </row>
    <row r="131" spans="1:42" ht="30.75">
      <c r="A131" s="160"/>
      <c r="B131" s="163"/>
      <c r="C131" s="145"/>
      <c r="D131" s="143"/>
      <c r="E131" s="143" t="s">
        <v>52</v>
      </c>
      <c r="F131" s="143"/>
      <c r="G131" s="144"/>
      <c r="H131" s="145"/>
      <c r="I131" s="145"/>
      <c r="J131" s="145"/>
      <c r="K131" s="145"/>
      <c r="L131" s="145"/>
      <c r="M131" s="145"/>
      <c r="N131" s="145"/>
      <c r="O131" s="145"/>
      <c r="P131" s="145"/>
      <c r="Q131" s="145"/>
      <c r="R131" s="145"/>
      <c r="S131" s="145"/>
      <c r="T131" s="145"/>
      <c r="U131" s="459"/>
      <c r="V131" s="145"/>
      <c r="W131" s="145"/>
      <c r="X131" s="134"/>
      <c r="Z131" s="123"/>
      <c r="AA131" s="155"/>
      <c r="AB131" s="163"/>
      <c r="AC131" s="190"/>
      <c r="AD131" s="163"/>
      <c r="AE131" s="143"/>
      <c r="AF131" s="145"/>
      <c r="AG131" s="145"/>
      <c r="AH131" s="134"/>
      <c r="AI131" s="469"/>
      <c r="AJ131" s="213"/>
      <c r="AK131" s="163"/>
      <c r="AL131" s="469"/>
      <c r="AM131" s="145"/>
      <c r="AN131" s="458"/>
      <c r="AO131" s="150"/>
      <c r="AP131" s="151"/>
    </row>
    <row r="132" spans="1:42" ht="30.75">
      <c r="A132" s="160"/>
      <c r="B132" s="163"/>
      <c r="C132" s="145"/>
      <c r="D132" s="143"/>
      <c r="E132" s="143" t="s">
        <v>52</v>
      </c>
      <c r="F132" s="143"/>
      <c r="G132" s="144"/>
      <c r="H132" s="145"/>
      <c r="I132" s="145"/>
      <c r="J132" s="145"/>
      <c r="K132" s="145"/>
      <c r="L132" s="145"/>
      <c r="M132" s="145"/>
      <c r="N132" s="145"/>
      <c r="O132" s="145"/>
      <c r="P132" s="145"/>
      <c r="Q132" s="145"/>
      <c r="R132" s="145"/>
      <c r="S132" s="145"/>
      <c r="T132" s="145"/>
      <c r="U132" s="459"/>
      <c r="V132" s="145"/>
      <c r="W132" s="145"/>
      <c r="X132" s="134"/>
      <c r="Z132" s="123"/>
      <c r="AA132" s="155"/>
      <c r="AB132" s="163"/>
      <c r="AC132" s="190"/>
      <c r="AD132" s="163"/>
      <c r="AE132" s="143"/>
      <c r="AF132" s="145"/>
      <c r="AG132" s="145"/>
      <c r="AH132" s="134"/>
      <c r="AI132" s="469"/>
      <c r="AJ132" s="213"/>
      <c r="AK132" s="163"/>
      <c r="AL132" s="469"/>
      <c r="AM132" s="145"/>
      <c r="AN132" s="458"/>
      <c r="AO132" s="150"/>
      <c r="AP132" s="151"/>
    </row>
    <row r="133" spans="1:42" ht="30.75">
      <c r="A133" s="160"/>
      <c r="B133" s="163"/>
      <c r="C133" s="145"/>
      <c r="D133" s="143"/>
      <c r="E133" s="143" t="s">
        <v>52</v>
      </c>
      <c r="F133" s="143"/>
      <c r="G133" s="144"/>
      <c r="H133" s="145"/>
      <c r="I133" s="145"/>
      <c r="J133" s="145"/>
      <c r="K133" s="145"/>
      <c r="L133" s="145"/>
      <c r="M133" s="145"/>
      <c r="N133" s="145"/>
      <c r="O133" s="145"/>
      <c r="P133" s="145"/>
      <c r="Q133" s="145"/>
      <c r="R133" s="145"/>
      <c r="S133" s="145"/>
      <c r="T133" s="145"/>
      <c r="U133" s="459"/>
      <c r="V133" s="145"/>
      <c r="W133" s="145"/>
      <c r="X133" s="134"/>
      <c r="Z133" s="123"/>
      <c r="AA133" s="155"/>
      <c r="AB133" s="163"/>
      <c r="AC133" s="190"/>
      <c r="AD133" s="163"/>
      <c r="AE133" s="143"/>
      <c r="AF133" s="145"/>
      <c r="AG133" s="145"/>
      <c r="AH133" s="134"/>
      <c r="AI133" s="469"/>
      <c r="AJ133" s="213"/>
      <c r="AK133" s="163"/>
      <c r="AL133" s="469"/>
      <c r="AM133" s="145"/>
      <c r="AN133" s="458"/>
      <c r="AO133" s="150"/>
      <c r="AP133" s="151"/>
    </row>
    <row r="134" spans="1:42" ht="30.75">
      <c r="A134" s="160"/>
      <c r="B134" s="163"/>
      <c r="C134" s="145"/>
      <c r="D134" s="143"/>
      <c r="E134" s="143" t="s">
        <v>52</v>
      </c>
      <c r="F134" s="143"/>
      <c r="G134" s="144"/>
      <c r="H134" s="145"/>
      <c r="I134" s="145"/>
      <c r="J134" s="145"/>
      <c r="K134" s="145"/>
      <c r="L134" s="145"/>
      <c r="M134" s="145"/>
      <c r="N134" s="145"/>
      <c r="O134" s="145"/>
      <c r="P134" s="145"/>
      <c r="Q134" s="145"/>
      <c r="R134" s="145"/>
      <c r="S134" s="145"/>
      <c r="T134" s="145"/>
      <c r="U134" s="459"/>
      <c r="V134" s="145"/>
      <c r="W134" s="145"/>
      <c r="X134" s="134"/>
      <c r="Z134" s="123"/>
      <c r="AA134" s="155"/>
      <c r="AB134" s="163"/>
      <c r="AC134" s="190"/>
      <c r="AD134" s="163"/>
      <c r="AE134" s="143"/>
      <c r="AF134" s="145"/>
      <c r="AG134" s="145"/>
      <c r="AH134" s="134"/>
      <c r="AI134" s="469"/>
      <c r="AJ134" s="213"/>
      <c r="AK134" s="163"/>
      <c r="AL134" s="469"/>
      <c r="AM134" s="145"/>
      <c r="AN134" s="458"/>
      <c r="AO134" s="150"/>
      <c r="AP134" s="151"/>
    </row>
    <row r="135" spans="1:42" ht="30.75">
      <c r="A135" s="160"/>
      <c r="B135" s="163"/>
      <c r="C135" s="145"/>
      <c r="D135" s="143"/>
      <c r="E135" s="143" t="s">
        <v>52</v>
      </c>
      <c r="F135" s="143"/>
      <c r="G135" s="144"/>
      <c r="H135" s="145"/>
      <c r="I135" s="145"/>
      <c r="J135" s="145"/>
      <c r="K135" s="145"/>
      <c r="L135" s="145"/>
      <c r="M135" s="145"/>
      <c r="N135" s="145"/>
      <c r="O135" s="145"/>
      <c r="P135" s="145"/>
      <c r="Q135" s="145"/>
      <c r="R135" s="145"/>
      <c r="S135" s="145"/>
      <c r="T135" s="145"/>
      <c r="U135" s="459"/>
      <c r="V135" s="145"/>
      <c r="W135" s="145"/>
      <c r="X135" s="134"/>
      <c r="Z135" s="123"/>
      <c r="AA135" s="155"/>
      <c r="AB135" s="163"/>
      <c r="AC135" s="190"/>
      <c r="AD135" s="163"/>
      <c r="AE135" s="143"/>
      <c r="AF135" s="145"/>
      <c r="AG135" s="145"/>
      <c r="AH135" s="134"/>
      <c r="AI135" s="469"/>
      <c r="AJ135" s="213"/>
      <c r="AK135" s="163"/>
      <c r="AL135" s="469"/>
      <c r="AM135" s="145"/>
      <c r="AN135" s="458"/>
      <c r="AO135" s="150"/>
      <c r="AP135" s="151"/>
    </row>
    <row r="136" spans="1:42" ht="30.75">
      <c r="A136" s="160"/>
      <c r="B136" s="163"/>
      <c r="C136" s="145"/>
      <c r="D136" s="143"/>
      <c r="E136" s="143" t="s">
        <v>52</v>
      </c>
      <c r="F136" s="143"/>
      <c r="G136" s="144"/>
      <c r="H136" s="145"/>
      <c r="I136" s="145"/>
      <c r="J136" s="145"/>
      <c r="K136" s="145"/>
      <c r="L136" s="145"/>
      <c r="M136" s="145"/>
      <c r="N136" s="145"/>
      <c r="O136" s="145"/>
      <c r="P136" s="145"/>
      <c r="Q136" s="145"/>
      <c r="R136" s="145"/>
      <c r="S136" s="145"/>
      <c r="T136" s="145"/>
      <c r="U136" s="459"/>
      <c r="V136" s="145"/>
      <c r="W136" s="145"/>
      <c r="X136" s="134"/>
      <c r="Z136" s="123"/>
      <c r="AA136" s="155"/>
      <c r="AB136" s="163"/>
      <c r="AC136" s="190"/>
      <c r="AD136" s="163"/>
      <c r="AE136" s="143"/>
      <c r="AF136" s="145"/>
      <c r="AG136" s="145"/>
      <c r="AH136" s="134"/>
      <c r="AI136" s="469"/>
      <c r="AJ136" s="213"/>
      <c r="AK136" s="163"/>
      <c r="AL136" s="469"/>
      <c r="AM136" s="145"/>
      <c r="AN136" s="458"/>
      <c r="AO136" s="150"/>
      <c r="AP136" s="151"/>
    </row>
    <row r="137" spans="1:42" ht="30.75">
      <c r="A137" s="160"/>
      <c r="B137" s="163"/>
      <c r="C137" s="145"/>
      <c r="D137" s="143"/>
      <c r="E137" s="143" t="s">
        <v>52</v>
      </c>
      <c r="F137" s="143"/>
      <c r="G137" s="144"/>
      <c r="H137" s="145"/>
      <c r="I137" s="145"/>
      <c r="J137" s="145"/>
      <c r="K137" s="145"/>
      <c r="L137" s="145"/>
      <c r="M137" s="145"/>
      <c r="N137" s="145"/>
      <c r="O137" s="145"/>
      <c r="P137" s="145"/>
      <c r="Q137" s="145"/>
      <c r="R137" s="145"/>
      <c r="S137" s="145"/>
      <c r="T137" s="145"/>
      <c r="U137" s="459"/>
      <c r="V137" s="145"/>
      <c r="W137" s="145"/>
      <c r="X137" s="134"/>
      <c r="Z137" s="123"/>
      <c r="AA137" s="155"/>
      <c r="AB137" s="163"/>
      <c r="AC137" s="190"/>
      <c r="AD137" s="163"/>
      <c r="AE137" s="143"/>
      <c r="AF137" s="145"/>
      <c r="AG137" s="145"/>
      <c r="AH137" s="134"/>
      <c r="AI137" s="469"/>
      <c r="AJ137" s="213"/>
      <c r="AK137" s="163"/>
      <c r="AL137" s="469"/>
      <c r="AM137" s="145"/>
      <c r="AN137" s="458"/>
      <c r="AO137" s="150"/>
      <c r="AP137" s="151"/>
    </row>
    <row r="138" spans="1:42" ht="30.75">
      <c r="A138" s="160"/>
      <c r="B138" s="163"/>
      <c r="C138" s="145"/>
      <c r="D138" s="143"/>
      <c r="E138" s="143" t="s">
        <v>52</v>
      </c>
      <c r="F138" s="143"/>
      <c r="G138" s="144"/>
      <c r="H138" s="145"/>
      <c r="I138" s="145"/>
      <c r="J138" s="145"/>
      <c r="K138" s="145"/>
      <c r="L138" s="145"/>
      <c r="M138" s="145"/>
      <c r="N138" s="145"/>
      <c r="O138" s="145"/>
      <c r="P138" s="145"/>
      <c r="Q138" s="145"/>
      <c r="R138" s="145"/>
      <c r="S138" s="145"/>
      <c r="T138" s="145"/>
      <c r="U138" s="459"/>
      <c r="V138" s="145"/>
      <c r="W138" s="145"/>
      <c r="X138" s="134"/>
      <c r="Z138" s="123"/>
      <c r="AA138" s="155"/>
      <c r="AB138" s="163"/>
      <c r="AC138" s="190"/>
      <c r="AD138" s="163"/>
      <c r="AE138" s="143"/>
      <c r="AF138" s="145"/>
      <c r="AG138" s="145"/>
      <c r="AH138" s="134"/>
      <c r="AI138" s="469"/>
      <c r="AJ138" s="213"/>
      <c r="AK138" s="163"/>
      <c r="AL138" s="469"/>
      <c r="AM138" s="145"/>
      <c r="AN138" s="458"/>
      <c r="AO138" s="150"/>
      <c r="AP138" s="151"/>
    </row>
    <row r="139" spans="1:42" ht="30.75">
      <c r="A139" s="160"/>
      <c r="B139" s="163"/>
      <c r="C139" s="145"/>
      <c r="D139" s="143"/>
      <c r="E139" s="143" t="s">
        <v>52</v>
      </c>
      <c r="F139" s="143"/>
      <c r="G139" s="144"/>
      <c r="H139" s="145"/>
      <c r="I139" s="145"/>
      <c r="J139" s="145"/>
      <c r="K139" s="145"/>
      <c r="L139" s="145"/>
      <c r="M139" s="145"/>
      <c r="N139" s="145"/>
      <c r="O139" s="145"/>
      <c r="P139" s="145"/>
      <c r="Q139" s="145"/>
      <c r="R139" s="145"/>
      <c r="S139" s="145"/>
      <c r="T139" s="145"/>
      <c r="U139" s="459"/>
      <c r="V139" s="145"/>
      <c r="W139" s="145"/>
      <c r="X139" s="134"/>
      <c r="Z139" s="123"/>
      <c r="AA139" s="155"/>
      <c r="AB139" s="163"/>
      <c r="AC139" s="190"/>
      <c r="AD139" s="163"/>
      <c r="AE139" s="143"/>
      <c r="AF139" s="145"/>
      <c r="AG139" s="145"/>
      <c r="AH139" s="134"/>
      <c r="AI139" s="469"/>
      <c r="AJ139" s="213"/>
      <c r="AK139" s="163"/>
      <c r="AL139" s="469"/>
      <c r="AM139" s="145"/>
      <c r="AN139" s="458"/>
      <c r="AO139" s="150"/>
      <c r="AP139" s="151"/>
    </row>
    <row r="140" spans="1:42" ht="30.75">
      <c r="A140" s="160"/>
      <c r="B140" s="163"/>
      <c r="C140" s="145"/>
      <c r="D140" s="143"/>
      <c r="E140" s="143" t="s">
        <v>52</v>
      </c>
      <c r="F140" s="143"/>
      <c r="G140" s="144"/>
      <c r="H140" s="145"/>
      <c r="I140" s="145"/>
      <c r="J140" s="145"/>
      <c r="K140" s="145"/>
      <c r="L140" s="145"/>
      <c r="M140" s="145"/>
      <c r="N140" s="145"/>
      <c r="O140" s="145"/>
      <c r="P140" s="145"/>
      <c r="Q140" s="145"/>
      <c r="R140" s="145"/>
      <c r="S140" s="145"/>
      <c r="T140" s="145"/>
      <c r="U140" s="459"/>
      <c r="V140" s="145"/>
      <c r="W140" s="145"/>
      <c r="X140" s="134"/>
      <c r="Z140" s="123"/>
      <c r="AA140" s="155"/>
      <c r="AB140" s="163"/>
      <c r="AC140" s="190"/>
      <c r="AD140" s="163"/>
      <c r="AE140" s="143"/>
      <c r="AF140" s="145"/>
      <c r="AG140" s="145"/>
      <c r="AH140" s="134"/>
      <c r="AI140" s="469"/>
      <c r="AJ140" s="213"/>
      <c r="AK140" s="163"/>
      <c r="AL140" s="469"/>
      <c r="AM140" s="145"/>
      <c r="AN140" s="458"/>
      <c r="AO140" s="150"/>
      <c r="AP140" s="151"/>
    </row>
    <row r="141" spans="1:42" ht="30.75">
      <c r="A141" s="160"/>
      <c r="B141" s="163"/>
      <c r="C141" s="145"/>
      <c r="D141" s="143"/>
      <c r="E141" s="143" t="s">
        <v>52</v>
      </c>
      <c r="F141" s="143"/>
      <c r="G141" s="144"/>
      <c r="H141" s="145"/>
      <c r="I141" s="145"/>
      <c r="J141" s="145"/>
      <c r="K141" s="145"/>
      <c r="L141" s="145"/>
      <c r="M141" s="145"/>
      <c r="N141" s="145"/>
      <c r="O141" s="145"/>
      <c r="P141" s="145"/>
      <c r="Q141" s="145"/>
      <c r="R141" s="145"/>
      <c r="S141" s="145"/>
      <c r="T141" s="145"/>
      <c r="U141" s="459"/>
      <c r="V141" s="145"/>
      <c r="W141" s="145"/>
      <c r="X141" s="134"/>
      <c r="Z141" s="123"/>
      <c r="AA141" s="155"/>
      <c r="AB141" s="163"/>
      <c r="AC141" s="190"/>
      <c r="AD141" s="163"/>
      <c r="AE141" s="143"/>
      <c r="AF141" s="145"/>
      <c r="AG141" s="145"/>
      <c r="AH141" s="134"/>
      <c r="AI141" s="469"/>
      <c r="AJ141" s="213"/>
      <c r="AK141" s="163"/>
      <c r="AL141" s="469"/>
      <c r="AM141" s="145"/>
      <c r="AN141" s="458"/>
      <c r="AO141" s="150"/>
      <c r="AP141" s="151"/>
    </row>
    <row r="142" spans="1:42" ht="30.75">
      <c r="A142" s="160"/>
      <c r="B142" s="163"/>
      <c r="C142" s="145"/>
      <c r="D142" s="143"/>
      <c r="E142" s="143" t="s">
        <v>52</v>
      </c>
      <c r="F142" s="143"/>
      <c r="G142" s="144"/>
      <c r="H142" s="145"/>
      <c r="I142" s="145"/>
      <c r="J142" s="145"/>
      <c r="K142" s="145"/>
      <c r="L142" s="145"/>
      <c r="M142" s="145"/>
      <c r="N142" s="145"/>
      <c r="O142" s="145"/>
      <c r="P142" s="145"/>
      <c r="Q142" s="145"/>
      <c r="R142" s="145"/>
      <c r="S142" s="145"/>
      <c r="T142" s="145"/>
      <c r="U142" s="459"/>
      <c r="V142" s="145"/>
      <c r="W142" s="145"/>
      <c r="X142" s="134"/>
      <c r="Z142" s="123"/>
      <c r="AA142" s="155"/>
      <c r="AB142" s="163"/>
      <c r="AC142" s="190"/>
      <c r="AD142" s="163"/>
      <c r="AE142" s="143"/>
      <c r="AF142" s="145"/>
      <c r="AG142" s="145"/>
      <c r="AH142" s="134"/>
      <c r="AI142" s="469"/>
      <c r="AJ142" s="213"/>
      <c r="AK142" s="163"/>
      <c r="AL142" s="469"/>
      <c r="AM142" s="145"/>
      <c r="AN142" s="458"/>
      <c r="AO142" s="150"/>
      <c r="AP142" s="151"/>
    </row>
    <row r="143" spans="1:42" ht="30.75">
      <c r="A143" s="160"/>
      <c r="B143" s="163"/>
      <c r="C143" s="145"/>
      <c r="D143" s="143"/>
      <c r="E143" s="143" t="s">
        <v>52</v>
      </c>
      <c r="F143" s="143"/>
      <c r="G143" s="144"/>
      <c r="H143" s="145"/>
      <c r="I143" s="145"/>
      <c r="J143" s="145"/>
      <c r="K143" s="145"/>
      <c r="L143" s="145"/>
      <c r="M143" s="145"/>
      <c r="N143" s="145"/>
      <c r="O143" s="145"/>
      <c r="P143" s="145"/>
      <c r="Q143" s="145"/>
      <c r="R143" s="145"/>
      <c r="S143" s="145"/>
      <c r="T143" s="145"/>
      <c r="U143" s="459"/>
      <c r="V143" s="145"/>
      <c r="W143" s="145"/>
      <c r="X143" s="134"/>
      <c r="Z143" s="123"/>
      <c r="AA143" s="155"/>
      <c r="AB143" s="163"/>
      <c r="AC143" s="190"/>
      <c r="AD143" s="163"/>
      <c r="AE143" s="143"/>
      <c r="AF143" s="145"/>
      <c r="AG143" s="145"/>
      <c r="AH143" s="134"/>
      <c r="AI143" s="469"/>
      <c r="AJ143" s="213"/>
      <c r="AK143" s="163"/>
      <c r="AL143" s="469"/>
      <c r="AM143" s="145"/>
      <c r="AN143" s="458"/>
      <c r="AO143" s="150"/>
      <c r="AP143" s="151"/>
    </row>
    <row r="144" spans="1:42" ht="15.75">
      <c r="A144" s="160"/>
      <c r="B144" s="163"/>
      <c r="C144" s="145"/>
      <c r="D144" s="143"/>
      <c r="E144" s="143"/>
      <c r="F144" s="143"/>
      <c r="G144" s="144"/>
      <c r="H144" s="145"/>
      <c r="I144" s="145"/>
      <c r="J144" s="145"/>
      <c r="K144" s="145"/>
      <c r="L144" s="145"/>
      <c r="M144" s="145"/>
      <c r="N144" s="145"/>
      <c r="O144" s="145"/>
      <c r="P144" s="145"/>
      <c r="Q144" s="145"/>
      <c r="R144" s="145"/>
      <c r="S144" s="145"/>
      <c r="T144" s="145"/>
      <c r="U144" s="459"/>
      <c r="V144" s="145"/>
      <c r="W144" s="145"/>
      <c r="X144" s="134"/>
      <c r="Z144" s="123"/>
      <c r="AA144" s="155"/>
      <c r="AB144" s="163"/>
      <c r="AC144" s="190"/>
      <c r="AD144" s="163"/>
      <c r="AE144" s="143"/>
      <c r="AF144" s="145"/>
      <c r="AG144" s="145"/>
      <c r="AH144" s="134"/>
      <c r="AI144" s="469"/>
      <c r="AJ144" s="213"/>
      <c r="AK144" s="163"/>
      <c r="AL144" s="469"/>
      <c r="AM144" s="145"/>
      <c r="AN144" s="458"/>
      <c r="AO144" s="150"/>
      <c r="AP144" s="151"/>
    </row>
    <row r="145" spans="1:42" ht="15.75">
      <c r="A145" s="160"/>
      <c r="B145" s="163"/>
      <c r="C145" s="145"/>
      <c r="D145" s="143"/>
      <c r="E145" s="143"/>
      <c r="F145" s="143"/>
      <c r="G145" s="144"/>
      <c r="H145" s="145"/>
      <c r="I145" s="145"/>
      <c r="J145" s="145"/>
      <c r="K145" s="145"/>
      <c r="L145" s="145"/>
      <c r="M145" s="145"/>
      <c r="N145" s="145"/>
      <c r="O145" s="145"/>
      <c r="P145" s="145"/>
      <c r="Q145" s="145"/>
      <c r="R145" s="145"/>
      <c r="S145" s="145"/>
      <c r="T145" s="145"/>
      <c r="U145" s="459"/>
      <c r="V145" s="145"/>
      <c r="W145" s="145"/>
      <c r="X145" s="134"/>
      <c r="Z145" s="123"/>
      <c r="AA145" s="155"/>
      <c r="AB145" s="163"/>
      <c r="AC145" s="190"/>
      <c r="AD145" s="163"/>
      <c r="AE145" s="143"/>
      <c r="AF145" s="145"/>
      <c r="AG145" s="145"/>
      <c r="AH145" s="134"/>
      <c r="AI145" s="469"/>
      <c r="AJ145" s="213"/>
      <c r="AK145" s="163"/>
      <c r="AL145" s="469"/>
      <c r="AM145" s="145"/>
      <c r="AN145" s="458"/>
      <c r="AO145" s="150"/>
      <c r="AP145" s="151"/>
    </row>
    <row r="146" spans="1:42" ht="15.75">
      <c r="A146" s="160"/>
      <c r="B146" s="163"/>
      <c r="C146" s="145"/>
      <c r="D146" s="143"/>
      <c r="E146" s="143"/>
      <c r="F146" s="143"/>
      <c r="G146" s="144"/>
      <c r="H146" s="145"/>
      <c r="I146" s="145"/>
      <c r="J146" s="145"/>
      <c r="K146" s="145"/>
      <c r="L146" s="145"/>
      <c r="M146" s="145"/>
      <c r="N146" s="145"/>
      <c r="O146" s="145"/>
      <c r="P146" s="145"/>
      <c r="Q146" s="145"/>
      <c r="R146" s="145"/>
      <c r="S146" s="145"/>
      <c r="T146" s="145"/>
      <c r="U146" s="459"/>
      <c r="V146" s="145"/>
      <c r="W146" s="145"/>
      <c r="X146" s="134"/>
      <c r="Z146" s="123"/>
      <c r="AA146" s="155"/>
      <c r="AB146" s="163"/>
      <c r="AC146" s="190"/>
      <c r="AD146" s="163"/>
      <c r="AE146" s="143"/>
      <c r="AF146" s="145"/>
      <c r="AG146" s="145"/>
      <c r="AH146" s="134"/>
      <c r="AI146" s="469"/>
      <c r="AJ146" s="213"/>
      <c r="AK146" s="163"/>
      <c r="AL146" s="469"/>
      <c r="AM146" s="145"/>
      <c r="AN146" s="458"/>
      <c r="AO146" s="150"/>
      <c r="AP146" s="151"/>
    </row>
    <row r="147" spans="1:42" ht="15.75">
      <c r="A147" s="160"/>
      <c r="B147" s="163"/>
      <c r="C147" s="145"/>
      <c r="D147" s="143"/>
      <c r="E147" s="143"/>
      <c r="F147" s="143"/>
      <c r="G147" s="144"/>
      <c r="H147" s="145"/>
      <c r="I147" s="145"/>
      <c r="J147" s="145"/>
      <c r="K147" s="145"/>
      <c r="L147" s="145"/>
      <c r="M147" s="145"/>
      <c r="N147" s="145"/>
      <c r="O147" s="145"/>
      <c r="P147" s="145"/>
      <c r="Q147" s="145"/>
      <c r="R147" s="145"/>
      <c r="S147" s="145"/>
      <c r="T147" s="145"/>
      <c r="U147" s="459"/>
      <c r="V147" s="145"/>
      <c r="W147" s="145"/>
      <c r="X147" s="134"/>
      <c r="Z147" s="123"/>
      <c r="AA147" s="155"/>
      <c r="AB147" s="163"/>
      <c r="AC147" s="190"/>
      <c r="AD147" s="163"/>
      <c r="AE147" s="143"/>
      <c r="AF147" s="145"/>
      <c r="AG147" s="145"/>
      <c r="AH147" s="134"/>
      <c r="AI147" s="469"/>
      <c r="AJ147" s="213"/>
      <c r="AK147" s="163"/>
      <c r="AL147" s="469"/>
      <c r="AM147" s="145"/>
      <c r="AN147" s="458"/>
      <c r="AO147" s="150"/>
      <c r="AP147" s="151"/>
    </row>
    <row r="148" spans="1:42" ht="15.75">
      <c r="A148" s="160"/>
      <c r="B148" s="163"/>
      <c r="C148" s="145"/>
      <c r="D148" s="143"/>
      <c r="E148" s="143"/>
      <c r="F148" s="143"/>
      <c r="G148" s="144"/>
      <c r="H148" s="145"/>
      <c r="I148" s="145"/>
      <c r="J148" s="145"/>
      <c r="K148" s="145"/>
      <c r="L148" s="145"/>
      <c r="M148" s="145"/>
      <c r="N148" s="145"/>
      <c r="O148" s="145"/>
      <c r="P148" s="145"/>
      <c r="Q148" s="145"/>
      <c r="R148" s="145"/>
      <c r="S148" s="145"/>
      <c r="T148" s="145"/>
      <c r="U148" s="459"/>
      <c r="V148" s="145"/>
      <c r="W148" s="145"/>
      <c r="X148" s="134"/>
      <c r="Z148" s="123"/>
      <c r="AA148" s="155"/>
      <c r="AB148" s="163"/>
      <c r="AC148" s="190"/>
      <c r="AD148" s="163"/>
      <c r="AE148" s="143"/>
      <c r="AF148" s="145"/>
      <c r="AG148" s="145"/>
      <c r="AH148" s="134"/>
      <c r="AI148" s="469"/>
      <c r="AJ148" s="213"/>
      <c r="AK148" s="163"/>
      <c r="AL148" s="469"/>
      <c r="AM148" s="145"/>
      <c r="AN148" s="458"/>
      <c r="AO148" s="150"/>
      <c r="AP148" s="151"/>
    </row>
    <row r="149" spans="1:42" ht="15.75">
      <c r="A149" s="160"/>
      <c r="B149" s="163"/>
      <c r="C149" s="145"/>
      <c r="D149" s="143"/>
      <c r="E149" s="143"/>
      <c r="F149" s="143"/>
      <c r="G149" s="144"/>
      <c r="H149" s="145"/>
      <c r="I149" s="145"/>
      <c r="J149" s="145"/>
      <c r="K149" s="145"/>
      <c r="L149" s="145"/>
      <c r="M149" s="145"/>
      <c r="N149" s="145"/>
      <c r="O149" s="145"/>
      <c r="P149" s="145"/>
      <c r="Q149" s="145"/>
      <c r="R149" s="145"/>
      <c r="S149" s="145"/>
      <c r="T149" s="145"/>
      <c r="U149" s="459"/>
      <c r="V149" s="145"/>
      <c r="W149" s="145"/>
      <c r="X149" s="134"/>
      <c r="Z149" s="123"/>
      <c r="AA149" s="155"/>
      <c r="AB149" s="163"/>
      <c r="AC149" s="190"/>
      <c r="AD149" s="163"/>
      <c r="AE149" s="143"/>
      <c r="AF149" s="145"/>
      <c r="AG149" s="145"/>
      <c r="AH149" s="134"/>
      <c r="AI149" s="469"/>
      <c r="AJ149" s="213"/>
      <c r="AK149" s="163"/>
      <c r="AL149" s="469"/>
      <c r="AM149" s="145"/>
      <c r="AN149" s="458"/>
      <c r="AO149" s="150"/>
      <c r="AP149" s="151"/>
    </row>
    <row r="150" spans="1:42" ht="15.75">
      <c r="A150" s="160"/>
      <c r="B150" s="163"/>
      <c r="C150" s="145"/>
      <c r="D150" s="143"/>
      <c r="E150" s="143"/>
      <c r="F150" s="143"/>
      <c r="G150" s="144"/>
      <c r="H150" s="145"/>
      <c r="I150" s="145"/>
      <c r="J150" s="145"/>
      <c r="K150" s="145"/>
      <c r="L150" s="145"/>
      <c r="M150" s="145"/>
      <c r="N150" s="145"/>
      <c r="O150" s="145"/>
      <c r="P150" s="145"/>
      <c r="Q150" s="145"/>
      <c r="R150" s="145"/>
      <c r="S150" s="145"/>
      <c r="T150" s="145"/>
      <c r="U150" s="459"/>
      <c r="V150" s="145"/>
      <c r="W150" s="145"/>
      <c r="X150" s="134"/>
      <c r="Z150" s="123"/>
      <c r="AA150" s="155"/>
      <c r="AB150" s="163"/>
      <c r="AC150" s="190"/>
      <c r="AD150" s="163"/>
      <c r="AE150" s="143"/>
      <c r="AF150" s="145"/>
      <c r="AG150" s="145"/>
      <c r="AH150" s="134"/>
      <c r="AI150" s="469"/>
      <c r="AJ150" s="213"/>
      <c r="AK150" s="163"/>
      <c r="AL150" s="469"/>
      <c r="AM150" s="145"/>
      <c r="AN150" s="458"/>
      <c r="AO150" s="150"/>
      <c r="AP150" s="151"/>
    </row>
    <row r="151" spans="1:42" ht="15.75">
      <c r="A151" s="160"/>
      <c r="B151" s="163"/>
      <c r="C151" s="145"/>
      <c r="D151" s="143"/>
      <c r="E151" s="143"/>
      <c r="F151" s="143"/>
      <c r="G151" s="144"/>
      <c r="H151" s="145"/>
      <c r="I151" s="145"/>
      <c r="J151" s="145"/>
      <c r="K151" s="145"/>
      <c r="L151" s="145"/>
      <c r="M151" s="145"/>
      <c r="N151" s="145"/>
      <c r="O151" s="145"/>
      <c r="P151" s="145"/>
      <c r="Q151" s="145"/>
      <c r="R151" s="145"/>
      <c r="S151" s="145"/>
      <c r="T151" s="145"/>
      <c r="U151" s="459"/>
      <c r="V151" s="145"/>
      <c r="W151" s="145"/>
      <c r="X151" s="134"/>
      <c r="Z151" s="123"/>
      <c r="AA151" s="155"/>
      <c r="AB151" s="163"/>
      <c r="AC151" s="190"/>
      <c r="AD151" s="163"/>
      <c r="AE151" s="143"/>
      <c r="AF151" s="145"/>
      <c r="AG151" s="145"/>
      <c r="AH151" s="134"/>
      <c r="AI151" s="469"/>
      <c r="AJ151" s="213"/>
      <c r="AK151" s="163"/>
      <c r="AL151" s="469"/>
      <c r="AM151" s="145"/>
      <c r="AN151" s="458"/>
      <c r="AO151" s="150"/>
      <c r="AP151" s="151"/>
    </row>
    <row r="152" spans="1:42" ht="15.75">
      <c r="A152" s="160"/>
      <c r="B152" s="163"/>
      <c r="C152" s="145"/>
      <c r="D152" s="143"/>
      <c r="E152" s="143"/>
      <c r="F152" s="143"/>
      <c r="G152" s="144"/>
      <c r="H152" s="145"/>
      <c r="I152" s="145"/>
      <c r="J152" s="145"/>
      <c r="K152" s="145"/>
      <c r="L152" s="145"/>
      <c r="M152" s="145"/>
      <c r="N152" s="145"/>
      <c r="O152" s="145"/>
      <c r="P152" s="145"/>
      <c r="Q152" s="145"/>
      <c r="R152" s="145"/>
      <c r="S152" s="145"/>
      <c r="T152" s="145"/>
      <c r="U152" s="459"/>
      <c r="V152" s="145"/>
      <c r="W152" s="145"/>
      <c r="X152" s="134"/>
      <c r="Z152" s="123"/>
      <c r="AA152" s="155"/>
      <c r="AB152" s="163"/>
      <c r="AC152" s="190"/>
      <c r="AD152" s="163"/>
      <c r="AE152" s="143"/>
      <c r="AF152" s="145"/>
      <c r="AG152" s="145"/>
      <c r="AH152" s="134"/>
      <c r="AI152" s="469"/>
      <c r="AJ152" s="213"/>
      <c r="AK152" s="163"/>
      <c r="AL152" s="469"/>
      <c r="AM152" s="145"/>
      <c r="AN152" s="458"/>
      <c r="AO152" s="150"/>
      <c r="AP152" s="151"/>
    </row>
    <row r="153" spans="1:42" ht="15.75">
      <c r="A153" s="160"/>
      <c r="B153" s="163"/>
      <c r="C153" s="145"/>
      <c r="D153" s="143"/>
      <c r="E153" s="143"/>
      <c r="F153" s="143"/>
      <c r="G153" s="144"/>
      <c r="H153" s="145"/>
      <c r="I153" s="145"/>
      <c r="J153" s="145"/>
      <c r="K153" s="145"/>
      <c r="L153" s="145"/>
      <c r="M153" s="145"/>
      <c r="N153" s="145"/>
      <c r="O153" s="145"/>
      <c r="P153" s="145"/>
      <c r="Q153" s="145"/>
      <c r="R153" s="145"/>
      <c r="S153" s="145"/>
      <c r="T153" s="145"/>
      <c r="U153" s="459"/>
      <c r="V153" s="145"/>
      <c r="W153" s="145"/>
      <c r="X153" s="134"/>
      <c r="Z153" s="123"/>
      <c r="AA153" s="155"/>
      <c r="AB153" s="163"/>
      <c r="AC153" s="190"/>
      <c r="AD153" s="163"/>
      <c r="AE153" s="143"/>
      <c r="AF153" s="145"/>
      <c r="AG153" s="145"/>
      <c r="AH153" s="134"/>
      <c r="AI153" s="469"/>
      <c r="AJ153" s="213"/>
      <c r="AK153" s="163"/>
      <c r="AL153" s="469"/>
      <c r="AM153" s="145"/>
      <c r="AN153" s="458"/>
      <c r="AO153" s="150"/>
      <c r="AP153" s="151"/>
    </row>
    <row r="154" spans="1:42" ht="15.75">
      <c r="A154" s="160"/>
      <c r="B154" s="163"/>
      <c r="C154" s="145"/>
      <c r="D154" s="143"/>
      <c r="E154" s="143"/>
      <c r="F154" s="143"/>
      <c r="G154" s="144"/>
      <c r="H154" s="145"/>
      <c r="I154" s="145"/>
      <c r="J154" s="145"/>
      <c r="K154" s="145"/>
      <c r="L154" s="145"/>
      <c r="M154" s="145"/>
      <c r="N154" s="145"/>
      <c r="O154" s="145"/>
      <c r="P154" s="145"/>
      <c r="Q154" s="145"/>
      <c r="R154" s="145"/>
      <c r="S154" s="145"/>
      <c r="T154" s="145"/>
      <c r="U154" s="459"/>
      <c r="V154" s="145"/>
      <c r="W154" s="145"/>
      <c r="X154" s="134"/>
      <c r="Z154" s="123"/>
      <c r="AA154" s="155"/>
      <c r="AB154" s="163"/>
      <c r="AC154" s="190"/>
      <c r="AD154" s="163"/>
      <c r="AE154" s="143"/>
      <c r="AF154" s="145"/>
      <c r="AG154" s="145"/>
      <c r="AH154" s="134"/>
      <c r="AI154" s="469"/>
      <c r="AJ154" s="213"/>
      <c r="AK154" s="163"/>
      <c r="AL154" s="469"/>
      <c r="AM154" s="145"/>
      <c r="AN154" s="458"/>
      <c r="AO154" s="150"/>
      <c r="AP154" s="151"/>
    </row>
    <row r="155" spans="1:42" ht="15.75">
      <c r="A155" s="160"/>
      <c r="B155" s="163"/>
      <c r="C155" s="145"/>
      <c r="D155" s="143"/>
      <c r="E155" s="143"/>
      <c r="F155" s="143"/>
      <c r="G155" s="144"/>
      <c r="H155" s="145"/>
      <c r="I155" s="145"/>
      <c r="J155" s="145"/>
      <c r="K155" s="145"/>
      <c r="L155" s="145"/>
      <c r="M155" s="145"/>
      <c r="N155" s="145"/>
      <c r="O155" s="145"/>
      <c r="P155" s="145"/>
      <c r="Q155" s="145"/>
      <c r="R155" s="145"/>
      <c r="S155" s="145"/>
      <c r="T155" s="145"/>
      <c r="U155" s="459"/>
      <c r="V155" s="145"/>
      <c r="W155" s="145"/>
      <c r="X155" s="134"/>
      <c r="Z155" s="123"/>
      <c r="AA155" s="155"/>
      <c r="AB155" s="163"/>
      <c r="AC155" s="190"/>
      <c r="AD155" s="163"/>
      <c r="AE155" s="143"/>
      <c r="AF155" s="145"/>
      <c r="AG155" s="145"/>
      <c r="AH155" s="134"/>
      <c r="AI155" s="469"/>
      <c r="AJ155" s="213"/>
      <c r="AK155" s="163"/>
      <c r="AL155" s="469"/>
      <c r="AM155" s="145"/>
      <c r="AN155" s="458"/>
      <c r="AO155" s="150"/>
      <c r="AP155" s="151"/>
    </row>
    <row r="156" spans="1:42" ht="15.75">
      <c r="A156" s="160"/>
      <c r="B156" s="163"/>
      <c r="C156" s="145"/>
      <c r="D156" s="143"/>
      <c r="E156" s="143"/>
      <c r="F156" s="143"/>
      <c r="G156" s="144"/>
      <c r="H156" s="145"/>
      <c r="I156" s="145"/>
      <c r="J156" s="145"/>
      <c r="K156" s="145"/>
      <c r="L156" s="145"/>
      <c r="M156" s="145"/>
      <c r="N156" s="145"/>
      <c r="O156" s="145"/>
      <c r="P156" s="145"/>
      <c r="Q156" s="145"/>
      <c r="R156" s="145"/>
      <c r="S156" s="145"/>
      <c r="T156" s="145"/>
      <c r="U156" s="459"/>
      <c r="V156" s="145"/>
      <c r="W156" s="145"/>
      <c r="X156" s="134"/>
      <c r="Z156" s="123"/>
      <c r="AA156" s="155"/>
      <c r="AB156" s="163"/>
      <c r="AC156" s="190"/>
      <c r="AD156" s="163"/>
      <c r="AE156" s="143"/>
      <c r="AF156" s="145"/>
      <c r="AG156" s="145"/>
      <c r="AH156" s="134"/>
      <c r="AI156" s="469"/>
      <c r="AJ156" s="213"/>
      <c r="AK156" s="163"/>
      <c r="AL156" s="469"/>
      <c r="AM156" s="145"/>
      <c r="AN156" s="458"/>
      <c r="AO156" s="150"/>
      <c r="AP156" s="151"/>
    </row>
    <row r="157" spans="1:42" ht="15.75">
      <c r="A157" s="160"/>
      <c r="B157" s="163"/>
      <c r="C157" s="145"/>
      <c r="D157" s="143"/>
      <c r="E157" s="143"/>
      <c r="F157" s="143"/>
      <c r="G157" s="144"/>
      <c r="H157" s="145"/>
      <c r="I157" s="145"/>
      <c r="J157" s="145"/>
      <c r="K157" s="145"/>
      <c r="L157" s="145"/>
      <c r="M157" s="145"/>
      <c r="N157" s="145"/>
      <c r="O157" s="145"/>
      <c r="P157" s="145"/>
      <c r="Q157" s="145"/>
      <c r="R157" s="145"/>
      <c r="S157" s="145"/>
      <c r="T157" s="145"/>
      <c r="U157" s="459"/>
      <c r="V157" s="145"/>
      <c r="W157" s="145"/>
      <c r="X157" s="134"/>
      <c r="Z157" s="123"/>
      <c r="AA157" s="155"/>
      <c r="AB157" s="163"/>
      <c r="AC157" s="190"/>
      <c r="AD157" s="163"/>
      <c r="AE157" s="143"/>
      <c r="AF157" s="145"/>
      <c r="AG157" s="145"/>
      <c r="AH157" s="134"/>
      <c r="AI157" s="469"/>
      <c r="AJ157" s="213"/>
      <c r="AK157" s="163"/>
      <c r="AL157" s="469"/>
      <c r="AM157" s="145"/>
      <c r="AN157" s="458"/>
      <c r="AO157" s="150"/>
      <c r="AP157" s="151"/>
    </row>
    <row r="158" spans="1:42" ht="15.75">
      <c r="A158" s="160"/>
      <c r="B158" s="163"/>
      <c r="C158" s="145"/>
      <c r="D158" s="143"/>
      <c r="E158" s="143"/>
      <c r="F158" s="143"/>
      <c r="G158" s="144"/>
      <c r="H158" s="145"/>
      <c r="I158" s="145"/>
      <c r="J158" s="145"/>
      <c r="K158" s="145"/>
      <c r="L158" s="145"/>
      <c r="M158" s="145"/>
      <c r="N158" s="145"/>
      <c r="O158" s="145"/>
      <c r="P158" s="145"/>
      <c r="Q158" s="145"/>
      <c r="R158" s="145"/>
      <c r="S158" s="145"/>
      <c r="T158" s="145"/>
      <c r="U158" s="459"/>
      <c r="V158" s="145"/>
      <c r="W158" s="145"/>
      <c r="X158" s="134"/>
      <c r="Z158" s="123"/>
      <c r="AA158" s="155"/>
      <c r="AB158" s="163"/>
      <c r="AC158" s="190"/>
      <c r="AD158" s="163"/>
      <c r="AE158" s="143"/>
      <c r="AF158" s="145"/>
      <c r="AG158" s="145"/>
      <c r="AH158" s="134"/>
      <c r="AI158" s="469"/>
      <c r="AJ158" s="213"/>
      <c r="AK158" s="163"/>
      <c r="AL158" s="469"/>
      <c r="AM158" s="145"/>
      <c r="AN158" s="458"/>
      <c r="AO158" s="150"/>
      <c r="AP158" s="151"/>
    </row>
    <row r="159" spans="1:42" ht="15.75">
      <c r="A159" s="160"/>
      <c r="B159" s="163"/>
      <c r="C159" s="145"/>
      <c r="D159" s="143"/>
      <c r="E159" s="143"/>
      <c r="F159" s="143"/>
      <c r="G159" s="144"/>
      <c r="H159" s="145"/>
      <c r="I159" s="145"/>
      <c r="J159" s="145"/>
      <c r="K159" s="145"/>
      <c r="L159" s="145"/>
      <c r="M159" s="145"/>
      <c r="N159" s="145"/>
      <c r="O159" s="145"/>
      <c r="P159" s="145"/>
      <c r="Q159" s="145"/>
      <c r="R159" s="145"/>
      <c r="S159" s="145"/>
      <c r="T159" s="145"/>
      <c r="U159" s="459"/>
      <c r="V159" s="145"/>
      <c r="W159" s="145"/>
      <c r="X159" s="134"/>
      <c r="Z159" s="123"/>
      <c r="AA159" s="155"/>
      <c r="AB159" s="163"/>
      <c r="AC159" s="190"/>
      <c r="AD159" s="163"/>
      <c r="AE159" s="143"/>
      <c r="AF159" s="145"/>
      <c r="AG159" s="145"/>
      <c r="AH159" s="134"/>
      <c r="AI159" s="469"/>
      <c r="AJ159" s="213"/>
      <c r="AK159" s="163"/>
      <c r="AL159" s="469"/>
      <c r="AM159" s="145"/>
      <c r="AN159" s="458"/>
      <c r="AO159" s="150"/>
      <c r="AP159" s="151"/>
    </row>
    <row r="160" spans="1:42" ht="15.75">
      <c r="A160" s="160"/>
      <c r="B160" s="163"/>
      <c r="C160" s="145"/>
      <c r="D160" s="143"/>
      <c r="E160" s="143"/>
      <c r="F160" s="143"/>
      <c r="G160" s="144"/>
      <c r="H160" s="145"/>
      <c r="I160" s="145"/>
      <c r="J160" s="145"/>
      <c r="K160" s="145"/>
      <c r="L160" s="145"/>
      <c r="M160" s="145"/>
      <c r="N160" s="145"/>
      <c r="O160" s="145"/>
      <c r="P160" s="145"/>
      <c r="Q160" s="145"/>
      <c r="R160" s="145"/>
      <c r="S160" s="145"/>
      <c r="T160" s="145"/>
      <c r="U160" s="459"/>
      <c r="V160" s="145"/>
      <c r="W160" s="145"/>
      <c r="X160" s="134"/>
      <c r="Z160" s="123"/>
      <c r="AA160" s="155"/>
      <c r="AB160" s="163"/>
      <c r="AC160" s="190"/>
      <c r="AD160" s="163"/>
      <c r="AE160" s="143"/>
      <c r="AF160" s="145"/>
      <c r="AG160" s="145"/>
      <c r="AH160" s="134"/>
      <c r="AI160" s="469"/>
      <c r="AJ160" s="213"/>
      <c r="AK160" s="163"/>
      <c r="AL160" s="469"/>
      <c r="AM160" s="145"/>
      <c r="AN160" s="458"/>
      <c r="AO160" s="150"/>
      <c r="AP160" s="151"/>
    </row>
    <row r="161" spans="1:42" ht="15.75">
      <c r="A161" s="160"/>
      <c r="B161" s="163"/>
      <c r="C161" s="145"/>
      <c r="D161" s="143"/>
      <c r="E161" s="143"/>
      <c r="F161" s="143"/>
      <c r="G161" s="144"/>
      <c r="H161" s="145"/>
      <c r="I161" s="145"/>
      <c r="J161" s="145"/>
      <c r="K161" s="145"/>
      <c r="L161" s="145"/>
      <c r="M161" s="145"/>
      <c r="N161" s="145"/>
      <c r="O161" s="145"/>
      <c r="P161" s="145"/>
      <c r="Q161" s="145"/>
      <c r="R161" s="145"/>
      <c r="S161" s="145"/>
      <c r="T161" s="145"/>
      <c r="U161" s="459"/>
      <c r="V161" s="145"/>
      <c r="W161" s="145"/>
      <c r="X161" s="134"/>
      <c r="Z161" s="123"/>
      <c r="AA161" s="155"/>
      <c r="AB161" s="163"/>
      <c r="AC161" s="190"/>
      <c r="AD161" s="163"/>
      <c r="AE161" s="143"/>
      <c r="AF161" s="145"/>
      <c r="AG161" s="145"/>
      <c r="AH161" s="134"/>
      <c r="AI161" s="469"/>
      <c r="AJ161" s="213"/>
      <c r="AK161" s="163"/>
      <c r="AL161" s="469"/>
      <c r="AM161" s="145"/>
      <c r="AN161" s="458"/>
      <c r="AO161" s="150"/>
      <c r="AP161" s="151"/>
    </row>
    <row r="162" spans="1:42" ht="15.75">
      <c r="A162" s="160"/>
      <c r="B162" s="163"/>
      <c r="C162" s="145"/>
      <c r="D162" s="143"/>
      <c r="E162" s="143"/>
      <c r="F162" s="143"/>
      <c r="G162" s="144"/>
      <c r="H162" s="145"/>
      <c r="I162" s="145"/>
      <c r="J162" s="145"/>
      <c r="K162" s="145"/>
      <c r="L162" s="145"/>
      <c r="M162" s="145"/>
      <c r="N162" s="145"/>
      <c r="O162" s="145"/>
      <c r="P162" s="145"/>
      <c r="Q162" s="145"/>
      <c r="R162" s="145"/>
      <c r="S162" s="145"/>
      <c r="T162" s="145"/>
      <c r="U162" s="459"/>
      <c r="V162" s="145"/>
      <c r="W162" s="145"/>
      <c r="X162" s="134"/>
      <c r="Z162" s="123"/>
      <c r="AA162" s="155"/>
      <c r="AB162" s="163"/>
      <c r="AC162" s="190"/>
      <c r="AD162" s="163"/>
      <c r="AE162" s="143"/>
      <c r="AF162" s="145"/>
      <c r="AG162" s="145"/>
      <c r="AH162" s="134"/>
      <c r="AI162" s="469"/>
      <c r="AJ162" s="213"/>
      <c r="AK162" s="163"/>
      <c r="AL162" s="469"/>
      <c r="AM162" s="145"/>
      <c r="AN162" s="458"/>
      <c r="AO162" s="150"/>
      <c r="AP162" s="151"/>
    </row>
    <row r="163" spans="1:42" ht="15.75">
      <c r="A163" s="160"/>
      <c r="B163" s="163"/>
      <c r="C163" s="145"/>
      <c r="D163" s="143"/>
      <c r="E163" s="143"/>
      <c r="F163" s="143"/>
      <c r="G163" s="144"/>
      <c r="H163" s="145"/>
      <c r="I163" s="145"/>
      <c r="J163" s="145"/>
      <c r="K163" s="145"/>
      <c r="L163" s="145"/>
      <c r="M163" s="145"/>
      <c r="N163" s="145"/>
      <c r="O163" s="145"/>
      <c r="P163" s="145"/>
      <c r="Q163" s="145"/>
      <c r="R163" s="145"/>
      <c r="S163" s="145"/>
      <c r="T163" s="145"/>
      <c r="U163" s="459"/>
      <c r="V163" s="145"/>
      <c r="W163" s="145"/>
      <c r="X163" s="134"/>
      <c r="Z163" s="123"/>
      <c r="AA163" s="155"/>
      <c r="AB163" s="163"/>
      <c r="AC163" s="190"/>
      <c r="AD163" s="163"/>
      <c r="AE163" s="143"/>
      <c r="AF163" s="145"/>
      <c r="AG163" s="145"/>
      <c r="AH163" s="134"/>
      <c r="AI163" s="469"/>
      <c r="AJ163" s="213"/>
      <c r="AK163" s="163"/>
      <c r="AL163" s="469"/>
      <c r="AM163" s="145"/>
      <c r="AN163" s="458"/>
      <c r="AO163" s="150"/>
      <c r="AP163" s="151"/>
    </row>
    <row r="164" spans="1:42" ht="15.75">
      <c r="A164" s="160"/>
      <c r="B164" s="163"/>
      <c r="C164" s="145"/>
      <c r="D164" s="143"/>
      <c r="E164" s="143"/>
      <c r="F164" s="143"/>
      <c r="G164" s="144"/>
      <c r="H164" s="145"/>
      <c r="I164" s="145"/>
      <c r="J164" s="145"/>
      <c r="K164" s="145"/>
      <c r="L164" s="145"/>
      <c r="M164" s="145"/>
      <c r="N164" s="145"/>
      <c r="O164" s="145"/>
      <c r="P164" s="145"/>
      <c r="Q164" s="145"/>
      <c r="R164" s="145"/>
      <c r="S164" s="145"/>
      <c r="T164" s="145"/>
      <c r="U164" s="459"/>
      <c r="V164" s="145"/>
      <c r="W164" s="145"/>
      <c r="X164" s="134"/>
      <c r="Z164" s="123"/>
      <c r="AA164" s="155"/>
      <c r="AB164" s="163"/>
      <c r="AC164" s="190"/>
      <c r="AD164" s="163"/>
      <c r="AE164" s="143"/>
      <c r="AF164" s="145"/>
      <c r="AG164" s="145"/>
      <c r="AH164" s="134"/>
      <c r="AI164" s="469"/>
      <c r="AJ164" s="213"/>
      <c r="AK164" s="163"/>
      <c r="AL164" s="469"/>
      <c r="AM164" s="145"/>
      <c r="AN164" s="458"/>
      <c r="AO164" s="150"/>
      <c r="AP164" s="151"/>
    </row>
    <row r="165" spans="1:42" ht="15.75">
      <c r="A165" s="160"/>
      <c r="B165" s="163"/>
      <c r="C165" s="145"/>
      <c r="D165" s="143"/>
      <c r="E165" s="143"/>
      <c r="F165" s="143"/>
      <c r="G165" s="144"/>
      <c r="H165" s="145"/>
      <c r="I165" s="145"/>
      <c r="J165" s="145"/>
      <c r="K165" s="145"/>
      <c r="L165" s="145"/>
      <c r="M165" s="145"/>
      <c r="N165" s="145"/>
      <c r="O165" s="145"/>
      <c r="P165" s="145"/>
      <c r="Q165" s="145"/>
      <c r="R165" s="145"/>
      <c r="S165" s="145"/>
      <c r="T165" s="145"/>
      <c r="U165" s="459"/>
      <c r="V165" s="145"/>
      <c r="W165" s="145"/>
      <c r="X165" s="134"/>
      <c r="Z165" s="123"/>
      <c r="AA165" s="155"/>
      <c r="AB165" s="163"/>
      <c r="AC165" s="190"/>
      <c r="AD165" s="163"/>
      <c r="AE165" s="143"/>
      <c r="AF165" s="145"/>
      <c r="AG165" s="145"/>
      <c r="AH165" s="134"/>
      <c r="AI165" s="469"/>
      <c r="AJ165" s="213"/>
      <c r="AK165" s="163"/>
      <c r="AL165" s="469"/>
      <c r="AM165" s="145"/>
      <c r="AN165" s="458"/>
      <c r="AO165" s="150"/>
      <c r="AP165" s="151"/>
    </row>
    <row r="166" spans="1:42" ht="15.75">
      <c r="A166" s="160"/>
      <c r="B166" s="163"/>
      <c r="C166" s="145"/>
      <c r="D166" s="143"/>
      <c r="E166" s="143"/>
      <c r="F166" s="143"/>
      <c r="G166" s="144"/>
      <c r="H166" s="145"/>
      <c r="I166" s="145"/>
      <c r="J166" s="145"/>
      <c r="K166" s="145"/>
      <c r="L166" s="145"/>
      <c r="M166" s="145"/>
      <c r="N166" s="145"/>
      <c r="O166" s="145"/>
      <c r="P166" s="145"/>
      <c r="Q166" s="145"/>
      <c r="R166" s="145"/>
      <c r="S166" s="145"/>
      <c r="T166" s="145"/>
      <c r="U166" s="459"/>
      <c r="V166" s="145"/>
      <c r="W166" s="145"/>
      <c r="X166" s="134"/>
      <c r="Z166" s="123"/>
      <c r="AA166" s="155"/>
      <c r="AB166" s="163"/>
      <c r="AC166" s="190"/>
      <c r="AD166" s="163"/>
      <c r="AE166" s="143"/>
      <c r="AF166" s="145"/>
      <c r="AG166" s="145"/>
      <c r="AH166" s="134"/>
      <c r="AI166" s="469"/>
      <c r="AJ166" s="213"/>
      <c r="AK166" s="163"/>
      <c r="AL166" s="469"/>
      <c r="AM166" s="145"/>
      <c r="AN166" s="458"/>
      <c r="AO166" s="150"/>
      <c r="AP166" s="151"/>
    </row>
    <row r="167" spans="1:42" ht="15.75">
      <c r="A167" s="160"/>
      <c r="B167" s="163"/>
      <c r="C167" s="145"/>
      <c r="D167" s="143"/>
      <c r="E167" s="143"/>
      <c r="F167" s="143"/>
      <c r="G167" s="144"/>
      <c r="H167" s="145"/>
      <c r="I167" s="145"/>
      <c r="J167" s="145"/>
      <c r="K167" s="145"/>
      <c r="L167" s="145"/>
      <c r="M167" s="145"/>
      <c r="N167" s="145"/>
      <c r="O167" s="145"/>
      <c r="P167" s="145"/>
      <c r="Q167" s="145"/>
      <c r="R167" s="145"/>
      <c r="S167" s="145"/>
      <c r="T167" s="145"/>
      <c r="U167" s="459"/>
      <c r="V167" s="145"/>
      <c r="W167" s="145"/>
      <c r="X167" s="134"/>
      <c r="Z167" s="123"/>
      <c r="AA167" s="155"/>
      <c r="AB167" s="163"/>
      <c r="AC167" s="190"/>
      <c r="AD167" s="163"/>
      <c r="AE167" s="143"/>
      <c r="AF167" s="145"/>
      <c r="AG167" s="145"/>
      <c r="AH167" s="134"/>
      <c r="AI167" s="469"/>
      <c r="AJ167" s="213"/>
      <c r="AK167" s="163"/>
      <c r="AL167" s="469"/>
      <c r="AM167" s="145"/>
      <c r="AN167" s="458"/>
      <c r="AO167" s="150"/>
      <c r="AP167" s="151"/>
    </row>
    <row r="168" spans="1:42" ht="15.75">
      <c r="A168" s="160"/>
      <c r="B168" s="163"/>
      <c r="C168" s="145"/>
      <c r="D168" s="143"/>
      <c r="E168" s="143"/>
      <c r="F168" s="143"/>
      <c r="G168" s="144"/>
      <c r="H168" s="145"/>
      <c r="I168" s="145"/>
      <c r="J168" s="145"/>
      <c r="K168" s="145"/>
      <c r="L168" s="145"/>
      <c r="M168" s="145"/>
      <c r="N168" s="145"/>
      <c r="O168" s="145"/>
      <c r="P168" s="145"/>
      <c r="Q168" s="145"/>
      <c r="R168" s="145"/>
      <c r="S168" s="145"/>
      <c r="T168" s="145"/>
      <c r="U168" s="459"/>
      <c r="V168" s="145"/>
      <c r="W168" s="145"/>
      <c r="X168" s="134"/>
      <c r="Z168" s="123"/>
      <c r="AA168" s="155"/>
      <c r="AB168" s="163"/>
      <c r="AC168" s="190"/>
      <c r="AD168" s="163"/>
      <c r="AE168" s="143"/>
      <c r="AF168" s="145"/>
      <c r="AG168" s="145"/>
      <c r="AH168" s="134"/>
      <c r="AI168" s="469"/>
      <c r="AJ168" s="213"/>
      <c r="AK168" s="163"/>
      <c r="AL168" s="469"/>
      <c r="AM168" s="145"/>
      <c r="AN168" s="458"/>
      <c r="AO168" s="150"/>
      <c r="AP168" s="151"/>
    </row>
    <row r="169" spans="1:42" ht="15.75">
      <c r="A169" s="160"/>
      <c r="B169" s="163"/>
      <c r="C169" s="145"/>
      <c r="D169" s="143"/>
      <c r="E169" s="143"/>
      <c r="F169" s="143"/>
      <c r="G169" s="144"/>
      <c r="H169" s="145"/>
      <c r="I169" s="145"/>
      <c r="J169" s="145"/>
      <c r="K169" s="145"/>
      <c r="L169" s="145"/>
      <c r="M169" s="145"/>
      <c r="N169" s="145"/>
      <c r="O169" s="145"/>
      <c r="P169" s="145"/>
      <c r="Q169" s="145"/>
      <c r="R169" s="145"/>
      <c r="S169" s="145"/>
      <c r="T169" s="145"/>
      <c r="U169" s="459"/>
      <c r="V169" s="145"/>
      <c r="W169" s="145"/>
      <c r="X169" s="134"/>
      <c r="Z169" s="123"/>
      <c r="AA169" s="155"/>
      <c r="AB169" s="163"/>
      <c r="AC169" s="190"/>
      <c r="AD169" s="163"/>
      <c r="AE169" s="143"/>
      <c r="AF169" s="145"/>
      <c r="AG169" s="145"/>
      <c r="AH169" s="134"/>
      <c r="AI169" s="469"/>
      <c r="AJ169" s="213"/>
      <c r="AK169" s="163"/>
      <c r="AL169" s="469"/>
      <c r="AM169" s="145"/>
      <c r="AN169" s="458"/>
      <c r="AO169" s="150"/>
      <c r="AP169" s="151"/>
    </row>
    <row r="170" spans="1:42" ht="15.75">
      <c r="A170" s="160"/>
      <c r="B170" s="163"/>
      <c r="C170" s="145"/>
      <c r="D170" s="143"/>
      <c r="E170" s="143"/>
      <c r="F170" s="143"/>
      <c r="G170" s="144"/>
      <c r="H170" s="145"/>
      <c r="I170" s="145"/>
      <c r="J170" s="145"/>
      <c r="K170" s="145"/>
      <c r="L170" s="145"/>
      <c r="M170" s="145"/>
      <c r="N170" s="145"/>
      <c r="O170" s="145"/>
      <c r="P170" s="145"/>
      <c r="Q170" s="145"/>
      <c r="R170" s="145"/>
      <c r="S170" s="145"/>
      <c r="T170" s="145"/>
      <c r="U170" s="459"/>
      <c r="V170" s="145"/>
      <c r="W170" s="145"/>
      <c r="X170" s="134"/>
      <c r="Z170" s="123"/>
      <c r="AA170" s="155"/>
      <c r="AB170" s="163"/>
      <c r="AC170" s="190"/>
      <c r="AD170" s="163"/>
      <c r="AE170" s="143"/>
      <c r="AF170" s="145"/>
      <c r="AG170" s="145"/>
      <c r="AH170" s="134"/>
      <c r="AI170" s="469"/>
      <c r="AJ170" s="213"/>
      <c r="AK170" s="163"/>
      <c r="AL170" s="469"/>
      <c r="AM170" s="145"/>
      <c r="AN170" s="458"/>
      <c r="AO170" s="150"/>
      <c r="AP170" s="151"/>
    </row>
    <row r="171" spans="1:42" ht="15.75">
      <c r="A171" s="160"/>
      <c r="B171" s="163"/>
      <c r="C171" s="145"/>
      <c r="D171" s="143"/>
      <c r="E171" s="143"/>
      <c r="F171" s="143"/>
      <c r="G171" s="144"/>
      <c r="H171" s="145"/>
      <c r="I171" s="145"/>
      <c r="J171" s="145"/>
      <c r="K171" s="145"/>
      <c r="L171" s="145"/>
      <c r="M171" s="145"/>
      <c r="N171" s="145"/>
      <c r="O171" s="145"/>
      <c r="P171" s="145"/>
      <c r="Q171" s="145"/>
      <c r="R171" s="145"/>
      <c r="S171" s="145"/>
      <c r="T171" s="145"/>
      <c r="U171" s="459"/>
      <c r="V171" s="145"/>
      <c r="W171" s="145"/>
      <c r="X171" s="134"/>
      <c r="Z171" s="123"/>
      <c r="AA171" s="155"/>
      <c r="AB171" s="163"/>
      <c r="AC171" s="190"/>
      <c r="AD171" s="163"/>
      <c r="AE171" s="143"/>
      <c r="AF171" s="145"/>
      <c r="AG171" s="145"/>
      <c r="AH171" s="134"/>
      <c r="AI171" s="469"/>
      <c r="AJ171" s="213"/>
      <c r="AK171" s="163"/>
      <c r="AL171" s="469"/>
      <c r="AM171" s="145"/>
      <c r="AN171" s="458"/>
      <c r="AO171" s="150"/>
      <c r="AP171" s="151"/>
    </row>
    <row r="172" spans="1:42" ht="15.75">
      <c r="A172" s="160"/>
      <c r="B172" s="163"/>
      <c r="C172" s="145"/>
      <c r="D172" s="143"/>
      <c r="E172" s="143"/>
      <c r="F172" s="143"/>
      <c r="G172" s="144"/>
      <c r="H172" s="145"/>
      <c r="I172" s="145"/>
      <c r="J172" s="145"/>
      <c r="K172" s="145"/>
      <c r="L172" s="145"/>
      <c r="M172" s="145"/>
      <c r="N172" s="145"/>
      <c r="O172" s="145"/>
      <c r="P172" s="145"/>
      <c r="Q172" s="145"/>
      <c r="R172" s="145"/>
      <c r="S172" s="145"/>
      <c r="T172" s="145"/>
      <c r="U172" s="459"/>
      <c r="V172" s="145"/>
      <c r="W172" s="145"/>
      <c r="X172" s="134"/>
      <c r="Z172" s="123"/>
      <c r="AA172" s="155"/>
      <c r="AB172" s="163"/>
      <c r="AC172" s="190"/>
      <c r="AD172" s="163"/>
      <c r="AE172" s="143"/>
      <c r="AF172" s="145"/>
      <c r="AG172" s="145"/>
      <c r="AH172" s="134"/>
      <c r="AI172" s="469"/>
      <c r="AJ172" s="213"/>
      <c r="AK172" s="163"/>
      <c r="AL172" s="469"/>
      <c r="AM172" s="145"/>
      <c r="AN172" s="458"/>
      <c r="AO172" s="150"/>
      <c r="AP172" s="151"/>
    </row>
    <row r="173" spans="1:42" ht="15.75">
      <c r="A173" s="160"/>
      <c r="B173" s="163"/>
      <c r="C173" s="145"/>
      <c r="D173" s="143"/>
      <c r="E173" s="143"/>
      <c r="F173" s="143"/>
      <c r="G173" s="144"/>
      <c r="H173" s="145"/>
      <c r="I173" s="145"/>
      <c r="J173" s="145"/>
      <c r="K173" s="145"/>
      <c r="L173" s="145"/>
      <c r="M173" s="145"/>
      <c r="N173" s="145"/>
      <c r="O173" s="145"/>
      <c r="P173" s="145"/>
      <c r="Q173" s="145"/>
      <c r="R173" s="145"/>
      <c r="S173" s="145"/>
      <c r="T173" s="145"/>
      <c r="U173" s="459"/>
      <c r="V173" s="145"/>
      <c r="W173" s="145"/>
      <c r="X173" s="134"/>
      <c r="Z173" s="123"/>
      <c r="AA173" s="155"/>
      <c r="AB173" s="163"/>
      <c r="AC173" s="190"/>
      <c r="AD173" s="163"/>
      <c r="AE173" s="143"/>
      <c r="AF173" s="145"/>
      <c r="AG173" s="145"/>
      <c r="AH173" s="134"/>
      <c r="AI173" s="469"/>
      <c r="AJ173" s="213"/>
      <c r="AK173" s="163"/>
      <c r="AL173" s="469"/>
      <c r="AM173" s="145"/>
      <c r="AN173" s="458"/>
      <c r="AO173" s="150"/>
      <c r="AP173" s="151"/>
    </row>
    <row r="174" spans="1:42" ht="15.75">
      <c r="A174" s="160"/>
      <c r="B174" s="163"/>
      <c r="C174" s="145"/>
      <c r="D174" s="143"/>
      <c r="E174" s="143"/>
      <c r="F174" s="143"/>
      <c r="G174" s="144"/>
      <c r="H174" s="145"/>
      <c r="I174" s="145"/>
      <c r="J174" s="145"/>
      <c r="K174" s="145"/>
      <c r="L174" s="145"/>
      <c r="M174" s="145"/>
      <c r="N174" s="145"/>
      <c r="O174" s="145"/>
      <c r="P174" s="145"/>
      <c r="Q174" s="145"/>
      <c r="R174" s="145"/>
      <c r="S174" s="145"/>
      <c r="T174" s="145"/>
      <c r="U174" s="459"/>
      <c r="V174" s="145"/>
      <c r="W174" s="145"/>
      <c r="X174" s="134"/>
      <c r="Z174" s="123"/>
      <c r="AA174" s="155"/>
      <c r="AB174" s="163"/>
      <c r="AC174" s="190"/>
      <c r="AD174" s="163"/>
      <c r="AE174" s="143"/>
      <c r="AF174" s="145"/>
      <c r="AG174" s="145"/>
      <c r="AH174" s="134"/>
      <c r="AI174" s="469"/>
      <c r="AJ174" s="213"/>
      <c r="AK174" s="163"/>
      <c r="AL174" s="469"/>
      <c r="AM174" s="145"/>
      <c r="AN174" s="458"/>
      <c r="AO174" s="150"/>
      <c r="AP174" s="151"/>
    </row>
    <row r="175" spans="1:42" ht="15.75">
      <c r="A175" s="160"/>
      <c r="B175" s="163"/>
      <c r="C175" s="145"/>
      <c r="D175" s="143"/>
      <c r="E175" s="143"/>
      <c r="F175" s="143"/>
      <c r="G175" s="144"/>
      <c r="H175" s="145"/>
      <c r="I175" s="145"/>
      <c r="J175" s="145"/>
      <c r="K175" s="145"/>
      <c r="L175" s="145"/>
      <c r="M175" s="145"/>
      <c r="N175" s="145"/>
      <c r="O175" s="145"/>
      <c r="P175" s="145"/>
      <c r="Q175" s="145"/>
      <c r="R175" s="145"/>
      <c r="S175" s="145"/>
      <c r="T175" s="145"/>
      <c r="U175" s="459"/>
      <c r="V175" s="145"/>
      <c r="W175" s="145"/>
      <c r="X175" s="134"/>
      <c r="Z175" s="123"/>
      <c r="AA175" s="155"/>
      <c r="AB175" s="163"/>
      <c r="AC175" s="190"/>
      <c r="AD175" s="163"/>
      <c r="AE175" s="143"/>
      <c r="AF175" s="145"/>
      <c r="AG175" s="145"/>
      <c r="AH175" s="134"/>
      <c r="AI175" s="469"/>
      <c r="AJ175" s="213"/>
      <c r="AK175" s="163"/>
      <c r="AL175" s="469"/>
      <c r="AM175" s="145"/>
      <c r="AN175" s="458"/>
      <c r="AO175" s="150"/>
      <c r="AP175" s="151"/>
    </row>
    <row r="176" spans="1:42" ht="15.75">
      <c r="A176" s="160"/>
      <c r="B176" s="163"/>
      <c r="C176" s="145"/>
      <c r="D176" s="143"/>
      <c r="E176" s="143"/>
      <c r="F176" s="143"/>
      <c r="G176" s="144"/>
      <c r="H176" s="145"/>
      <c r="I176" s="145"/>
      <c r="J176" s="145"/>
      <c r="K176" s="145"/>
      <c r="L176" s="145"/>
      <c r="M176" s="145"/>
      <c r="N176" s="145"/>
      <c r="O176" s="145"/>
      <c r="P176" s="145"/>
      <c r="Q176" s="145"/>
      <c r="R176" s="145"/>
      <c r="S176" s="145"/>
      <c r="T176" s="145"/>
      <c r="U176" s="459"/>
      <c r="V176" s="145"/>
      <c r="W176" s="145"/>
      <c r="X176" s="134"/>
      <c r="Z176" s="123"/>
      <c r="AA176" s="155"/>
      <c r="AB176" s="163"/>
      <c r="AC176" s="190"/>
      <c r="AD176" s="163"/>
      <c r="AE176" s="143"/>
      <c r="AF176" s="145"/>
      <c r="AG176" s="145"/>
      <c r="AH176" s="134"/>
      <c r="AI176" s="469"/>
      <c r="AJ176" s="213"/>
      <c r="AK176" s="163"/>
      <c r="AL176" s="469"/>
      <c r="AM176" s="145"/>
      <c r="AN176" s="458"/>
      <c r="AO176" s="150"/>
      <c r="AP176" s="151"/>
    </row>
    <row r="177" spans="1:42" ht="15.75">
      <c r="A177" s="160"/>
      <c r="B177" s="163"/>
      <c r="C177" s="145"/>
      <c r="D177" s="143"/>
      <c r="E177" s="143"/>
      <c r="F177" s="143"/>
      <c r="G177" s="144"/>
      <c r="H177" s="145"/>
      <c r="I177" s="145"/>
      <c r="J177" s="145"/>
      <c r="K177" s="145"/>
      <c r="L177" s="145"/>
      <c r="M177" s="145"/>
      <c r="N177" s="145"/>
      <c r="O177" s="145"/>
      <c r="P177" s="145"/>
      <c r="Q177" s="145"/>
      <c r="R177" s="145"/>
      <c r="S177" s="145"/>
      <c r="T177" s="145"/>
      <c r="U177" s="459"/>
      <c r="V177" s="145"/>
      <c r="W177" s="145"/>
      <c r="X177" s="134"/>
      <c r="Z177" s="123"/>
      <c r="AA177" s="155"/>
      <c r="AB177" s="163"/>
      <c r="AC177" s="190"/>
      <c r="AD177" s="163"/>
      <c r="AE177" s="143"/>
      <c r="AF177" s="145"/>
      <c r="AG177" s="145"/>
      <c r="AH177" s="134"/>
      <c r="AI177" s="469"/>
      <c r="AJ177" s="213"/>
      <c r="AK177" s="163"/>
      <c r="AL177" s="469"/>
      <c r="AM177" s="145"/>
      <c r="AN177" s="458"/>
      <c r="AO177" s="150"/>
      <c r="AP177" s="151"/>
    </row>
    <row r="178" spans="1:42" ht="15.75">
      <c r="A178" s="160"/>
      <c r="B178" s="163"/>
      <c r="C178" s="145"/>
      <c r="D178" s="143"/>
      <c r="E178" s="143"/>
      <c r="F178" s="143"/>
      <c r="G178" s="144"/>
      <c r="H178" s="145"/>
      <c r="I178" s="145"/>
      <c r="J178" s="145"/>
      <c r="K178" s="145"/>
      <c r="L178" s="145"/>
      <c r="M178" s="145"/>
      <c r="N178" s="145"/>
      <c r="O178" s="145"/>
      <c r="P178" s="145"/>
      <c r="Q178" s="145"/>
      <c r="R178" s="145"/>
      <c r="S178" s="145"/>
      <c r="T178" s="145"/>
      <c r="U178" s="459"/>
      <c r="V178" s="145"/>
      <c r="W178" s="145"/>
      <c r="X178" s="134"/>
      <c r="Z178" s="123"/>
      <c r="AA178" s="155"/>
      <c r="AB178" s="163"/>
      <c r="AC178" s="190"/>
      <c r="AD178" s="163"/>
      <c r="AE178" s="143"/>
      <c r="AF178" s="145"/>
      <c r="AG178" s="145"/>
      <c r="AH178" s="134"/>
      <c r="AI178" s="469"/>
      <c r="AJ178" s="213"/>
      <c r="AK178" s="163"/>
      <c r="AL178" s="469"/>
      <c r="AM178" s="145"/>
      <c r="AN178" s="458"/>
      <c r="AO178" s="150"/>
      <c r="AP178" s="151"/>
    </row>
    <row r="179" spans="1:42" ht="15.75">
      <c r="A179" s="160"/>
      <c r="B179" s="163"/>
      <c r="C179" s="145"/>
      <c r="D179" s="143"/>
      <c r="E179" s="143"/>
      <c r="F179" s="143"/>
      <c r="G179" s="144"/>
      <c r="H179" s="145"/>
      <c r="I179" s="145"/>
      <c r="J179" s="145"/>
      <c r="K179" s="145"/>
      <c r="L179" s="145"/>
      <c r="M179" s="145"/>
      <c r="N179" s="145"/>
      <c r="O179" s="145"/>
      <c r="P179" s="145"/>
      <c r="Q179" s="145"/>
      <c r="R179" s="145"/>
      <c r="S179" s="145"/>
      <c r="T179" s="145"/>
      <c r="U179" s="459"/>
      <c r="V179" s="145"/>
      <c r="W179" s="145"/>
      <c r="X179" s="134"/>
      <c r="Z179" s="123"/>
      <c r="AA179" s="155"/>
      <c r="AB179" s="163"/>
      <c r="AC179" s="190"/>
      <c r="AD179" s="163"/>
      <c r="AE179" s="143"/>
      <c r="AF179" s="145"/>
      <c r="AG179" s="145"/>
      <c r="AH179" s="134"/>
      <c r="AI179" s="469"/>
      <c r="AJ179" s="213"/>
      <c r="AK179" s="163"/>
      <c r="AL179" s="469"/>
      <c r="AM179" s="145"/>
      <c r="AN179" s="458"/>
      <c r="AO179" s="150"/>
      <c r="AP179" s="151"/>
    </row>
    <row r="180" spans="1:42" ht="15.75">
      <c r="A180" s="160"/>
      <c r="B180" s="163"/>
      <c r="C180" s="145"/>
      <c r="D180" s="143"/>
      <c r="E180" s="143"/>
      <c r="F180" s="143"/>
      <c r="G180" s="144"/>
      <c r="H180" s="145"/>
      <c r="I180" s="145"/>
      <c r="J180" s="145"/>
      <c r="K180" s="145"/>
      <c r="L180" s="145"/>
      <c r="M180" s="145"/>
      <c r="N180" s="145"/>
      <c r="O180" s="145"/>
      <c r="P180" s="145"/>
      <c r="Q180" s="145"/>
      <c r="R180" s="145"/>
      <c r="S180" s="145"/>
      <c r="T180" s="145"/>
      <c r="U180" s="459"/>
      <c r="V180" s="145"/>
      <c r="W180" s="145"/>
      <c r="X180" s="134"/>
      <c r="Z180" s="123"/>
      <c r="AA180" s="155"/>
      <c r="AB180" s="163"/>
      <c r="AC180" s="190"/>
      <c r="AD180" s="163"/>
      <c r="AE180" s="143"/>
      <c r="AF180" s="145"/>
      <c r="AG180" s="145"/>
      <c r="AH180" s="134"/>
      <c r="AI180" s="469"/>
      <c r="AJ180" s="213"/>
      <c r="AK180" s="163"/>
      <c r="AL180" s="469"/>
      <c r="AM180" s="145"/>
      <c r="AN180" s="458"/>
      <c r="AO180" s="150"/>
      <c r="AP180" s="151"/>
    </row>
    <row r="181" spans="1:42" ht="15.75">
      <c r="A181" s="160"/>
      <c r="B181" s="163"/>
      <c r="C181" s="145"/>
      <c r="D181" s="143"/>
      <c r="E181" s="143"/>
      <c r="F181" s="143"/>
      <c r="G181" s="144"/>
      <c r="H181" s="145"/>
      <c r="I181" s="145"/>
      <c r="J181" s="145"/>
      <c r="K181" s="145"/>
      <c r="L181" s="145"/>
      <c r="M181" s="145"/>
      <c r="N181" s="145"/>
      <c r="O181" s="145"/>
      <c r="P181" s="145"/>
      <c r="Q181" s="145"/>
      <c r="R181" s="145"/>
      <c r="S181" s="145"/>
      <c r="T181" s="145"/>
      <c r="U181" s="459"/>
      <c r="V181" s="145"/>
      <c r="W181" s="145"/>
      <c r="X181" s="134"/>
      <c r="Z181" s="123"/>
      <c r="AA181" s="155"/>
      <c r="AB181" s="163"/>
      <c r="AC181" s="190"/>
      <c r="AD181" s="163"/>
      <c r="AE181" s="143"/>
      <c r="AF181" s="145"/>
      <c r="AG181" s="145"/>
      <c r="AH181" s="134"/>
      <c r="AI181" s="469"/>
      <c r="AJ181" s="213"/>
      <c r="AK181" s="163"/>
      <c r="AL181" s="469"/>
      <c r="AM181" s="145"/>
      <c r="AN181" s="458"/>
      <c r="AO181" s="150"/>
      <c r="AP181" s="151"/>
    </row>
    <row r="182" spans="1:42" ht="15.75">
      <c r="A182" s="160"/>
      <c r="B182" s="163"/>
      <c r="C182" s="145"/>
      <c r="D182" s="143"/>
      <c r="E182" s="143"/>
      <c r="F182" s="143"/>
      <c r="G182" s="144"/>
      <c r="H182" s="145"/>
      <c r="I182" s="145"/>
      <c r="J182" s="145"/>
      <c r="K182" s="145"/>
      <c r="L182" s="145"/>
      <c r="M182" s="145"/>
      <c r="N182" s="145"/>
      <c r="O182" s="145"/>
      <c r="P182" s="145"/>
      <c r="Q182" s="145"/>
      <c r="R182" s="145"/>
      <c r="S182" s="145"/>
      <c r="T182" s="145"/>
      <c r="U182" s="459"/>
      <c r="V182" s="145"/>
      <c r="W182" s="145"/>
      <c r="X182" s="134"/>
      <c r="Z182" s="123"/>
      <c r="AA182" s="155"/>
      <c r="AB182" s="163"/>
      <c r="AC182" s="190"/>
      <c r="AD182" s="163"/>
      <c r="AE182" s="143"/>
      <c r="AF182" s="145"/>
      <c r="AG182" s="145"/>
      <c r="AH182" s="134"/>
      <c r="AI182" s="469"/>
      <c r="AJ182" s="213"/>
      <c r="AK182" s="163"/>
      <c r="AL182" s="469"/>
      <c r="AM182" s="145"/>
      <c r="AN182" s="458"/>
      <c r="AO182" s="150"/>
      <c r="AP182" s="151"/>
    </row>
    <row r="183" spans="1:42" ht="15.75">
      <c r="A183" s="160"/>
      <c r="B183" s="163"/>
      <c r="C183" s="145"/>
      <c r="D183" s="143"/>
      <c r="E183" s="143"/>
      <c r="F183" s="143"/>
      <c r="G183" s="144"/>
      <c r="H183" s="145"/>
      <c r="I183" s="145"/>
      <c r="J183" s="145"/>
      <c r="K183" s="145"/>
      <c r="L183" s="145"/>
      <c r="M183" s="145"/>
      <c r="N183" s="145"/>
      <c r="O183" s="145"/>
      <c r="P183" s="145"/>
      <c r="Q183" s="145"/>
      <c r="R183" s="145"/>
      <c r="S183" s="145"/>
      <c r="T183" s="145"/>
      <c r="U183" s="459"/>
      <c r="V183" s="145"/>
      <c r="W183" s="145"/>
      <c r="X183" s="134"/>
      <c r="Z183" s="123"/>
      <c r="AA183" s="155"/>
      <c r="AB183" s="163"/>
      <c r="AC183" s="190"/>
      <c r="AD183" s="163"/>
      <c r="AE183" s="143"/>
      <c r="AF183" s="145"/>
      <c r="AG183" s="145"/>
      <c r="AH183" s="134"/>
      <c r="AI183" s="469"/>
      <c r="AJ183" s="213"/>
      <c r="AK183" s="163"/>
      <c r="AL183" s="469"/>
      <c r="AM183" s="145"/>
      <c r="AN183" s="458"/>
      <c r="AO183" s="150"/>
      <c r="AP183" s="151"/>
    </row>
    <row r="184" spans="1:42" ht="15.75">
      <c r="A184" s="160"/>
      <c r="B184" s="163"/>
      <c r="C184" s="145"/>
      <c r="D184" s="143"/>
      <c r="E184" s="143"/>
      <c r="F184" s="143"/>
      <c r="G184" s="144"/>
      <c r="H184" s="145"/>
      <c r="I184" s="145"/>
      <c r="J184" s="145"/>
      <c r="K184" s="145"/>
      <c r="L184" s="145"/>
      <c r="M184" s="145"/>
      <c r="N184" s="145"/>
      <c r="O184" s="145"/>
      <c r="P184" s="145"/>
      <c r="Q184" s="145"/>
      <c r="R184" s="145"/>
      <c r="S184" s="145"/>
      <c r="T184" s="145"/>
      <c r="U184" s="459"/>
      <c r="V184" s="145"/>
      <c r="W184" s="145"/>
      <c r="X184" s="134"/>
      <c r="Z184" s="123"/>
      <c r="AA184" s="155"/>
      <c r="AB184" s="163"/>
      <c r="AC184" s="190"/>
      <c r="AD184" s="163"/>
      <c r="AE184" s="143"/>
      <c r="AF184" s="145"/>
      <c r="AG184" s="145"/>
      <c r="AH184" s="134"/>
      <c r="AI184" s="469"/>
      <c r="AJ184" s="213"/>
      <c r="AK184" s="163"/>
      <c r="AL184" s="469"/>
      <c r="AM184" s="145"/>
      <c r="AN184" s="458"/>
      <c r="AO184" s="150"/>
      <c r="AP184" s="151"/>
    </row>
    <row r="185" spans="1:42" ht="15.75">
      <c r="A185" s="160"/>
      <c r="B185" s="163"/>
      <c r="C185" s="145"/>
      <c r="D185" s="143"/>
      <c r="E185" s="143"/>
      <c r="F185" s="143"/>
      <c r="G185" s="144"/>
      <c r="H185" s="145"/>
      <c r="I185" s="145"/>
      <c r="J185" s="145"/>
      <c r="K185" s="145"/>
      <c r="L185" s="145"/>
      <c r="M185" s="145"/>
      <c r="N185" s="145"/>
      <c r="O185" s="145"/>
      <c r="P185" s="145"/>
      <c r="Q185" s="145"/>
      <c r="R185" s="145"/>
      <c r="S185" s="145"/>
      <c r="T185" s="145"/>
      <c r="U185" s="459"/>
      <c r="V185" s="145"/>
      <c r="W185" s="145"/>
      <c r="X185" s="134"/>
      <c r="Z185" s="123"/>
      <c r="AA185" s="155"/>
      <c r="AB185" s="163"/>
      <c r="AC185" s="190"/>
      <c r="AD185" s="163"/>
      <c r="AE185" s="143"/>
      <c r="AF185" s="145"/>
      <c r="AG185" s="145"/>
      <c r="AH185" s="134"/>
      <c r="AI185" s="469"/>
      <c r="AJ185" s="213"/>
      <c r="AK185" s="163"/>
      <c r="AL185" s="469"/>
      <c r="AM185" s="145"/>
      <c r="AN185" s="458"/>
      <c r="AO185" s="150"/>
      <c r="AP185" s="151"/>
    </row>
    <row r="186" spans="1:42" ht="15.75">
      <c r="A186" s="160"/>
      <c r="B186" s="163"/>
      <c r="C186" s="145"/>
      <c r="D186" s="143"/>
      <c r="E186" s="143"/>
      <c r="F186" s="143"/>
      <c r="G186" s="144"/>
      <c r="H186" s="145"/>
      <c r="I186" s="145"/>
      <c r="J186" s="145"/>
      <c r="K186" s="145"/>
      <c r="L186" s="145"/>
      <c r="M186" s="145"/>
      <c r="N186" s="145"/>
      <c r="O186" s="145"/>
      <c r="P186" s="145"/>
      <c r="Q186" s="145"/>
      <c r="R186" s="145"/>
      <c r="S186" s="145"/>
      <c r="T186" s="145"/>
      <c r="U186" s="459"/>
      <c r="V186" s="145"/>
      <c r="W186" s="145"/>
      <c r="X186" s="134"/>
      <c r="Z186" s="123"/>
      <c r="AA186" s="155"/>
      <c r="AB186" s="163"/>
      <c r="AC186" s="190"/>
      <c r="AD186" s="163"/>
      <c r="AE186" s="143"/>
      <c r="AF186" s="145"/>
      <c r="AG186" s="145"/>
      <c r="AH186" s="134"/>
      <c r="AI186" s="469"/>
      <c r="AJ186" s="213"/>
      <c r="AK186" s="163"/>
      <c r="AL186" s="469"/>
      <c r="AM186" s="145"/>
      <c r="AN186" s="458"/>
      <c r="AO186" s="150"/>
      <c r="AP186" s="151"/>
    </row>
    <row r="187" spans="1:42" ht="15.75">
      <c r="A187" s="160"/>
      <c r="B187" s="163"/>
      <c r="C187" s="145"/>
      <c r="D187" s="143"/>
      <c r="E187" s="143"/>
      <c r="F187" s="143"/>
      <c r="G187" s="144"/>
      <c r="H187" s="145"/>
      <c r="I187" s="145"/>
      <c r="J187" s="145"/>
      <c r="K187" s="145"/>
      <c r="L187" s="145"/>
      <c r="M187" s="145"/>
      <c r="N187" s="145"/>
      <c r="O187" s="145"/>
      <c r="P187" s="145"/>
      <c r="Q187" s="145"/>
      <c r="R187" s="145"/>
      <c r="S187" s="145"/>
      <c r="T187" s="145"/>
      <c r="U187" s="459"/>
      <c r="V187" s="145"/>
      <c r="W187" s="145"/>
      <c r="X187" s="134"/>
      <c r="Z187" s="123"/>
      <c r="AA187" s="155"/>
      <c r="AB187" s="163"/>
      <c r="AC187" s="190"/>
      <c r="AD187" s="163"/>
      <c r="AE187" s="143"/>
      <c r="AF187" s="145"/>
      <c r="AG187" s="145"/>
      <c r="AH187" s="134"/>
      <c r="AI187" s="469"/>
      <c r="AJ187" s="213"/>
      <c r="AK187" s="163"/>
      <c r="AL187" s="469"/>
      <c r="AM187" s="145"/>
      <c r="AN187" s="458"/>
      <c r="AO187" s="150"/>
      <c r="AP187" s="151"/>
    </row>
    <row r="188" spans="1:42" ht="15.75">
      <c r="A188" s="160"/>
      <c r="B188" s="163"/>
      <c r="C188" s="145"/>
      <c r="D188" s="143"/>
      <c r="E188" s="143"/>
      <c r="F188" s="143"/>
      <c r="G188" s="144"/>
      <c r="H188" s="145"/>
      <c r="I188" s="145"/>
      <c r="J188" s="145"/>
      <c r="K188" s="145"/>
      <c r="L188" s="145"/>
      <c r="M188" s="145"/>
      <c r="N188" s="145"/>
      <c r="O188" s="145"/>
      <c r="P188" s="145"/>
      <c r="Q188" s="145"/>
      <c r="R188" s="145"/>
      <c r="S188" s="145"/>
      <c r="T188" s="145"/>
      <c r="U188" s="459"/>
      <c r="V188" s="145"/>
      <c r="W188" s="145"/>
      <c r="X188" s="134"/>
      <c r="Z188" s="123"/>
      <c r="AA188" s="155"/>
      <c r="AB188" s="163"/>
      <c r="AC188" s="190"/>
      <c r="AD188" s="163"/>
      <c r="AE188" s="143"/>
      <c r="AF188" s="145"/>
      <c r="AG188" s="145"/>
      <c r="AH188" s="134"/>
      <c r="AI188" s="469"/>
      <c r="AJ188" s="213"/>
      <c r="AK188" s="163"/>
      <c r="AL188" s="469"/>
      <c r="AM188" s="145"/>
      <c r="AN188" s="458"/>
      <c r="AO188" s="150"/>
      <c r="AP188" s="151"/>
    </row>
    <row r="189" spans="1:42" ht="15.75">
      <c r="A189" s="160"/>
      <c r="B189" s="163"/>
      <c r="C189" s="145"/>
      <c r="D189" s="143"/>
      <c r="E189" s="143"/>
      <c r="F189" s="143"/>
      <c r="G189" s="144"/>
      <c r="H189" s="145"/>
      <c r="I189" s="145"/>
      <c r="J189" s="145"/>
      <c r="K189" s="145"/>
      <c r="L189" s="145"/>
      <c r="M189" s="145"/>
      <c r="N189" s="145"/>
      <c r="O189" s="145"/>
      <c r="P189" s="145"/>
      <c r="Q189" s="145"/>
      <c r="R189" s="145"/>
      <c r="S189" s="145"/>
      <c r="T189" s="145"/>
      <c r="U189" s="459"/>
      <c r="V189" s="145"/>
      <c r="W189" s="145"/>
      <c r="X189" s="134"/>
      <c r="Z189" s="123"/>
      <c r="AA189" s="155"/>
      <c r="AB189" s="163"/>
      <c r="AC189" s="190"/>
      <c r="AD189" s="163"/>
      <c r="AE189" s="143"/>
      <c r="AF189" s="145"/>
      <c r="AG189" s="145"/>
      <c r="AH189" s="134"/>
      <c r="AI189" s="469"/>
      <c r="AJ189" s="213"/>
      <c r="AK189" s="163"/>
      <c r="AL189" s="469"/>
      <c r="AM189" s="145"/>
      <c r="AN189" s="458"/>
      <c r="AO189" s="150"/>
      <c r="AP189" s="151"/>
    </row>
    <row r="190" spans="1:42" ht="15.75">
      <c r="A190" s="160"/>
      <c r="B190" s="163"/>
      <c r="C190" s="145"/>
      <c r="D190" s="143"/>
      <c r="E190" s="143"/>
      <c r="F190" s="143"/>
      <c r="G190" s="144"/>
      <c r="H190" s="145"/>
      <c r="I190" s="145"/>
      <c r="J190" s="145"/>
      <c r="K190" s="145"/>
      <c r="L190" s="145"/>
      <c r="M190" s="145"/>
      <c r="N190" s="145"/>
      <c r="O190" s="145"/>
      <c r="P190" s="145"/>
      <c r="Q190" s="145"/>
      <c r="R190" s="145"/>
      <c r="S190" s="145"/>
      <c r="T190" s="145"/>
      <c r="U190" s="459"/>
      <c r="V190" s="145"/>
      <c r="W190" s="145"/>
      <c r="X190" s="134"/>
      <c r="Z190" s="123"/>
      <c r="AA190" s="155"/>
      <c r="AB190" s="163"/>
      <c r="AC190" s="190"/>
      <c r="AD190" s="163"/>
      <c r="AE190" s="143"/>
      <c r="AF190" s="145"/>
      <c r="AG190" s="145"/>
      <c r="AH190" s="134"/>
      <c r="AI190" s="469"/>
      <c r="AJ190" s="213"/>
      <c r="AK190" s="163"/>
      <c r="AL190" s="469"/>
      <c r="AM190" s="145"/>
      <c r="AN190" s="458"/>
      <c r="AO190" s="150"/>
      <c r="AP190" s="151"/>
    </row>
    <row r="191" spans="1:42" ht="15.75">
      <c r="A191" s="160"/>
      <c r="B191" s="163"/>
      <c r="C191" s="145"/>
      <c r="D191" s="143"/>
      <c r="E191" s="143"/>
      <c r="F191" s="143"/>
      <c r="G191" s="144"/>
      <c r="H191" s="145"/>
      <c r="I191" s="145"/>
      <c r="J191" s="145"/>
      <c r="K191" s="145"/>
      <c r="L191" s="145"/>
      <c r="M191" s="145"/>
      <c r="N191" s="145"/>
      <c r="O191" s="145"/>
      <c r="P191" s="145"/>
      <c r="Q191" s="145"/>
      <c r="R191" s="145"/>
      <c r="S191" s="145"/>
      <c r="T191" s="145"/>
      <c r="U191" s="459"/>
      <c r="V191" s="145"/>
      <c r="W191" s="145"/>
      <c r="X191" s="134"/>
      <c r="Z191" s="123"/>
      <c r="AA191" s="155"/>
      <c r="AB191" s="163"/>
      <c r="AC191" s="190"/>
      <c r="AD191" s="163"/>
      <c r="AE191" s="143"/>
      <c r="AF191" s="145"/>
      <c r="AG191" s="145"/>
      <c r="AH191" s="134"/>
      <c r="AI191" s="469"/>
      <c r="AJ191" s="213"/>
      <c r="AK191" s="163"/>
      <c r="AL191" s="469"/>
      <c r="AM191" s="145"/>
      <c r="AN191" s="458"/>
      <c r="AO191" s="150"/>
      <c r="AP191" s="151"/>
    </row>
    <row r="192" spans="1:42" ht="15.75">
      <c r="A192" s="160"/>
      <c r="B192" s="163"/>
      <c r="C192" s="145"/>
      <c r="D192" s="143"/>
      <c r="E192" s="143"/>
      <c r="F192" s="143"/>
      <c r="G192" s="144"/>
      <c r="H192" s="145"/>
      <c r="I192" s="145"/>
      <c r="J192" s="145"/>
      <c r="K192" s="145"/>
      <c r="L192" s="145"/>
      <c r="M192" s="145"/>
      <c r="N192" s="145"/>
      <c r="O192" s="145"/>
      <c r="P192" s="145"/>
      <c r="Q192" s="145"/>
      <c r="R192" s="145"/>
      <c r="S192" s="145"/>
      <c r="T192" s="145"/>
      <c r="U192" s="459"/>
      <c r="V192" s="145"/>
      <c r="W192" s="145"/>
      <c r="X192" s="134"/>
      <c r="Z192" s="123"/>
      <c r="AA192" s="155"/>
      <c r="AB192" s="163"/>
      <c r="AC192" s="190"/>
      <c r="AD192" s="163"/>
      <c r="AE192" s="143"/>
      <c r="AF192" s="145"/>
      <c r="AG192" s="145"/>
      <c r="AH192" s="134"/>
      <c r="AI192" s="469"/>
      <c r="AJ192" s="213"/>
      <c r="AK192" s="163"/>
      <c r="AL192" s="469"/>
      <c r="AM192" s="145"/>
      <c r="AN192" s="458"/>
      <c r="AO192" s="150"/>
      <c r="AP192" s="151"/>
    </row>
    <row r="193" spans="1:42" ht="15.75">
      <c r="A193" s="160"/>
      <c r="B193" s="163"/>
      <c r="C193" s="145"/>
      <c r="D193" s="143"/>
      <c r="E193" s="143"/>
      <c r="F193" s="143"/>
      <c r="G193" s="144"/>
      <c r="H193" s="145"/>
      <c r="I193" s="145"/>
      <c r="J193" s="145"/>
      <c r="K193" s="145"/>
      <c r="L193" s="145"/>
      <c r="M193" s="145"/>
      <c r="N193" s="145"/>
      <c r="O193" s="145"/>
      <c r="P193" s="145"/>
      <c r="Q193" s="145"/>
      <c r="R193" s="145"/>
      <c r="S193" s="145"/>
      <c r="T193" s="145"/>
      <c r="U193" s="459"/>
      <c r="V193" s="145"/>
      <c r="W193" s="145"/>
      <c r="X193" s="134"/>
      <c r="Z193" s="123"/>
      <c r="AA193" s="155"/>
      <c r="AB193" s="163"/>
      <c r="AC193" s="190"/>
      <c r="AD193" s="163"/>
      <c r="AE193" s="143"/>
      <c r="AF193" s="145"/>
      <c r="AG193" s="145"/>
      <c r="AH193" s="134"/>
      <c r="AI193" s="469"/>
      <c r="AJ193" s="213"/>
      <c r="AK193" s="163"/>
      <c r="AL193" s="469"/>
      <c r="AM193" s="145"/>
      <c r="AN193" s="458"/>
      <c r="AO193" s="150"/>
      <c r="AP193" s="151"/>
    </row>
    <row r="194" spans="1:42" ht="15.75">
      <c r="A194" s="160"/>
      <c r="B194" s="163"/>
      <c r="C194" s="145"/>
      <c r="D194" s="143"/>
      <c r="E194" s="143"/>
      <c r="F194" s="143"/>
      <c r="G194" s="144"/>
      <c r="H194" s="145"/>
      <c r="I194" s="145"/>
      <c r="J194" s="145"/>
      <c r="K194" s="145"/>
      <c r="L194" s="145"/>
      <c r="M194" s="145"/>
      <c r="N194" s="145"/>
      <c r="O194" s="145"/>
      <c r="P194" s="145"/>
      <c r="Q194" s="145"/>
      <c r="R194" s="145"/>
      <c r="S194" s="145"/>
      <c r="T194" s="145"/>
      <c r="U194" s="459"/>
      <c r="V194" s="145"/>
      <c r="W194" s="145"/>
      <c r="X194" s="134"/>
      <c r="Z194" s="123"/>
      <c r="AA194" s="155"/>
      <c r="AB194" s="163"/>
      <c r="AC194" s="190"/>
      <c r="AD194" s="163"/>
      <c r="AE194" s="143"/>
      <c r="AF194" s="145"/>
      <c r="AG194" s="145"/>
      <c r="AH194" s="134"/>
      <c r="AI194" s="469"/>
      <c r="AJ194" s="213"/>
      <c r="AK194" s="163"/>
      <c r="AL194" s="469"/>
      <c r="AM194" s="145"/>
      <c r="AN194" s="458"/>
      <c r="AO194" s="150"/>
      <c r="AP194" s="151"/>
    </row>
    <row r="195" spans="1:42" ht="15.75">
      <c r="A195" s="160"/>
      <c r="B195" s="163"/>
      <c r="C195" s="145"/>
      <c r="D195" s="143"/>
      <c r="E195" s="143"/>
      <c r="F195" s="143"/>
      <c r="G195" s="144"/>
      <c r="H195" s="145"/>
      <c r="I195" s="145"/>
      <c r="J195" s="145"/>
      <c r="K195" s="145"/>
      <c r="L195" s="145"/>
      <c r="M195" s="145"/>
      <c r="N195" s="145"/>
      <c r="O195" s="145"/>
      <c r="P195" s="145"/>
      <c r="Q195" s="145"/>
      <c r="R195" s="145"/>
      <c r="S195" s="145"/>
      <c r="T195" s="145"/>
      <c r="U195" s="459"/>
      <c r="V195" s="145"/>
      <c r="W195" s="145"/>
      <c r="X195" s="134"/>
      <c r="Z195" s="123"/>
      <c r="AA195" s="155"/>
      <c r="AB195" s="163"/>
      <c r="AC195" s="190"/>
      <c r="AD195" s="163"/>
      <c r="AE195" s="143"/>
      <c r="AF195" s="145"/>
      <c r="AG195" s="145"/>
      <c r="AH195" s="134"/>
      <c r="AI195" s="469"/>
      <c r="AJ195" s="213"/>
      <c r="AK195" s="163"/>
      <c r="AL195" s="469"/>
      <c r="AM195" s="145"/>
      <c r="AN195" s="458"/>
      <c r="AO195" s="150"/>
      <c r="AP195" s="151"/>
    </row>
    <row r="196" spans="1:42" ht="15.75">
      <c r="A196" s="160"/>
      <c r="B196" s="163"/>
      <c r="C196" s="145"/>
      <c r="D196" s="143"/>
      <c r="E196" s="143"/>
      <c r="F196" s="143"/>
      <c r="G196" s="144"/>
      <c r="H196" s="145"/>
      <c r="I196" s="145"/>
      <c r="J196" s="145"/>
      <c r="K196" s="145"/>
      <c r="L196" s="145"/>
      <c r="M196" s="145"/>
      <c r="N196" s="145"/>
      <c r="O196" s="145"/>
      <c r="P196" s="145"/>
      <c r="Q196" s="145"/>
      <c r="R196" s="145"/>
      <c r="S196" s="145"/>
      <c r="T196" s="145"/>
      <c r="U196" s="459"/>
      <c r="V196" s="145"/>
      <c r="W196" s="145"/>
      <c r="X196" s="134"/>
      <c r="Z196" s="123"/>
      <c r="AA196" s="155"/>
      <c r="AB196" s="163"/>
      <c r="AC196" s="190"/>
      <c r="AD196" s="163"/>
      <c r="AE196" s="143"/>
      <c r="AF196" s="145"/>
      <c r="AG196" s="145"/>
      <c r="AH196" s="134"/>
      <c r="AI196" s="469"/>
      <c r="AJ196" s="213"/>
      <c r="AK196" s="163"/>
      <c r="AL196" s="469"/>
      <c r="AM196" s="145"/>
      <c r="AN196" s="458"/>
      <c r="AO196" s="150"/>
      <c r="AP196" s="151"/>
    </row>
    <row r="197" spans="1:42" ht="15.75">
      <c r="A197" s="160"/>
      <c r="B197" s="163"/>
      <c r="C197" s="145"/>
      <c r="D197" s="143"/>
      <c r="E197" s="143"/>
      <c r="F197" s="143"/>
      <c r="G197" s="144"/>
      <c r="H197" s="145"/>
      <c r="I197" s="145"/>
      <c r="J197" s="145"/>
      <c r="K197" s="145"/>
      <c r="L197" s="145"/>
      <c r="M197" s="145"/>
      <c r="N197" s="145"/>
      <c r="O197" s="145"/>
      <c r="P197" s="145"/>
      <c r="Q197" s="145"/>
      <c r="R197" s="145"/>
      <c r="S197" s="145"/>
      <c r="T197" s="145"/>
      <c r="U197" s="459"/>
      <c r="V197" s="145"/>
      <c r="W197" s="145"/>
      <c r="X197" s="134"/>
      <c r="Z197" s="123"/>
      <c r="AA197" s="155"/>
      <c r="AB197" s="163"/>
      <c r="AC197" s="190"/>
      <c r="AD197" s="163"/>
      <c r="AE197" s="143"/>
      <c r="AF197" s="145"/>
      <c r="AG197" s="145"/>
      <c r="AH197" s="134"/>
      <c r="AI197" s="469"/>
      <c r="AJ197" s="213"/>
      <c r="AK197" s="163"/>
      <c r="AL197" s="469"/>
      <c r="AM197" s="145"/>
      <c r="AN197" s="458"/>
      <c r="AO197" s="150"/>
      <c r="AP197" s="151"/>
    </row>
    <row r="198" spans="1:42" ht="15.75">
      <c r="A198" s="160"/>
      <c r="B198" s="163"/>
      <c r="C198" s="145"/>
      <c r="D198" s="143"/>
      <c r="E198" s="143"/>
      <c r="F198" s="143"/>
      <c r="G198" s="144"/>
      <c r="H198" s="145"/>
      <c r="I198" s="145"/>
      <c r="J198" s="145"/>
      <c r="K198" s="145"/>
      <c r="L198" s="145"/>
      <c r="M198" s="145"/>
      <c r="N198" s="145"/>
      <c r="O198" s="145"/>
      <c r="P198" s="145"/>
      <c r="Q198" s="145"/>
      <c r="R198" s="145"/>
      <c r="S198" s="145"/>
      <c r="T198" s="145"/>
      <c r="U198" s="459"/>
      <c r="V198" s="145"/>
      <c r="W198" s="145"/>
      <c r="X198" s="134"/>
      <c r="Z198" s="123"/>
      <c r="AA198" s="155"/>
      <c r="AB198" s="163"/>
      <c r="AC198" s="190"/>
      <c r="AD198" s="163"/>
      <c r="AE198" s="143"/>
      <c r="AF198" s="145"/>
      <c r="AG198" s="145"/>
      <c r="AH198" s="134"/>
      <c r="AI198" s="469"/>
      <c r="AJ198" s="213"/>
      <c r="AK198" s="163"/>
      <c r="AL198" s="469"/>
      <c r="AM198" s="145"/>
      <c r="AN198" s="458"/>
      <c r="AO198" s="150"/>
      <c r="AP198" s="151"/>
    </row>
    <row r="199" spans="1:42" ht="15.75">
      <c r="A199" s="160"/>
      <c r="B199" s="163"/>
      <c r="C199" s="145"/>
      <c r="D199" s="143"/>
      <c r="E199" s="143"/>
      <c r="F199" s="143"/>
      <c r="G199" s="144"/>
      <c r="H199" s="145"/>
      <c r="I199" s="145"/>
      <c r="J199" s="145"/>
      <c r="K199" s="145"/>
      <c r="L199" s="145"/>
      <c r="M199" s="145"/>
      <c r="N199" s="145"/>
      <c r="O199" s="145"/>
      <c r="P199" s="145"/>
      <c r="Q199" s="145"/>
      <c r="R199" s="145"/>
      <c r="S199" s="145"/>
      <c r="T199" s="145"/>
      <c r="U199" s="459"/>
      <c r="V199" s="145"/>
      <c r="W199" s="145"/>
      <c r="X199" s="134"/>
      <c r="Z199" s="123"/>
      <c r="AA199" s="155"/>
      <c r="AB199" s="163"/>
      <c r="AC199" s="190"/>
      <c r="AD199" s="163"/>
      <c r="AE199" s="143"/>
      <c r="AF199" s="145"/>
      <c r="AG199" s="145"/>
      <c r="AH199" s="134"/>
      <c r="AI199" s="469"/>
      <c r="AJ199" s="213"/>
      <c r="AK199" s="163"/>
      <c r="AL199" s="469"/>
      <c r="AM199" s="145"/>
      <c r="AN199" s="458"/>
      <c r="AO199" s="150"/>
      <c r="AP199" s="151"/>
    </row>
    <row r="200" spans="1:42" ht="15.75">
      <c r="A200" s="160"/>
      <c r="B200" s="163"/>
      <c r="C200" s="145"/>
      <c r="D200" s="143"/>
      <c r="E200" s="143"/>
      <c r="F200" s="143"/>
      <c r="G200" s="144"/>
      <c r="H200" s="145"/>
      <c r="I200" s="145"/>
      <c r="J200" s="145"/>
      <c r="K200" s="145"/>
      <c r="L200" s="145"/>
      <c r="M200" s="145"/>
      <c r="N200" s="145"/>
      <c r="O200" s="145"/>
      <c r="P200" s="145"/>
      <c r="Q200" s="145"/>
      <c r="R200" s="145"/>
      <c r="S200" s="145"/>
      <c r="T200" s="145"/>
      <c r="U200" s="459"/>
      <c r="V200" s="145"/>
      <c r="W200" s="145"/>
      <c r="X200" s="134"/>
      <c r="Z200" s="123"/>
      <c r="AA200" s="155"/>
      <c r="AB200" s="163"/>
      <c r="AC200" s="190"/>
      <c r="AD200" s="163"/>
      <c r="AE200" s="143"/>
      <c r="AF200" s="145"/>
      <c r="AG200" s="145"/>
      <c r="AH200" s="134"/>
      <c r="AI200" s="469"/>
      <c r="AJ200" s="213"/>
      <c r="AK200" s="163"/>
      <c r="AL200" s="469"/>
      <c r="AM200" s="145"/>
      <c r="AN200" s="458"/>
      <c r="AO200" s="150"/>
      <c r="AP200" s="151"/>
    </row>
    <row r="201" spans="1:42" ht="15.75">
      <c r="A201" s="205"/>
      <c r="B201" s="163"/>
      <c r="C201" s="145"/>
      <c r="D201" s="143"/>
      <c r="E201" s="143"/>
      <c r="F201" s="143"/>
      <c r="G201" s="144"/>
      <c r="H201" s="145"/>
      <c r="I201" s="145"/>
      <c r="J201" s="145"/>
      <c r="K201" s="145"/>
      <c r="L201" s="145"/>
      <c r="M201" s="145"/>
      <c r="N201" s="145"/>
      <c r="O201" s="145"/>
      <c r="P201" s="145"/>
      <c r="Q201" s="145"/>
      <c r="R201" s="145"/>
      <c r="S201" s="145"/>
      <c r="T201" s="145"/>
      <c r="U201" s="459"/>
      <c r="V201" s="145"/>
      <c r="W201" s="145"/>
      <c r="X201" s="134"/>
      <c r="Z201" s="123"/>
      <c r="AA201" s="155"/>
      <c r="AB201" s="163"/>
      <c r="AC201" s="190"/>
      <c r="AD201" s="163"/>
      <c r="AE201" s="143"/>
      <c r="AF201" s="145"/>
      <c r="AG201" s="145"/>
      <c r="AH201" s="134"/>
      <c r="AI201" s="469"/>
      <c r="AJ201" s="213"/>
      <c r="AK201" s="163"/>
      <c r="AL201" s="469"/>
      <c r="AM201" s="145"/>
      <c r="AN201" s="458"/>
      <c r="AO201" s="150"/>
      <c r="AP201" s="151"/>
    </row>
    <row r="202" spans="1:42" ht="15.75">
      <c r="A202" s="205"/>
      <c r="B202" s="163"/>
      <c r="C202" s="145"/>
      <c r="D202" s="143"/>
      <c r="E202" s="143"/>
      <c r="F202" s="143"/>
      <c r="G202" s="144"/>
      <c r="H202" s="145"/>
      <c r="I202" s="145"/>
      <c r="J202" s="145"/>
      <c r="K202" s="145"/>
      <c r="L202" s="145"/>
      <c r="M202" s="145"/>
      <c r="N202" s="145"/>
      <c r="O202" s="145"/>
      <c r="P202" s="145"/>
      <c r="Q202" s="145"/>
      <c r="R202" s="145"/>
      <c r="S202" s="145"/>
      <c r="T202" s="145"/>
      <c r="U202" s="459"/>
      <c r="V202" s="145"/>
      <c r="W202" s="145"/>
      <c r="X202" s="134"/>
      <c r="Z202" s="123"/>
      <c r="AA202" s="155"/>
      <c r="AB202" s="163"/>
      <c r="AC202" s="190"/>
      <c r="AD202" s="163"/>
      <c r="AE202" s="143"/>
      <c r="AF202" s="145"/>
      <c r="AG202" s="145"/>
      <c r="AH202" s="134"/>
      <c r="AI202" s="469"/>
      <c r="AJ202" s="213"/>
      <c r="AK202" s="163"/>
      <c r="AL202" s="469"/>
      <c r="AM202" s="145"/>
      <c r="AN202" s="458"/>
      <c r="AO202" s="150"/>
      <c r="AP202" s="151"/>
    </row>
    <row r="203" spans="1:42" ht="15.75">
      <c r="A203" s="205"/>
      <c r="B203" s="163"/>
      <c r="C203" s="145"/>
      <c r="D203" s="143"/>
      <c r="E203" s="143"/>
      <c r="F203" s="143"/>
      <c r="G203" s="144"/>
      <c r="H203" s="145"/>
      <c r="I203" s="145"/>
      <c r="J203" s="145"/>
      <c r="K203" s="145"/>
      <c r="L203" s="145"/>
      <c r="M203" s="145"/>
      <c r="N203" s="145"/>
      <c r="O203" s="145"/>
      <c r="P203" s="145"/>
      <c r="Q203" s="145"/>
      <c r="R203" s="145"/>
      <c r="S203" s="145"/>
      <c r="T203" s="145"/>
      <c r="U203" s="459"/>
      <c r="V203" s="145"/>
      <c r="W203" s="145"/>
      <c r="X203" s="134"/>
      <c r="Z203" s="123"/>
      <c r="AA203" s="155"/>
      <c r="AB203" s="163"/>
      <c r="AC203" s="190"/>
      <c r="AD203" s="163"/>
      <c r="AE203" s="143"/>
      <c r="AF203" s="145"/>
      <c r="AG203" s="145"/>
      <c r="AH203" s="134"/>
      <c r="AI203" s="469"/>
      <c r="AJ203" s="213"/>
      <c r="AK203" s="163"/>
      <c r="AL203" s="469"/>
      <c r="AM203" s="145"/>
      <c r="AN203" s="458"/>
      <c r="AO203" s="150"/>
      <c r="AP203" s="151"/>
    </row>
    <row r="204" spans="1:42" ht="15.75">
      <c r="A204" s="205"/>
      <c r="B204" s="163"/>
      <c r="C204" s="145"/>
      <c r="D204" s="143"/>
      <c r="E204" s="143"/>
      <c r="F204" s="143"/>
      <c r="G204" s="144"/>
      <c r="H204" s="145"/>
      <c r="I204" s="145"/>
      <c r="J204" s="145"/>
      <c r="K204" s="145"/>
      <c r="L204" s="145"/>
      <c r="M204" s="145"/>
      <c r="N204" s="145"/>
      <c r="O204" s="145"/>
      <c r="P204" s="145"/>
      <c r="Q204" s="145"/>
      <c r="R204" s="145"/>
      <c r="S204" s="145"/>
      <c r="T204" s="145"/>
      <c r="U204" s="459"/>
      <c r="V204" s="145"/>
      <c r="W204" s="145"/>
      <c r="X204" s="134"/>
      <c r="Z204" s="123"/>
      <c r="AA204" s="155"/>
      <c r="AB204" s="163"/>
      <c r="AC204" s="190"/>
      <c r="AD204" s="163"/>
      <c r="AE204" s="143"/>
      <c r="AF204" s="145"/>
      <c r="AG204" s="145"/>
      <c r="AH204" s="134"/>
      <c r="AI204" s="469"/>
      <c r="AJ204" s="213"/>
      <c r="AK204" s="163"/>
      <c r="AL204" s="469"/>
      <c r="AM204" s="145"/>
      <c r="AN204" s="458"/>
      <c r="AO204" s="150"/>
      <c r="AP204" s="151"/>
    </row>
    <row r="205" spans="1:42" ht="15.75">
      <c r="B205" s="163"/>
      <c r="C205" s="145"/>
      <c r="D205" s="143"/>
      <c r="E205" s="143"/>
      <c r="F205" s="143"/>
      <c r="G205" s="144"/>
      <c r="H205" s="145"/>
      <c r="I205" s="145"/>
      <c r="J205" s="145"/>
      <c r="K205" s="145"/>
      <c r="L205" s="145"/>
      <c r="M205" s="145"/>
      <c r="N205" s="145"/>
      <c r="O205" s="145"/>
      <c r="P205" s="145"/>
      <c r="Q205" s="145"/>
      <c r="R205" s="145"/>
      <c r="S205" s="145"/>
      <c r="T205" s="145"/>
      <c r="U205" s="459"/>
      <c r="V205" s="145"/>
      <c r="W205" s="145"/>
      <c r="X205" s="134"/>
      <c r="Z205" s="123"/>
      <c r="AA205" s="155"/>
      <c r="AB205" s="163"/>
      <c r="AC205" s="190"/>
      <c r="AD205" s="163"/>
      <c r="AE205" s="143"/>
      <c r="AF205" s="145"/>
      <c r="AG205" s="145"/>
      <c r="AH205" s="134"/>
      <c r="AI205" s="469"/>
      <c r="AJ205" s="213"/>
      <c r="AK205" s="163"/>
      <c r="AL205" s="469"/>
      <c r="AM205" s="145"/>
      <c r="AN205" s="458"/>
      <c r="AO205" s="150"/>
      <c r="AP205" s="151"/>
    </row>
    <row r="206" spans="1:42" ht="15.75">
      <c r="B206" s="163"/>
      <c r="C206" s="145"/>
      <c r="D206" s="143"/>
      <c r="E206" s="143"/>
      <c r="F206" s="143"/>
      <c r="G206" s="144"/>
      <c r="H206" s="145"/>
      <c r="I206" s="145"/>
      <c r="J206" s="145"/>
      <c r="K206" s="145"/>
      <c r="L206" s="145"/>
      <c r="M206" s="145"/>
      <c r="N206" s="145"/>
      <c r="O206" s="145"/>
      <c r="P206" s="145"/>
      <c r="Q206" s="145"/>
      <c r="R206" s="145"/>
      <c r="S206" s="145"/>
      <c r="T206" s="145"/>
      <c r="U206" s="459"/>
      <c r="V206" s="145"/>
      <c r="W206" s="145"/>
      <c r="X206" s="134"/>
      <c r="Z206" s="123"/>
      <c r="AA206" s="155"/>
      <c r="AB206" s="163"/>
      <c r="AC206" s="190"/>
      <c r="AD206" s="163"/>
      <c r="AE206" s="143"/>
      <c r="AF206" s="145"/>
      <c r="AG206" s="145"/>
      <c r="AH206" s="134"/>
      <c r="AI206" s="469"/>
      <c r="AJ206" s="213"/>
      <c r="AK206" s="163"/>
      <c r="AL206" s="469"/>
      <c r="AM206" s="145"/>
      <c r="AN206" s="458"/>
      <c r="AO206" s="150"/>
      <c r="AP206" s="151"/>
    </row>
    <row r="207" spans="1:42" ht="15.75">
      <c r="B207" s="163"/>
      <c r="C207" s="145"/>
      <c r="D207" s="143"/>
      <c r="E207" s="143"/>
      <c r="F207" s="143"/>
      <c r="G207" s="144"/>
      <c r="H207" s="145"/>
      <c r="I207" s="145"/>
      <c r="J207" s="145"/>
      <c r="K207" s="145"/>
      <c r="L207" s="145"/>
      <c r="M207" s="145"/>
      <c r="N207" s="145"/>
      <c r="O207" s="145"/>
      <c r="P207" s="145"/>
      <c r="Q207" s="145"/>
      <c r="R207" s="145"/>
      <c r="S207" s="145"/>
      <c r="T207" s="145"/>
      <c r="U207" s="459"/>
      <c r="V207" s="145"/>
      <c r="W207" s="145"/>
      <c r="X207" s="134"/>
      <c r="Z207" s="123"/>
      <c r="AA207" s="155"/>
      <c r="AB207" s="163"/>
      <c r="AC207" s="190"/>
      <c r="AD207" s="163"/>
      <c r="AE207" s="143"/>
      <c r="AF207" s="145"/>
      <c r="AG207" s="145"/>
      <c r="AH207" s="134"/>
      <c r="AI207" s="469"/>
      <c r="AJ207" s="213"/>
      <c r="AK207" s="163"/>
      <c r="AL207" s="469"/>
      <c r="AM207" s="145"/>
      <c r="AN207" s="458"/>
      <c r="AO207" s="150"/>
      <c r="AP207" s="151"/>
    </row>
    <row r="208" spans="1:42" ht="15.75">
      <c r="B208" s="163"/>
      <c r="C208" s="145"/>
      <c r="D208" s="143"/>
      <c r="E208" s="143"/>
      <c r="F208" s="143"/>
      <c r="G208" s="144"/>
      <c r="H208" s="145"/>
      <c r="I208" s="145"/>
      <c r="J208" s="145"/>
      <c r="K208" s="145"/>
      <c r="L208" s="145"/>
      <c r="M208" s="145"/>
      <c r="N208" s="145"/>
      <c r="O208" s="145"/>
      <c r="P208" s="145"/>
      <c r="Q208" s="145"/>
      <c r="R208" s="145"/>
      <c r="S208" s="145"/>
      <c r="T208" s="145"/>
      <c r="U208" s="459"/>
      <c r="V208" s="145"/>
      <c r="W208" s="145"/>
      <c r="X208" s="134"/>
      <c r="Z208" s="123"/>
      <c r="AA208" s="155"/>
      <c r="AB208" s="163"/>
      <c r="AC208" s="190"/>
      <c r="AD208" s="163"/>
      <c r="AE208" s="143"/>
      <c r="AF208" s="145"/>
      <c r="AG208" s="145"/>
      <c r="AH208" s="134"/>
      <c r="AI208" s="469"/>
      <c r="AJ208" s="213"/>
      <c r="AK208" s="163"/>
      <c r="AL208" s="469"/>
      <c r="AM208" s="145"/>
      <c r="AN208" s="458"/>
      <c r="AO208" s="150"/>
      <c r="AP208" s="151"/>
    </row>
    <row r="209" spans="2:42" ht="15.75">
      <c r="B209" s="163"/>
      <c r="C209" s="145"/>
      <c r="D209" s="143"/>
      <c r="E209" s="143"/>
      <c r="F209" s="143"/>
      <c r="G209" s="144"/>
      <c r="H209" s="145"/>
      <c r="I209" s="145"/>
      <c r="J209" s="145"/>
      <c r="K209" s="145"/>
      <c r="L209" s="145"/>
      <c r="M209" s="145"/>
      <c r="N209" s="145"/>
      <c r="O209" s="145"/>
      <c r="P209" s="145"/>
      <c r="Q209" s="145"/>
      <c r="R209" s="145"/>
      <c r="S209" s="145"/>
      <c r="T209" s="145"/>
      <c r="U209" s="459"/>
      <c r="V209" s="145"/>
      <c r="W209" s="145"/>
      <c r="X209" s="134"/>
      <c r="Z209" s="123"/>
      <c r="AA209" s="155"/>
      <c r="AB209" s="163"/>
      <c r="AC209" s="190"/>
      <c r="AD209" s="163"/>
      <c r="AE209" s="143"/>
      <c r="AF209" s="145"/>
      <c r="AG209" s="145"/>
      <c r="AH209" s="134"/>
      <c r="AI209" s="469"/>
      <c r="AJ209" s="213"/>
      <c r="AK209" s="163"/>
      <c r="AL209" s="469"/>
      <c r="AM209" s="145"/>
      <c r="AN209" s="458"/>
      <c r="AO209" s="150"/>
      <c r="AP209" s="151"/>
    </row>
    <row r="210" spans="2:42" ht="15.75">
      <c r="B210" s="163"/>
      <c r="C210" s="145"/>
      <c r="D210" s="143"/>
      <c r="E210" s="143"/>
      <c r="F210" s="143"/>
      <c r="G210" s="144"/>
      <c r="H210" s="145"/>
      <c r="I210" s="145"/>
      <c r="J210" s="145"/>
      <c r="K210" s="145"/>
      <c r="L210" s="145"/>
      <c r="M210" s="145"/>
      <c r="N210" s="145"/>
      <c r="O210" s="145"/>
      <c r="P210" s="145"/>
      <c r="Q210" s="145"/>
      <c r="R210" s="145"/>
      <c r="S210" s="145"/>
      <c r="T210" s="145"/>
      <c r="U210" s="459"/>
      <c r="V210" s="145"/>
      <c r="W210" s="145"/>
      <c r="X210" s="134"/>
      <c r="Z210" s="123"/>
      <c r="AA210" s="155"/>
      <c r="AB210" s="163"/>
      <c r="AC210" s="190"/>
      <c r="AD210" s="163"/>
      <c r="AE210" s="143"/>
      <c r="AF210" s="145"/>
      <c r="AG210" s="145"/>
      <c r="AH210" s="134"/>
      <c r="AI210" s="469"/>
      <c r="AJ210" s="213"/>
      <c r="AK210" s="163"/>
      <c r="AL210" s="469"/>
      <c r="AM210" s="145"/>
      <c r="AN210" s="458"/>
      <c r="AO210" s="150"/>
      <c r="AP210" s="151"/>
    </row>
    <row r="211" spans="2:42" ht="15.75">
      <c r="B211" s="163"/>
      <c r="C211" s="145"/>
      <c r="D211" s="143"/>
      <c r="E211" s="143"/>
      <c r="F211" s="143"/>
      <c r="G211" s="144"/>
      <c r="H211" s="145"/>
      <c r="I211" s="145"/>
      <c r="J211" s="145"/>
      <c r="K211" s="145"/>
      <c r="L211" s="145"/>
      <c r="M211" s="145"/>
      <c r="N211" s="145"/>
      <c r="O211" s="145"/>
      <c r="P211" s="145"/>
      <c r="Q211" s="145"/>
      <c r="R211" s="145"/>
      <c r="S211" s="145"/>
      <c r="T211" s="145"/>
      <c r="U211" s="459"/>
      <c r="V211" s="145"/>
      <c r="W211" s="145"/>
      <c r="X211" s="134"/>
      <c r="Z211" s="123"/>
      <c r="AA211" s="155"/>
      <c r="AB211" s="163"/>
      <c r="AC211" s="190"/>
      <c r="AD211" s="163"/>
      <c r="AE211" s="143"/>
      <c r="AF211" s="145"/>
      <c r="AG211" s="145"/>
      <c r="AH211" s="134"/>
      <c r="AI211" s="469"/>
      <c r="AJ211" s="213"/>
      <c r="AK211" s="163"/>
      <c r="AL211" s="469"/>
      <c r="AM211" s="145"/>
      <c r="AN211" s="458"/>
      <c r="AO211" s="150"/>
      <c r="AP211" s="151"/>
    </row>
    <row r="212" spans="2:42" ht="15.75">
      <c r="B212" s="163"/>
      <c r="C212" s="145"/>
      <c r="D212" s="143"/>
      <c r="E212" s="143"/>
      <c r="F212" s="143"/>
      <c r="G212" s="144"/>
      <c r="H212" s="145"/>
      <c r="I212" s="145"/>
      <c r="J212" s="145"/>
      <c r="K212" s="145"/>
      <c r="L212" s="145"/>
      <c r="M212" s="145"/>
      <c r="N212" s="145"/>
      <c r="O212" s="145"/>
      <c r="P212" s="145"/>
      <c r="Q212" s="145"/>
      <c r="R212" s="145"/>
      <c r="S212" s="145"/>
      <c r="T212" s="145"/>
      <c r="U212" s="459"/>
      <c r="V212" s="145"/>
      <c r="W212" s="145"/>
      <c r="X212" s="134"/>
      <c r="Z212" s="123"/>
      <c r="AA212" s="155"/>
      <c r="AB212" s="163"/>
      <c r="AC212" s="190"/>
      <c r="AD212" s="163"/>
      <c r="AE212" s="143"/>
      <c r="AF212" s="145"/>
      <c r="AG212" s="145"/>
      <c r="AH212" s="134"/>
      <c r="AI212" s="469"/>
      <c r="AJ212" s="213"/>
      <c r="AK212" s="163"/>
      <c r="AL212" s="469"/>
      <c r="AM212" s="145"/>
      <c r="AN212" s="458"/>
      <c r="AO212" s="150"/>
      <c r="AP212" s="151"/>
    </row>
    <row r="213" spans="2:42" ht="15.75">
      <c r="B213" s="163"/>
      <c r="C213" s="145"/>
      <c r="D213" s="143"/>
      <c r="E213" s="143"/>
      <c r="F213" s="143"/>
      <c r="G213" s="144"/>
      <c r="H213" s="145"/>
      <c r="I213" s="145"/>
      <c r="J213" s="145"/>
      <c r="K213" s="145"/>
      <c r="L213" s="145"/>
      <c r="M213" s="145"/>
      <c r="N213" s="145"/>
      <c r="O213" s="145"/>
      <c r="P213" s="145"/>
      <c r="Q213" s="145"/>
      <c r="R213" s="145"/>
      <c r="S213" s="145"/>
      <c r="T213" s="145"/>
      <c r="U213" s="459"/>
      <c r="V213" s="145"/>
      <c r="W213" s="145"/>
      <c r="X213" s="134"/>
      <c r="Z213" s="123"/>
      <c r="AA213" s="155"/>
      <c r="AB213" s="163"/>
      <c r="AC213" s="190"/>
      <c r="AD213" s="163"/>
      <c r="AE213" s="143"/>
      <c r="AF213" s="145"/>
      <c r="AG213" s="145"/>
      <c r="AH213" s="134"/>
      <c r="AI213" s="469"/>
      <c r="AJ213" s="213"/>
      <c r="AK213" s="163"/>
      <c r="AL213" s="469"/>
      <c r="AM213" s="145"/>
      <c r="AN213" s="458"/>
      <c r="AO213" s="150"/>
      <c r="AP213" s="151"/>
    </row>
    <row r="214" spans="2:42" ht="15.75">
      <c r="B214" s="163"/>
      <c r="C214" s="145"/>
      <c r="D214" s="143"/>
      <c r="E214" s="143"/>
      <c r="F214" s="143"/>
      <c r="G214" s="144"/>
      <c r="H214" s="145"/>
      <c r="I214" s="145"/>
      <c r="J214" s="145"/>
      <c r="K214" s="145"/>
      <c r="L214" s="145"/>
      <c r="M214" s="145"/>
      <c r="N214" s="145"/>
      <c r="O214" s="145"/>
      <c r="P214" s="145"/>
      <c r="Q214" s="145"/>
      <c r="R214" s="145"/>
      <c r="S214" s="145"/>
      <c r="T214" s="145"/>
      <c r="U214" s="459"/>
      <c r="V214" s="145"/>
      <c r="W214" s="145"/>
      <c r="X214" s="134"/>
      <c r="Z214" s="123"/>
      <c r="AA214" s="155"/>
      <c r="AB214" s="163"/>
      <c r="AC214" s="190"/>
      <c r="AD214" s="163"/>
      <c r="AE214" s="143"/>
      <c r="AF214" s="145"/>
      <c r="AG214" s="145"/>
      <c r="AH214" s="134"/>
      <c r="AI214" s="469"/>
      <c r="AJ214" s="213"/>
      <c r="AK214" s="163"/>
      <c r="AL214" s="469"/>
      <c r="AM214" s="145"/>
      <c r="AN214" s="458"/>
      <c r="AO214" s="150"/>
      <c r="AP214" s="151"/>
    </row>
    <row r="215" spans="2:42" ht="15.75">
      <c r="B215" s="163"/>
      <c r="C215" s="145"/>
      <c r="D215" s="143"/>
      <c r="E215" s="143"/>
      <c r="F215" s="143"/>
      <c r="G215" s="144"/>
      <c r="H215" s="145"/>
      <c r="I215" s="145"/>
      <c r="J215" s="145"/>
      <c r="K215" s="145"/>
      <c r="L215" s="145"/>
      <c r="M215" s="145"/>
      <c r="N215" s="145"/>
      <c r="O215" s="145"/>
      <c r="P215" s="145"/>
      <c r="Q215" s="145"/>
      <c r="R215" s="145"/>
      <c r="S215" s="145"/>
      <c r="T215" s="145"/>
      <c r="U215" s="459"/>
      <c r="V215" s="145"/>
      <c r="W215" s="145"/>
      <c r="X215" s="134"/>
      <c r="Z215" s="123"/>
      <c r="AA215" s="155"/>
      <c r="AB215" s="163"/>
      <c r="AC215" s="190"/>
      <c r="AD215" s="163"/>
      <c r="AE215" s="143"/>
      <c r="AF215" s="145"/>
      <c r="AG215" s="145"/>
      <c r="AH215" s="134"/>
      <c r="AI215" s="469"/>
      <c r="AJ215" s="213"/>
      <c r="AK215" s="163"/>
      <c r="AL215" s="469"/>
      <c r="AM215" s="145"/>
      <c r="AN215" s="458"/>
      <c r="AO215" s="150"/>
      <c r="AP215" s="151"/>
    </row>
    <row r="216" spans="2:42" ht="15.75">
      <c r="B216" s="163"/>
      <c r="C216" s="145"/>
      <c r="D216" s="143"/>
      <c r="E216" s="143"/>
      <c r="F216" s="143"/>
      <c r="G216" s="144"/>
      <c r="H216" s="145"/>
      <c r="I216" s="145"/>
      <c r="J216" s="145"/>
      <c r="K216" s="145"/>
      <c r="L216" s="145"/>
      <c r="M216" s="145"/>
      <c r="N216" s="145"/>
      <c r="O216" s="145"/>
      <c r="P216" s="145"/>
      <c r="Q216" s="145"/>
      <c r="R216" s="145"/>
      <c r="S216" s="145"/>
      <c r="T216" s="145"/>
      <c r="U216" s="459"/>
      <c r="V216" s="145"/>
      <c r="W216" s="145"/>
      <c r="X216" s="134"/>
      <c r="Z216" s="123"/>
      <c r="AA216" s="155"/>
      <c r="AB216" s="163"/>
      <c r="AC216" s="190"/>
      <c r="AD216" s="163"/>
      <c r="AE216" s="143"/>
      <c r="AF216" s="145"/>
      <c r="AG216" s="145"/>
      <c r="AH216" s="134"/>
      <c r="AI216" s="469"/>
      <c r="AJ216" s="213"/>
      <c r="AK216" s="163"/>
      <c r="AL216" s="469"/>
      <c r="AM216" s="145"/>
      <c r="AN216" s="458"/>
      <c r="AO216" s="150"/>
      <c r="AP216" s="151"/>
    </row>
    <row r="217" spans="2:42" ht="15.75">
      <c r="B217" s="163"/>
      <c r="C217" s="145"/>
      <c r="D217" s="143"/>
      <c r="E217" s="143"/>
      <c r="F217" s="143"/>
      <c r="G217" s="144"/>
      <c r="H217" s="145"/>
      <c r="I217" s="145"/>
      <c r="J217" s="145"/>
      <c r="K217" s="145"/>
      <c r="L217" s="145"/>
      <c r="M217" s="145"/>
      <c r="N217" s="145"/>
      <c r="O217" s="145"/>
      <c r="P217" s="145"/>
      <c r="Q217" s="145"/>
      <c r="R217" s="145"/>
      <c r="S217" s="145"/>
      <c r="T217" s="145"/>
      <c r="U217" s="459"/>
      <c r="V217" s="145"/>
      <c r="W217" s="145"/>
      <c r="X217" s="134"/>
      <c r="Z217" s="123"/>
      <c r="AA217" s="155"/>
      <c r="AB217" s="163"/>
      <c r="AC217" s="190"/>
      <c r="AD217" s="163"/>
      <c r="AE217" s="143"/>
      <c r="AF217" s="145"/>
      <c r="AG217" s="145"/>
      <c r="AH217" s="134"/>
      <c r="AI217" s="469"/>
      <c r="AJ217" s="213"/>
      <c r="AK217" s="163"/>
      <c r="AL217" s="469"/>
      <c r="AM217" s="145"/>
      <c r="AN217" s="458"/>
      <c r="AO217" s="150"/>
      <c r="AP217" s="151"/>
    </row>
    <row r="218" spans="2:42" ht="15.75">
      <c r="B218" s="163"/>
      <c r="C218" s="145"/>
      <c r="D218" s="143"/>
      <c r="E218" s="143"/>
      <c r="F218" s="143"/>
      <c r="G218" s="144"/>
      <c r="H218" s="145"/>
      <c r="I218" s="145"/>
      <c r="J218" s="145"/>
      <c r="K218" s="145"/>
      <c r="L218" s="145"/>
      <c r="M218" s="145"/>
      <c r="N218" s="145"/>
      <c r="O218" s="145"/>
      <c r="P218" s="145"/>
      <c r="Q218" s="145"/>
      <c r="R218" s="145"/>
      <c r="S218" s="145"/>
      <c r="T218" s="145"/>
      <c r="U218" s="459"/>
      <c r="V218" s="145"/>
      <c r="W218" s="145"/>
      <c r="X218" s="134"/>
      <c r="Z218" s="123"/>
      <c r="AA218" s="155"/>
      <c r="AB218" s="163"/>
      <c r="AC218" s="190"/>
      <c r="AD218" s="163"/>
      <c r="AE218" s="143"/>
      <c r="AF218" s="145"/>
      <c r="AG218" s="145"/>
      <c r="AH218" s="134"/>
      <c r="AI218" s="469"/>
      <c r="AJ218" s="213"/>
      <c r="AK218" s="163"/>
      <c r="AL218" s="469"/>
      <c r="AM218" s="145"/>
      <c r="AN218" s="458"/>
      <c r="AO218" s="150"/>
      <c r="AP218" s="151"/>
    </row>
    <row r="219" spans="2:42" ht="15.75">
      <c r="B219" s="163"/>
      <c r="C219" s="145"/>
      <c r="D219" s="143"/>
      <c r="E219" s="143"/>
      <c r="F219" s="143"/>
      <c r="G219" s="144"/>
      <c r="H219" s="145"/>
      <c r="I219" s="145"/>
      <c r="J219" s="145"/>
      <c r="K219" s="145"/>
      <c r="L219" s="145"/>
      <c r="M219" s="145"/>
      <c r="N219" s="145"/>
      <c r="O219" s="145"/>
      <c r="P219" s="145"/>
      <c r="Q219" s="145"/>
      <c r="R219" s="145"/>
      <c r="S219" s="145"/>
      <c r="T219" s="145"/>
      <c r="U219" s="459"/>
      <c r="V219" s="145"/>
      <c r="W219" s="145"/>
      <c r="X219" s="134"/>
      <c r="Z219" s="123"/>
      <c r="AA219" s="155"/>
      <c r="AB219" s="163"/>
      <c r="AC219" s="190"/>
      <c r="AD219" s="163"/>
      <c r="AE219" s="143"/>
      <c r="AF219" s="145"/>
      <c r="AG219" s="145"/>
      <c r="AH219" s="134"/>
      <c r="AI219" s="469"/>
      <c r="AJ219" s="213"/>
      <c r="AK219" s="163"/>
      <c r="AL219" s="469"/>
      <c r="AM219" s="145"/>
      <c r="AN219" s="458"/>
      <c r="AO219" s="150"/>
      <c r="AP219" s="151"/>
    </row>
    <row r="220" spans="2:42" ht="15.75">
      <c r="B220" s="163"/>
      <c r="C220" s="145"/>
      <c r="D220" s="143"/>
      <c r="E220" s="143"/>
      <c r="F220" s="143"/>
      <c r="G220" s="144"/>
      <c r="H220" s="145"/>
      <c r="I220" s="145"/>
      <c r="J220" s="145"/>
      <c r="K220" s="145"/>
      <c r="L220" s="145"/>
      <c r="M220" s="145"/>
      <c r="N220" s="145"/>
      <c r="O220" s="145"/>
      <c r="P220" s="145"/>
      <c r="Q220" s="145"/>
      <c r="R220" s="145"/>
      <c r="S220" s="145"/>
      <c r="T220" s="145"/>
      <c r="U220" s="459"/>
      <c r="V220" s="145"/>
      <c r="W220" s="145"/>
      <c r="X220" s="134"/>
      <c r="Z220" s="123"/>
      <c r="AA220" s="155"/>
      <c r="AB220" s="163"/>
      <c r="AC220" s="190"/>
      <c r="AD220" s="163"/>
      <c r="AE220" s="143"/>
      <c r="AF220" s="145"/>
      <c r="AG220" s="145"/>
      <c r="AH220" s="134"/>
      <c r="AI220" s="469"/>
      <c r="AJ220" s="213"/>
      <c r="AK220" s="163"/>
      <c r="AL220" s="469"/>
      <c r="AM220" s="145"/>
      <c r="AN220" s="458"/>
      <c r="AO220" s="150"/>
      <c r="AP220" s="151"/>
    </row>
    <row r="221" spans="2:42" ht="15.75">
      <c r="B221" s="163"/>
      <c r="C221" s="145"/>
      <c r="D221" s="143"/>
      <c r="E221" s="143"/>
      <c r="F221" s="143"/>
      <c r="G221" s="144"/>
      <c r="H221" s="145"/>
      <c r="I221" s="145"/>
      <c r="J221" s="145"/>
      <c r="K221" s="145"/>
      <c r="L221" s="145"/>
      <c r="M221" s="145"/>
      <c r="N221" s="145"/>
      <c r="O221" s="145"/>
      <c r="P221" s="145"/>
      <c r="Q221" s="145"/>
      <c r="R221" s="145"/>
      <c r="S221" s="145"/>
      <c r="T221" s="145"/>
      <c r="U221" s="459"/>
      <c r="V221" s="145"/>
      <c r="W221" s="145"/>
      <c r="X221" s="134"/>
      <c r="Z221" s="123"/>
      <c r="AA221" s="155"/>
      <c r="AB221" s="163"/>
      <c r="AC221" s="190"/>
      <c r="AD221" s="163"/>
      <c r="AE221" s="143"/>
      <c r="AF221" s="145"/>
      <c r="AG221" s="145"/>
      <c r="AH221" s="134"/>
      <c r="AI221" s="469"/>
      <c r="AJ221" s="213"/>
      <c r="AK221" s="163"/>
      <c r="AL221" s="469"/>
      <c r="AM221" s="145"/>
      <c r="AN221" s="458"/>
      <c r="AO221" s="150"/>
      <c r="AP221" s="151"/>
    </row>
    <row r="222" spans="2:42" ht="15.75">
      <c r="B222" s="163"/>
      <c r="C222" s="145"/>
      <c r="D222" s="143"/>
      <c r="E222" s="143"/>
      <c r="F222" s="143"/>
      <c r="G222" s="144"/>
      <c r="H222" s="145"/>
      <c r="I222" s="145"/>
      <c r="J222" s="145"/>
      <c r="K222" s="145"/>
      <c r="L222" s="145"/>
      <c r="M222" s="145"/>
      <c r="N222" s="145"/>
      <c r="O222" s="145"/>
      <c r="P222" s="145"/>
      <c r="Q222" s="145"/>
      <c r="R222" s="145"/>
      <c r="S222" s="145"/>
      <c r="T222" s="145"/>
      <c r="U222" s="459"/>
      <c r="V222" s="145"/>
      <c r="W222" s="145"/>
      <c r="X222" s="134"/>
      <c r="Z222" s="123"/>
      <c r="AA222" s="155"/>
      <c r="AB222" s="163"/>
      <c r="AC222" s="190"/>
      <c r="AD222" s="163"/>
      <c r="AE222" s="143"/>
      <c r="AF222" s="145"/>
      <c r="AG222" s="145"/>
      <c r="AH222" s="134"/>
      <c r="AI222" s="469"/>
      <c r="AJ222" s="213"/>
      <c r="AK222" s="163"/>
      <c r="AL222" s="469"/>
      <c r="AM222" s="145"/>
      <c r="AN222" s="458"/>
      <c r="AO222" s="150"/>
      <c r="AP222" s="151"/>
    </row>
    <row r="223" spans="2:42" ht="15.75">
      <c r="B223" s="163"/>
      <c r="C223" s="145"/>
      <c r="D223" s="143"/>
      <c r="E223" s="143"/>
      <c r="F223" s="143"/>
      <c r="G223" s="144"/>
      <c r="H223" s="145"/>
      <c r="I223" s="145"/>
      <c r="J223" s="145"/>
      <c r="K223" s="145"/>
      <c r="L223" s="145"/>
      <c r="M223" s="145"/>
      <c r="N223" s="145"/>
      <c r="O223" s="145"/>
      <c r="P223" s="145"/>
      <c r="Q223" s="145"/>
      <c r="R223" s="145"/>
      <c r="S223" s="145"/>
      <c r="T223" s="145"/>
      <c r="U223" s="145"/>
      <c r="V223" s="145"/>
      <c r="W223" s="145"/>
      <c r="X223" s="134"/>
      <c r="Z223" s="123"/>
      <c r="AA223" s="155"/>
      <c r="AB223" s="163"/>
      <c r="AC223" s="190"/>
      <c r="AD223" s="163"/>
      <c r="AE223" s="143"/>
      <c r="AF223" s="145"/>
      <c r="AG223" s="145"/>
      <c r="AH223" s="134"/>
      <c r="AI223" s="469"/>
      <c r="AJ223" s="213"/>
      <c r="AK223" s="163"/>
      <c r="AL223" s="469"/>
      <c r="AM223" s="145"/>
      <c r="AN223" s="458"/>
      <c r="AO223" s="150"/>
      <c r="AP223" s="151"/>
    </row>
    <row r="224" spans="2:42" ht="15.75">
      <c r="C224" s="145"/>
      <c r="D224" s="143"/>
      <c r="E224" s="143"/>
      <c r="G224" s="191"/>
      <c r="U224" s="480"/>
      <c r="Z224" s="123"/>
      <c r="AA224" s="192"/>
      <c r="AB224" s="163"/>
      <c r="AC224" s="190"/>
      <c r="AD224" s="163"/>
      <c r="AI224" s="469"/>
      <c r="AJ224" s="206"/>
      <c r="AK224" s="206"/>
      <c r="AL224" s="469"/>
      <c r="AM224" s="145"/>
      <c r="AN224" s="481"/>
      <c r="AO224" s="207"/>
      <c r="AP224" s="207"/>
    </row>
    <row r="225" spans="3:42" ht="15.75">
      <c r="C225" s="145"/>
      <c r="D225" s="143"/>
      <c r="E225" s="143"/>
      <c r="G225" s="191"/>
      <c r="U225" s="480"/>
      <c r="Z225" s="123"/>
      <c r="AA225" s="192"/>
      <c r="AB225" s="163"/>
      <c r="AC225" s="190"/>
      <c r="AD225" s="163"/>
      <c r="AI225" s="469"/>
      <c r="AJ225" s="206"/>
      <c r="AK225" s="206"/>
      <c r="AL225" s="469"/>
      <c r="AM225" s="145"/>
      <c r="AN225" s="481"/>
      <c r="AO225" s="207"/>
      <c r="AP225" s="207"/>
    </row>
    <row r="226" spans="3:42" ht="15.75">
      <c r="C226" s="145"/>
      <c r="D226" s="143"/>
      <c r="E226" s="143"/>
      <c r="G226" s="191"/>
      <c r="U226" s="480"/>
      <c r="Z226" s="123"/>
      <c r="AA226" s="192"/>
      <c r="AB226" s="163"/>
      <c r="AC226" s="190"/>
      <c r="AD226" s="163"/>
      <c r="AI226" s="469"/>
      <c r="AJ226" s="206"/>
      <c r="AK226" s="206"/>
      <c r="AL226" s="469"/>
      <c r="AM226" s="145"/>
      <c r="AN226" s="481"/>
      <c r="AO226" s="207"/>
      <c r="AP226" s="207"/>
    </row>
    <row r="227" spans="3:42" ht="15.75">
      <c r="C227" s="145"/>
      <c r="D227" s="143"/>
      <c r="E227" s="143"/>
      <c r="G227" s="191"/>
      <c r="U227" s="480"/>
      <c r="Z227" s="123"/>
      <c r="AA227" s="192"/>
      <c r="AB227" s="163"/>
      <c r="AC227" s="190"/>
      <c r="AD227" s="163"/>
      <c r="AI227" s="469"/>
      <c r="AJ227" s="206"/>
      <c r="AK227" s="206"/>
      <c r="AL227" s="469"/>
      <c r="AM227" s="145"/>
      <c r="AN227" s="481"/>
      <c r="AO227" s="207"/>
      <c r="AP227" s="207"/>
    </row>
  </sheetData>
  <autoFilter ref="B1:AP143" xr:uid="{69827CDF-F361-493D-89B0-98A70E42611A}">
    <filterColumn colId="13">
      <filters>
        <filter val="AEREO"/>
        <filter val="TERRESTRE"/>
      </filters>
    </filterColumn>
  </autoFilter>
  <conditionalFormatting sqref="C1:D1 C9:D227">
    <cfRule type="containsText" dxfId="50" priority="24" operator="containsText" text="EN ALMACEN">
      <formula>NOT(ISERROR(SEARCH("EN ALMACEN",C1)))</formula>
    </cfRule>
  </conditionalFormatting>
  <conditionalFormatting sqref="C1:D1 C9:D227">
    <cfRule type="containsText" dxfId="49" priority="23" operator="containsText" text="LIBERADO">
      <formula>NOT(ISERROR(SEARCH("LIBERADO",C1)))</formula>
    </cfRule>
  </conditionalFormatting>
  <conditionalFormatting sqref="C1:D1 C9:D227">
    <cfRule type="containsText" dxfId="48" priority="22" operator="containsText" text="DESPACHADO">
      <formula>NOT(ISERROR(SEARCH("DESPACHADO",C1)))</formula>
    </cfRule>
  </conditionalFormatting>
  <conditionalFormatting sqref="C1:D1 C9:D227">
    <cfRule type="containsText" dxfId="47" priority="21" operator="containsText" text="EN TRANSITO">
      <formula>NOT(ISERROR(SEARCH("EN TRANSITO",C1)))</formula>
    </cfRule>
  </conditionalFormatting>
  <conditionalFormatting sqref="C43:D43">
    <cfRule type="containsText" dxfId="46" priority="20" operator="containsText" text="ARRIBADA EN PUERTO">
      <formula>NOT(ISERROR(SEARCH("ARRIBADA EN PUERTO",C43)))</formula>
    </cfRule>
  </conditionalFormatting>
  <conditionalFormatting sqref="E1 E6:E227">
    <cfRule type="containsText" dxfId="45" priority="19" operator="containsText" text="PENDIENTE">
      <formula>NOT(ISERROR(SEARCH("PENDIENTE",E1)))</formula>
    </cfRule>
  </conditionalFormatting>
  <conditionalFormatting sqref="E1 E6:E227">
    <cfRule type="containsText" dxfId="44" priority="18" operator="containsText" text="EMITIDA">
      <formula>NOT(ISERROR(SEARCH("EMITIDA",E1)))</formula>
    </cfRule>
  </conditionalFormatting>
  <conditionalFormatting sqref="G60:G227 G1:G58">
    <cfRule type="containsBlanks" dxfId="43" priority="17">
      <formula>LEN(TRIM(G1))=0</formula>
    </cfRule>
  </conditionalFormatting>
  <conditionalFormatting sqref="AK1 AK38 AK6:AK36 AK40:AK227">
    <cfRule type="containsText" dxfId="42" priority="16" operator="containsText" text="PENDIENTE">
      <formula>NOT(ISERROR(SEARCH("PENDIENTE",AK1)))</formula>
    </cfRule>
  </conditionalFormatting>
  <conditionalFormatting sqref="AJ1 AJ12:AJ29 AJ35:AJ40 AJ31:AJ32 AJ6:AJ10 AJ42:AJ227">
    <cfRule type="containsText" dxfId="41" priority="15" operator="containsText" text="PENDIENTE">
      <formula>NOT(ISERROR(SEARCH("PENDIENTE",AJ1)))</formula>
    </cfRule>
  </conditionalFormatting>
  <conditionalFormatting sqref="AI1 AI34 AI6:AI32 AI36:AI227">
    <cfRule type="containsText" dxfId="40" priority="13" operator="containsText" text="PENDIENTE">
      <formula>NOT(ISERROR(SEARCH("PENDIENTE",AI1)))</formula>
    </cfRule>
  </conditionalFormatting>
  <conditionalFormatting sqref="C33:D33">
    <cfRule type="containsText" dxfId="39" priority="12" operator="containsText" text="ARRIBADA EN PUERTO">
      <formula>NOT(ISERROR(SEARCH("ARRIBADA EN PUERTO",C33)))</formula>
    </cfRule>
  </conditionalFormatting>
  <conditionalFormatting sqref="C2:D8">
    <cfRule type="containsText" dxfId="38" priority="11" operator="containsText" text="EN ALMACEN">
      <formula>NOT(ISERROR(SEARCH("EN ALMACEN",C2)))</formula>
    </cfRule>
  </conditionalFormatting>
  <conditionalFormatting sqref="C2:D8">
    <cfRule type="containsText" dxfId="37" priority="10" operator="containsText" text="LIBERADO">
      <formula>NOT(ISERROR(SEARCH("LIBERADO",C2)))</formula>
    </cfRule>
  </conditionalFormatting>
  <conditionalFormatting sqref="C2:D8">
    <cfRule type="containsText" dxfId="36" priority="9" operator="containsText" text="DESPACHADO">
      <formula>NOT(ISERROR(SEARCH("DESPACHADO",C2)))</formula>
    </cfRule>
  </conditionalFormatting>
  <conditionalFormatting sqref="C2:D8">
    <cfRule type="containsText" dxfId="35" priority="8" operator="containsText" text="EN TRANSITO">
      <formula>NOT(ISERROR(SEARCH("EN TRANSITO",C2)))</formula>
    </cfRule>
  </conditionalFormatting>
  <conditionalFormatting sqref="E2:E5">
    <cfRule type="containsText" dxfId="34" priority="7" operator="containsText" text="PENDIENTE">
      <formula>NOT(ISERROR(SEARCH("PENDIENTE",E2)))</formula>
    </cfRule>
  </conditionalFormatting>
  <conditionalFormatting sqref="E2:E5">
    <cfRule type="containsText" dxfId="33" priority="6" operator="containsText" text="EMITIDA">
      <formula>NOT(ISERROR(SEARCH("EMITIDA",E2)))</formula>
    </cfRule>
  </conditionalFormatting>
  <conditionalFormatting sqref="AK2:AK5">
    <cfRule type="containsText" dxfId="32" priority="4" operator="containsText" text="PENDIENTE">
      <formula>NOT(ISERROR(SEARCH("PENDIENTE",AK2)))</formula>
    </cfRule>
  </conditionalFormatting>
  <conditionalFormatting sqref="AJ2:AJ5">
    <cfRule type="containsText" dxfId="31" priority="3" operator="containsText" text="PENDIENTE">
      <formula>NOT(ISERROR(SEARCH("PENDIENTE",AJ2)))</formula>
    </cfRule>
  </conditionalFormatting>
  <dataValidations count="4">
    <dataValidation type="list" allowBlank="1" showInputMessage="1" showErrorMessage="1" sqref="C9:D83" xr:uid="{781AF622-37EC-4DAF-9C61-90E097567388}">
      <formula1>CARGA</formula1>
    </dataValidation>
    <dataValidation type="list" allowBlank="1" showInputMessage="1" showErrorMessage="1" sqref="X6:X68" xr:uid="{ECABC303-624F-4827-86EB-7A04C945D41D}">
      <formula1>cliente</formula1>
    </dataValidation>
    <dataValidation type="list" allowBlank="1" showInputMessage="1" showErrorMessage="1" sqref="O2:O93" xr:uid="{BDC517C4-D1AD-49D3-B0CF-EC98AD34AADA}">
      <formula1>TIPO_OPERACION</formula1>
    </dataValidation>
    <dataValidation type="list" allowBlank="1" showInputMessage="1" showErrorMessage="1" sqref="M9:M73" xr:uid="{3B38F616-BAA5-4734-948F-55768E5A6330}">
      <formula1>TIPO_CARGA</formula1>
    </dataValidation>
  </dataValidations>
  <hyperlinks>
    <hyperlink ref="AD2" r:id="rId1" xr:uid="{5B52E525-4431-4D6F-B4B8-02E556A082BC}"/>
    <hyperlink ref="AH2" r:id="rId2" display="10/03/2026" xr:uid="{1C21AEDE-6269-4E90-96FE-F2A62B1ECC64}"/>
    <hyperlink ref="AG2" r:id="rId3" display="4090179630" xr:uid="{A56B6915-F264-49FB-9C37-AE130A5282AE}"/>
    <hyperlink ref="AB3" r:id="rId4" display="2605110975" xr:uid="{7ECFC7B8-CD29-4695-B7B3-1952876D3244}"/>
    <hyperlink ref="AD4" r:id="rId5" xr:uid="{06F7BBEF-7A65-411F-A5F4-63CEC63485C6}"/>
    <hyperlink ref="AG4" r:id="rId6" display="4090180082" xr:uid="{80B18691-1CDF-4E6C-8744-31D2B79CB166}"/>
    <hyperlink ref="AG3" r:id="rId7" display="4090180128" xr:uid="{5C839E8E-EF21-4D2D-A419-D78AAB620D53}"/>
    <hyperlink ref="AD3" r:id="rId8" xr:uid="{F8A53FDC-3FD5-4BA6-82D0-11BBBDCD2F86}"/>
    <hyperlink ref="AH3" r:id="rId9" display="13/03/2026" xr:uid="{A99F81A3-DF2E-45C1-9D7E-5B8F0825C4D5}"/>
    <hyperlink ref="AH4" r:id="rId10" display="10/03/2026" xr:uid="{F9BE1552-6743-4B2F-802F-7C1A92A03CA9}"/>
  </hyperlinks>
  <pageMargins left="0.7" right="0.7" top="0.75" bottom="0.75" header="0.3" footer="0.3"/>
  <legacyDrawing r:id="rId1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A528B-0B32-4EB7-92D3-80838774AD2A}">
  <dimension ref="A1:AR5"/>
  <sheetViews>
    <sheetView workbookViewId="0">
      <pane xSplit="2" topLeftCell="S1" activePane="topRight" state="frozen"/>
      <selection pane="topRight" activeCell="V2" sqref="V2"/>
    </sheetView>
  </sheetViews>
  <sheetFormatPr defaultRowHeight="15"/>
  <cols>
    <col min="1" max="1" width="18.7109375" style="2" customWidth="1"/>
    <col min="2" max="2" width="19.85546875" style="2" customWidth="1"/>
    <col min="3" max="3" width="12.5703125" style="2" customWidth="1"/>
    <col min="4" max="4" width="19.28515625" style="2" customWidth="1"/>
    <col min="5" max="5" width="19.7109375" style="2" customWidth="1"/>
    <col min="6" max="6" width="19.42578125" style="2" customWidth="1"/>
    <col min="7" max="9" width="17.85546875" style="2" customWidth="1"/>
    <col min="10" max="10" width="17" style="2" customWidth="1"/>
    <col min="11" max="11" width="13.85546875" style="2" customWidth="1"/>
    <col min="12" max="12" width="14.5703125" style="2" customWidth="1"/>
    <col min="13" max="13" width="16.5703125" style="2" customWidth="1"/>
    <col min="14" max="14" width="15" style="2" customWidth="1"/>
    <col min="15" max="15" width="19.7109375" style="2" customWidth="1"/>
    <col min="16" max="16" width="17.140625" style="2" customWidth="1"/>
    <col min="17" max="17" width="29.42578125" style="2" customWidth="1"/>
    <col min="18" max="18" width="19.42578125" style="2" customWidth="1"/>
    <col min="19" max="19" width="13.42578125" style="2" customWidth="1"/>
    <col min="20" max="20" width="15.7109375" style="2" customWidth="1"/>
    <col min="21" max="21" width="12.7109375" style="2" customWidth="1"/>
    <col min="22" max="22" width="29.7109375" style="2" customWidth="1"/>
    <col min="23" max="23" width="16.85546875" style="2" customWidth="1"/>
    <col min="24" max="24" width="17.140625" style="2" customWidth="1"/>
    <col min="25" max="25" width="20.5703125" style="2" customWidth="1"/>
    <col min="26" max="26" width="11.28515625" style="2" customWidth="1"/>
    <col min="27" max="27" width="13.140625" style="2" customWidth="1"/>
    <col min="28" max="29" width="15" style="2" customWidth="1"/>
    <col min="30" max="31" width="14.140625" style="2" customWidth="1"/>
    <col min="32" max="32" width="15" style="2" customWidth="1"/>
    <col min="33" max="33" width="14.28515625" style="2" customWidth="1"/>
    <col min="34" max="34" width="12.140625" style="2" customWidth="1"/>
    <col min="35" max="35" width="12.5703125" style="2" customWidth="1"/>
    <col min="36" max="36" width="11.85546875" style="2" customWidth="1"/>
    <col min="37" max="37" width="13.42578125" style="2" customWidth="1"/>
    <col min="38" max="16384" width="9.140625" style="2"/>
  </cols>
  <sheetData>
    <row r="1" spans="1:44" ht="76.5">
      <c r="A1" s="89" t="s">
        <v>859</v>
      </c>
      <c r="B1" s="89" t="s">
        <v>1</v>
      </c>
      <c r="C1" s="89" t="s">
        <v>2</v>
      </c>
      <c r="D1" s="229" t="s">
        <v>861</v>
      </c>
      <c r="E1" s="230" t="s">
        <v>862</v>
      </c>
      <c r="F1" s="230" t="s">
        <v>863</v>
      </c>
      <c r="G1" s="230" t="s">
        <v>864</v>
      </c>
      <c r="H1" s="230" t="s">
        <v>865</v>
      </c>
      <c r="I1" s="230" t="s">
        <v>866</v>
      </c>
      <c r="J1" s="231" t="s">
        <v>10</v>
      </c>
      <c r="K1" s="231" t="s">
        <v>11</v>
      </c>
      <c r="L1" s="231" t="s">
        <v>12</v>
      </c>
      <c r="M1" s="231" t="s">
        <v>932</v>
      </c>
      <c r="N1" s="231" t="s">
        <v>868</v>
      </c>
      <c r="O1" s="232" t="s">
        <v>933</v>
      </c>
      <c r="P1" s="232" t="s">
        <v>871</v>
      </c>
      <c r="Q1" s="232" t="s">
        <v>934</v>
      </c>
      <c r="R1" s="232" t="s">
        <v>873</v>
      </c>
      <c r="S1" s="232" t="s">
        <v>19</v>
      </c>
      <c r="T1" s="232" t="s">
        <v>20</v>
      </c>
      <c r="U1" s="227" t="s">
        <v>875</v>
      </c>
      <c r="V1" s="227" t="s">
        <v>876</v>
      </c>
      <c r="W1" s="89" t="s">
        <v>877</v>
      </c>
      <c r="X1" s="89" t="s">
        <v>878</v>
      </c>
      <c r="Y1" s="89" t="s">
        <v>879</v>
      </c>
      <c r="Z1" s="89" t="s">
        <v>880</v>
      </c>
      <c r="AA1" s="89" t="s">
        <v>25</v>
      </c>
      <c r="AB1" s="233" t="s">
        <v>26</v>
      </c>
      <c r="AC1" s="89" t="s">
        <v>27</v>
      </c>
      <c r="AD1" s="218" t="s">
        <v>23</v>
      </c>
      <c r="AE1" s="232" t="s">
        <v>881</v>
      </c>
      <c r="AF1" s="232" t="s">
        <v>882</v>
      </c>
      <c r="AG1" s="218" t="s">
        <v>30</v>
      </c>
      <c r="AH1" s="57" t="s">
        <v>883</v>
      </c>
      <c r="AI1" s="482" t="s">
        <v>884</v>
      </c>
      <c r="AJ1" s="234" t="s">
        <v>32</v>
      </c>
      <c r="AK1" s="234" t="s">
        <v>33</v>
      </c>
      <c r="AL1" s="145"/>
      <c r="AM1" s="145"/>
      <c r="AN1" s="145"/>
      <c r="AO1" s="145"/>
      <c r="AP1" s="145"/>
      <c r="AQ1" s="145"/>
      <c r="AR1" s="145"/>
    </row>
    <row r="2" spans="1:44" ht="15.75">
      <c r="A2" s="235" t="s">
        <v>935</v>
      </c>
      <c r="B2" s="18">
        <v>180447</v>
      </c>
      <c r="C2" s="2" t="s">
        <v>52</v>
      </c>
      <c r="D2" s="28">
        <v>46093</v>
      </c>
      <c r="J2" s="2" t="s">
        <v>54</v>
      </c>
      <c r="K2" s="2" t="s">
        <v>41</v>
      </c>
      <c r="L2" s="2" t="s">
        <v>936</v>
      </c>
      <c r="M2" s="2" t="s">
        <v>937</v>
      </c>
      <c r="O2" s="18">
        <v>54943191131</v>
      </c>
      <c r="Q2" s="18" t="s">
        <v>938</v>
      </c>
      <c r="S2" s="96"/>
      <c r="T2" s="18"/>
      <c r="U2" s="18"/>
      <c r="V2" s="18" t="s">
        <v>939</v>
      </c>
      <c r="W2" s="85">
        <v>2613127706</v>
      </c>
      <c r="X2" s="2" t="s">
        <v>677</v>
      </c>
      <c r="Y2" s="330" t="s">
        <v>940</v>
      </c>
      <c r="AA2" s="2" t="s">
        <v>677</v>
      </c>
      <c r="AB2" s="2">
        <v>4090180447</v>
      </c>
      <c r="AD2" s="18"/>
      <c r="AE2" s="398"/>
      <c r="AH2" s="398"/>
      <c r="AJ2" s="236"/>
      <c r="AK2" s="236"/>
    </row>
    <row r="3" spans="1:44" ht="15.75">
      <c r="A3" s="268" t="s">
        <v>941</v>
      </c>
      <c r="B3" s="18">
        <v>180447</v>
      </c>
      <c r="C3" s="2" t="s">
        <v>52</v>
      </c>
      <c r="D3" s="28">
        <v>46093</v>
      </c>
      <c r="J3" s="2" t="s">
        <v>54</v>
      </c>
      <c r="K3" s="2" t="s">
        <v>41</v>
      </c>
      <c r="L3" s="2" t="s">
        <v>936</v>
      </c>
      <c r="M3" s="2" t="s">
        <v>937</v>
      </c>
      <c r="O3" s="18">
        <v>54943191131</v>
      </c>
      <c r="Q3" s="18" t="s">
        <v>938</v>
      </c>
      <c r="S3" s="96"/>
      <c r="T3" s="18"/>
      <c r="U3" s="18"/>
      <c r="V3" s="18"/>
      <c r="W3" s="85">
        <v>2613127706</v>
      </c>
      <c r="X3" s="2" t="s">
        <v>677</v>
      </c>
      <c r="Y3" s="67" t="s">
        <v>940</v>
      </c>
      <c r="AA3" s="2" t="s">
        <v>677</v>
      </c>
      <c r="AB3" s="2">
        <v>4090180447</v>
      </c>
      <c r="AD3" s="18"/>
      <c r="AE3" s="398"/>
      <c r="AH3" s="398"/>
      <c r="AJ3" s="236"/>
      <c r="AK3" s="236"/>
    </row>
    <row r="5" spans="1:44">
      <c r="V5" s="18"/>
    </row>
  </sheetData>
  <conditionalFormatting sqref="G1 C1:D1">
    <cfRule type="containsText" dxfId="30" priority="21" operator="containsText" text="EN ALMACEN">
      <formula>NOT(ISERROR(SEARCH("EN ALMACEN",C1)))</formula>
    </cfRule>
  </conditionalFormatting>
  <conditionalFormatting sqref="G1 C1:D1">
    <cfRule type="containsText" dxfId="29" priority="20" operator="containsText" text="LIBERADO">
      <formula>NOT(ISERROR(SEARCH("LIBERADO",C1)))</formula>
    </cfRule>
  </conditionalFormatting>
  <conditionalFormatting sqref="G1 C1:D1">
    <cfRule type="containsText" dxfId="28" priority="19" operator="containsText" text="DESPACHADO">
      <formula>NOT(ISERROR(SEARCH("DESPACHADO",C1)))</formula>
    </cfRule>
  </conditionalFormatting>
  <conditionalFormatting sqref="G1 C1:D1">
    <cfRule type="containsText" dxfId="27" priority="18" operator="containsText" text="EN TRANSITO">
      <formula>NOT(ISERROR(SEARCH("EN TRANSITO",C1)))</formula>
    </cfRule>
  </conditionalFormatting>
  <conditionalFormatting sqref="E1">
    <cfRule type="containsText" dxfId="26" priority="17" operator="containsText" text="PENDIENTE">
      <formula>NOT(ISERROR(SEARCH("PENDIENTE",E1)))</formula>
    </cfRule>
  </conditionalFormatting>
  <conditionalFormatting sqref="E1">
    <cfRule type="containsText" dxfId="25" priority="16" operator="containsText" text="EMITIDA">
      <formula>NOT(ISERROR(SEARCH("EMITIDA",E1)))</formula>
    </cfRule>
  </conditionalFormatting>
  <conditionalFormatting sqref="G1">
    <cfRule type="containsBlanks" dxfId="24" priority="15">
      <formula>LEN(TRIM(G1))=0</formula>
    </cfRule>
  </conditionalFormatting>
  <conditionalFormatting sqref="AF1">
    <cfRule type="containsText" dxfId="23" priority="14" operator="containsText" text="PENDIENTE">
      <formula>NOT(ISERROR(SEARCH("PENDIENTE",AF1)))</formula>
    </cfRule>
  </conditionalFormatting>
  <conditionalFormatting sqref="AE1">
    <cfRule type="containsText" dxfId="22" priority="13" operator="containsText" text="PENDIENTE">
      <formula>NOT(ISERROR(SEARCH("PENDIENTE",AE1)))</formula>
    </cfRule>
  </conditionalFormatting>
  <conditionalFormatting sqref="AD1">
    <cfRule type="containsText" dxfId="21" priority="12" operator="containsText" text="PENDIENTE">
      <formula>NOT(ISERROR(SEARCH("PENDIENTE",AD1)))</formula>
    </cfRule>
  </conditionalFormatting>
  <conditionalFormatting sqref="D1">
    <cfRule type="containsBlanks" dxfId="20" priority="11">
      <formula>LEN(TRIM(D1))=0</formula>
    </cfRule>
  </conditionalFormatting>
  <conditionalFormatting sqref="C2:C3">
    <cfRule type="containsText" dxfId="19" priority="6" operator="containsText" text="PENDIENTE">
      <formula>NOT(ISERROR(SEARCH("PENDIENTE",C2)))</formula>
    </cfRule>
  </conditionalFormatting>
  <conditionalFormatting sqref="C2:C3">
    <cfRule type="containsText" dxfId="18" priority="5" operator="containsText" text="EMITIDA">
      <formula>NOT(ISERROR(SEARCH("EMITIDA",C2)))</formula>
    </cfRule>
  </conditionalFormatting>
  <conditionalFormatting sqref="D2">
    <cfRule type="containsBlanks" dxfId="17" priority="4">
      <formula>LEN(TRIM(D2))=0</formula>
    </cfRule>
  </conditionalFormatting>
  <conditionalFormatting sqref="AD2:AD3">
    <cfRule type="containsText" dxfId="16" priority="3" operator="containsText" text="PENDIENTE">
      <formula>NOT(ISERROR(SEARCH("PENDIENTE",AD2)))</formula>
    </cfRule>
  </conditionalFormatting>
  <hyperlinks>
    <hyperlink ref="Y2" r:id="rId1" xr:uid="{F9377E80-F615-4E0D-80B8-BD891DD4388B}"/>
    <hyperlink ref="Y3" r:id="rId2" xr:uid="{2FCFE847-FC3D-43FD-8500-4887B9EA421B}"/>
  </hyperlinks>
  <pageMargins left="0.7" right="0.7" top="0.75" bottom="0.75" header="0.3" footer="0.3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0A326-0772-4A4D-8A32-3E70EE8E7130}">
  <dimension ref="A1:I441"/>
  <sheetViews>
    <sheetView topLeftCell="A409" workbookViewId="0">
      <selection activeCell="F425" sqref="F425"/>
    </sheetView>
  </sheetViews>
  <sheetFormatPr defaultRowHeight="15"/>
  <cols>
    <col min="1" max="1" width="16" customWidth="1"/>
    <col min="2" max="2" width="14.85546875" customWidth="1"/>
    <col min="3" max="3" width="27.7109375" customWidth="1"/>
    <col min="4" max="4" width="18" customWidth="1"/>
    <col min="5" max="5" width="24.85546875" customWidth="1"/>
    <col min="6" max="6" width="29.85546875" style="2" customWidth="1"/>
    <col min="7" max="7" width="16.28515625" customWidth="1"/>
    <col min="8" max="8" width="21.7109375" customWidth="1"/>
    <col min="9" max="9" width="24.140625" customWidth="1"/>
  </cols>
  <sheetData>
    <row r="1" spans="1:9" ht="54.75" customHeight="1">
      <c r="A1" s="336" t="s">
        <v>942</v>
      </c>
      <c r="B1" s="337" t="s">
        <v>943</v>
      </c>
      <c r="C1" s="338" t="s">
        <v>944</v>
      </c>
      <c r="D1" s="347" t="s">
        <v>945</v>
      </c>
      <c r="E1" s="361" t="s">
        <v>946</v>
      </c>
      <c r="F1" s="359" t="s">
        <v>947</v>
      </c>
      <c r="G1" s="337" t="s">
        <v>948</v>
      </c>
      <c r="H1" s="337" t="s">
        <v>949</v>
      </c>
      <c r="I1" s="339" t="s">
        <v>950</v>
      </c>
    </row>
    <row r="2" spans="1:9">
      <c r="A2" s="340" t="s">
        <v>34</v>
      </c>
      <c r="B2" s="340">
        <v>179930</v>
      </c>
      <c r="C2" s="340"/>
      <c r="D2" s="340" t="s">
        <v>951</v>
      </c>
      <c r="E2" s="340" t="s">
        <v>952</v>
      </c>
      <c r="F2" s="5">
        <v>2605113227</v>
      </c>
      <c r="G2" s="340" t="s">
        <v>953</v>
      </c>
      <c r="H2" s="340"/>
      <c r="I2" s="340"/>
    </row>
    <row r="3" spans="1:9">
      <c r="A3" s="340" t="s">
        <v>34</v>
      </c>
      <c r="B3" s="340">
        <v>179930</v>
      </c>
      <c r="C3" s="340"/>
      <c r="D3" s="340" t="s">
        <v>954</v>
      </c>
      <c r="E3" s="340" t="s">
        <v>952</v>
      </c>
      <c r="F3" s="5">
        <v>2605114532</v>
      </c>
      <c r="G3" s="340" t="s">
        <v>953</v>
      </c>
      <c r="H3" s="340"/>
      <c r="I3" s="340"/>
    </row>
    <row r="4" spans="1:9">
      <c r="A4" s="340" t="s">
        <v>34</v>
      </c>
      <c r="B4" s="340">
        <v>179930</v>
      </c>
      <c r="C4" s="340"/>
      <c r="D4" s="340" t="s">
        <v>951</v>
      </c>
      <c r="E4" s="340" t="s">
        <v>879</v>
      </c>
      <c r="F4" s="370" t="s">
        <v>955</v>
      </c>
      <c r="G4" s="340" t="s">
        <v>953</v>
      </c>
      <c r="H4" s="340"/>
      <c r="I4" s="340"/>
    </row>
    <row r="5" spans="1:9">
      <c r="A5" s="340" t="s">
        <v>34</v>
      </c>
      <c r="B5" s="340">
        <v>179930</v>
      </c>
      <c r="C5" s="340"/>
      <c r="D5" s="340" t="s">
        <v>880</v>
      </c>
      <c r="E5" s="340" t="s">
        <v>879</v>
      </c>
      <c r="F5" s="5" t="s">
        <v>956</v>
      </c>
      <c r="G5" s="340" t="s">
        <v>953</v>
      </c>
      <c r="H5" s="340"/>
      <c r="I5" s="340"/>
    </row>
    <row r="6" spans="1:9" s="364" customFormat="1">
      <c r="A6" s="362" t="s">
        <v>51</v>
      </c>
      <c r="B6" s="362">
        <v>179947</v>
      </c>
      <c r="C6" s="362"/>
      <c r="D6" s="362" t="s">
        <v>951</v>
      </c>
      <c r="E6" s="362" t="s">
        <v>952</v>
      </c>
      <c r="F6" s="5">
        <v>2605101385</v>
      </c>
      <c r="G6" s="362" t="s">
        <v>953</v>
      </c>
      <c r="H6" s="362"/>
      <c r="I6" s="362"/>
    </row>
    <row r="7" spans="1:9">
      <c r="A7" s="340" t="s">
        <v>51</v>
      </c>
      <c r="B7" s="340">
        <v>179947</v>
      </c>
      <c r="C7" s="340"/>
      <c r="D7" s="340" t="s">
        <v>954</v>
      </c>
      <c r="E7" s="340" t="s">
        <v>952</v>
      </c>
      <c r="F7" s="5">
        <v>2605109992</v>
      </c>
      <c r="G7" s="340" t="s">
        <v>953</v>
      </c>
      <c r="H7" s="340"/>
      <c r="I7" s="340"/>
    </row>
    <row r="8" spans="1:9">
      <c r="A8" s="340" t="s">
        <v>51</v>
      </c>
      <c r="B8" s="340">
        <v>179947</v>
      </c>
      <c r="C8" s="340"/>
      <c r="D8" s="340" t="s">
        <v>951</v>
      </c>
      <c r="E8" s="340" t="s">
        <v>879</v>
      </c>
      <c r="F8" s="370" t="s">
        <v>957</v>
      </c>
      <c r="G8" s="340" t="s">
        <v>953</v>
      </c>
      <c r="H8" s="340"/>
      <c r="I8" s="340"/>
    </row>
    <row r="9" spans="1:9" s="364" customFormat="1">
      <c r="A9" s="362" t="s">
        <v>63</v>
      </c>
      <c r="B9" s="362">
        <v>179972</v>
      </c>
      <c r="C9" s="362"/>
      <c r="D9" s="362" t="s">
        <v>951</v>
      </c>
      <c r="E9" s="362" t="s">
        <v>952</v>
      </c>
      <c r="F9" s="5">
        <v>2605106362</v>
      </c>
      <c r="G9" s="362" t="s">
        <v>953</v>
      </c>
      <c r="H9" s="362"/>
      <c r="I9" s="362"/>
    </row>
    <row r="10" spans="1:9">
      <c r="A10" s="340" t="s">
        <v>63</v>
      </c>
      <c r="B10" s="340">
        <v>179972</v>
      </c>
      <c r="C10" s="340"/>
      <c r="D10" s="340" t="s">
        <v>954</v>
      </c>
      <c r="E10" s="340" t="s">
        <v>952</v>
      </c>
      <c r="F10" s="5">
        <v>2605107634</v>
      </c>
      <c r="G10" s="340" t="s">
        <v>953</v>
      </c>
      <c r="H10" s="340"/>
      <c r="I10" s="340"/>
    </row>
    <row r="11" spans="1:9">
      <c r="A11" s="340" t="s">
        <v>63</v>
      </c>
      <c r="B11" s="340">
        <v>179972</v>
      </c>
      <c r="C11" s="340"/>
      <c r="D11" s="340" t="s">
        <v>951</v>
      </c>
      <c r="E11" s="340" t="s">
        <v>879</v>
      </c>
      <c r="F11" s="370" t="s">
        <v>958</v>
      </c>
      <c r="G11" s="340" t="s">
        <v>953</v>
      </c>
      <c r="H11" s="340"/>
      <c r="I11" s="340"/>
    </row>
    <row r="12" spans="1:9" s="364" customFormat="1">
      <c r="A12" s="362" t="s">
        <v>71</v>
      </c>
      <c r="B12" s="362">
        <v>180001</v>
      </c>
      <c r="C12" s="362"/>
      <c r="D12" s="362" t="s">
        <v>951</v>
      </c>
      <c r="E12" s="362" t="s">
        <v>952</v>
      </c>
      <c r="F12" s="5">
        <v>260595504</v>
      </c>
      <c r="G12" s="362" t="s">
        <v>953</v>
      </c>
      <c r="H12" s="362"/>
      <c r="I12" s="362"/>
    </row>
    <row r="13" spans="1:9">
      <c r="A13" s="340" t="s">
        <v>71</v>
      </c>
      <c r="B13" s="340">
        <v>180001</v>
      </c>
      <c r="C13" s="340"/>
      <c r="D13" s="340" t="s">
        <v>954</v>
      </c>
      <c r="E13" s="340" t="s">
        <v>952</v>
      </c>
      <c r="F13" s="5">
        <v>260597318</v>
      </c>
      <c r="G13" s="340" t="s">
        <v>953</v>
      </c>
      <c r="H13" s="340"/>
      <c r="I13" s="340"/>
    </row>
    <row r="14" spans="1:9">
      <c r="A14" s="340" t="s">
        <v>71</v>
      </c>
      <c r="B14" s="340">
        <v>180001</v>
      </c>
      <c r="C14" s="340"/>
      <c r="D14" s="340" t="s">
        <v>951</v>
      </c>
      <c r="E14" s="340" t="s">
        <v>879</v>
      </c>
      <c r="F14" s="370" t="s">
        <v>959</v>
      </c>
      <c r="G14" s="340" t="s">
        <v>953</v>
      </c>
      <c r="H14" s="340"/>
      <c r="I14" s="340"/>
    </row>
    <row r="15" spans="1:9" s="364" customFormat="1">
      <c r="A15" s="362" t="s">
        <v>77</v>
      </c>
      <c r="B15" s="362">
        <v>180023</v>
      </c>
      <c r="C15" s="362"/>
      <c r="D15" s="362" t="s">
        <v>951</v>
      </c>
      <c r="E15" s="362" t="s">
        <v>952</v>
      </c>
      <c r="F15" s="5">
        <v>260598254</v>
      </c>
      <c r="G15" s="362" t="s">
        <v>953</v>
      </c>
      <c r="H15" s="362"/>
      <c r="I15" s="362"/>
    </row>
    <row r="16" spans="1:9">
      <c r="A16" s="340" t="s">
        <v>77</v>
      </c>
      <c r="B16" s="340">
        <v>180023</v>
      </c>
      <c r="C16" s="340"/>
      <c r="D16" s="340" t="s">
        <v>954</v>
      </c>
      <c r="E16" s="340" t="s">
        <v>952</v>
      </c>
      <c r="F16" s="5">
        <v>260599583</v>
      </c>
      <c r="G16" s="340" t="s">
        <v>953</v>
      </c>
      <c r="H16" s="340"/>
      <c r="I16" s="340"/>
    </row>
    <row r="17" spans="1:9">
      <c r="A17" s="340" t="s">
        <v>77</v>
      </c>
      <c r="B17" s="340">
        <v>180023</v>
      </c>
      <c r="C17" s="340"/>
      <c r="D17" s="340" t="s">
        <v>951</v>
      </c>
      <c r="E17" s="340" t="s">
        <v>879</v>
      </c>
      <c r="F17" s="370" t="s">
        <v>960</v>
      </c>
      <c r="G17" s="340" t="s">
        <v>953</v>
      </c>
      <c r="H17" s="340"/>
      <c r="I17" s="340"/>
    </row>
    <row r="18" spans="1:9" s="364" customFormat="1">
      <c r="A18" s="362" t="s">
        <v>83</v>
      </c>
      <c r="B18" s="362">
        <v>180040</v>
      </c>
      <c r="C18" s="362"/>
      <c r="D18" s="362" t="s">
        <v>951</v>
      </c>
      <c r="E18" s="362" t="s">
        <v>952</v>
      </c>
      <c r="F18" s="5">
        <v>2605101685</v>
      </c>
      <c r="G18" s="362" t="s">
        <v>953</v>
      </c>
      <c r="H18" s="362"/>
      <c r="I18" s="362"/>
    </row>
    <row r="19" spans="1:9">
      <c r="A19" s="340" t="s">
        <v>83</v>
      </c>
      <c r="B19" s="340">
        <v>180040</v>
      </c>
      <c r="C19" s="340"/>
      <c r="D19" s="340" t="s">
        <v>954</v>
      </c>
      <c r="E19" s="340" t="s">
        <v>952</v>
      </c>
      <c r="F19" s="5">
        <v>2605107573</v>
      </c>
      <c r="G19" s="340" t="s">
        <v>953</v>
      </c>
      <c r="H19" s="340"/>
      <c r="I19" s="340"/>
    </row>
    <row r="20" spans="1:9">
      <c r="A20" s="340" t="s">
        <v>83</v>
      </c>
      <c r="B20" s="340">
        <v>180040</v>
      </c>
      <c r="C20" s="340"/>
      <c r="D20" s="340" t="s">
        <v>951</v>
      </c>
      <c r="E20" s="340" t="s">
        <v>879</v>
      </c>
      <c r="F20" s="370" t="s">
        <v>961</v>
      </c>
      <c r="G20" s="340" t="s">
        <v>953</v>
      </c>
      <c r="H20" s="340"/>
      <c r="I20" s="340"/>
    </row>
    <row r="21" spans="1:9" s="364" customFormat="1">
      <c r="A21" s="362" t="s">
        <v>91</v>
      </c>
      <c r="B21" s="362">
        <v>180056</v>
      </c>
      <c r="C21" s="362"/>
      <c r="D21" s="362" t="s">
        <v>951</v>
      </c>
      <c r="E21" s="362" t="s">
        <v>952</v>
      </c>
      <c r="F21" s="5">
        <v>2605101914</v>
      </c>
      <c r="G21" s="362" t="s">
        <v>953</v>
      </c>
      <c r="H21" s="362"/>
      <c r="I21" s="362"/>
    </row>
    <row r="22" spans="1:9">
      <c r="A22" s="340" t="s">
        <v>91</v>
      </c>
      <c r="B22" s="340">
        <v>180056</v>
      </c>
      <c r="C22" s="340"/>
      <c r="D22" s="340" t="s">
        <v>954</v>
      </c>
      <c r="E22" s="340" t="s">
        <v>952</v>
      </c>
      <c r="F22" s="5">
        <v>2605102768</v>
      </c>
      <c r="G22" s="340" t="s">
        <v>953</v>
      </c>
      <c r="H22" s="340"/>
      <c r="I22" s="340"/>
    </row>
    <row r="23" spans="1:9">
      <c r="A23" s="340" t="s">
        <v>91</v>
      </c>
      <c r="B23" s="340">
        <v>180056</v>
      </c>
      <c r="C23" s="340"/>
      <c r="D23" s="340" t="s">
        <v>951</v>
      </c>
      <c r="E23" s="340" t="s">
        <v>879</v>
      </c>
      <c r="F23" s="370" t="s">
        <v>962</v>
      </c>
      <c r="G23" s="340" t="s">
        <v>953</v>
      </c>
      <c r="H23" s="340"/>
      <c r="I23" s="340"/>
    </row>
    <row r="24" spans="1:9" s="364" customFormat="1">
      <c r="A24" s="362" t="s">
        <v>96</v>
      </c>
      <c r="B24" s="362">
        <v>180057</v>
      </c>
      <c r="C24" s="362"/>
      <c r="D24" s="362" t="s">
        <v>951</v>
      </c>
      <c r="E24" s="362" t="s">
        <v>952</v>
      </c>
      <c r="F24" s="5">
        <v>2605100691</v>
      </c>
      <c r="G24" s="362" t="s">
        <v>953</v>
      </c>
      <c r="H24" s="362"/>
      <c r="I24" s="362"/>
    </row>
    <row r="25" spans="1:9">
      <c r="A25" s="340" t="s">
        <v>96</v>
      </c>
      <c r="B25" s="340">
        <v>180057</v>
      </c>
      <c r="C25" s="340"/>
      <c r="D25" s="340" t="s">
        <v>954</v>
      </c>
      <c r="E25" s="340" t="s">
        <v>952</v>
      </c>
      <c r="F25" s="5">
        <v>2605101997</v>
      </c>
      <c r="G25" s="340" t="s">
        <v>953</v>
      </c>
      <c r="H25" s="340"/>
      <c r="I25" s="340"/>
    </row>
    <row r="26" spans="1:9">
      <c r="A26" s="340" t="s">
        <v>96</v>
      </c>
      <c r="B26" s="340">
        <v>180057</v>
      </c>
      <c r="C26" s="340"/>
      <c r="D26" s="340" t="s">
        <v>951</v>
      </c>
      <c r="E26" s="340" t="s">
        <v>879</v>
      </c>
      <c r="F26" s="370" t="s">
        <v>963</v>
      </c>
      <c r="G26" s="340" t="s">
        <v>953</v>
      </c>
      <c r="H26" s="340"/>
      <c r="I26" s="340"/>
    </row>
    <row r="27" spans="1:9" s="364" customFormat="1">
      <c r="A27" s="362" t="s">
        <v>103</v>
      </c>
      <c r="B27" s="362">
        <v>180059</v>
      </c>
      <c r="C27" s="362"/>
      <c r="D27" s="362" t="s">
        <v>951</v>
      </c>
      <c r="E27" s="362" t="s">
        <v>952</v>
      </c>
      <c r="F27" s="5">
        <v>2605101437</v>
      </c>
      <c r="G27" s="362" t="s">
        <v>953</v>
      </c>
      <c r="H27" s="362"/>
      <c r="I27" s="362"/>
    </row>
    <row r="28" spans="1:9">
      <c r="A28" s="340" t="s">
        <v>103</v>
      </c>
      <c r="B28" s="340">
        <v>180059</v>
      </c>
      <c r="C28" s="340"/>
      <c r="D28" s="340" t="s">
        <v>954</v>
      </c>
      <c r="E28" s="340" t="s">
        <v>952</v>
      </c>
      <c r="F28" s="5">
        <v>2605101999</v>
      </c>
      <c r="G28" s="340" t="s">
        <v>953</v>
      </c>
      <c r="H28" s="340"/>
      <c r="I28" s="340"/>
    </row>
    <row r="29" spans="1:9">
      <c r="A29" s="340" t="s">
        <v>103</v>
      </c>
      <c r="B29" s="340">
        <v>180059</v>
      </c>
      <c r="C29" s="340"/>
      <c r="D29" s="340" t="s">
        <v>951</v>
      </c>
      <c r="E29" s="340" t="s">
        <v>879</v>
      </c>
      <c r="F29" s="370" t="s">
        <v>964</v>
      </c>
      <c r="G29" s="340" t="s">
        <v>953</v>
      </c>
      <c r="H29" s="340"/>
      <c r="I29" s="340"/>
    </row>
    <row r="30" spans="1:9" s="364" customFormat="1">
      <c r="A30" s="362" t="s">
        <v>108</v>
      </c>
      <c r="B30" s="362">
        <v>180066</v>
      </c>
      <c r="C30" s="362"/>
      <c r="D30" s="362" t="s">
        <v>951</v>
      </c>
      <c r="E30" s="362" t="s">
        <v>952</v>
      </c>
      <c r="F30" s="5">
        <v>2605106858</v>
      </c>
      <c r="G30" s="362" t="s">
        <v>953</v>
      </c>
      <c r="H30" s="362"/>
      <c r="I30" s="362"/>
    </row>
    <row r="31" spans="1:9">
      <c r="A31" s="340" t="s">
        <v>108</v>
      </c>
      <c r="B31" s="340">
        <v>180066</v>
      </c>
      <c r="C31" s="340"/>
      <c r="D31" s="340" t="s">
        <v>954</v>
      </c>
      <c r="E31" s="340" t="s">
        <v>952</v>
      </c>
      <c r="F31" s="5">
        <v>2605107743</v>
      </c>
      <c r="G31" s="340" t="s">
        <v>953</v>
      </c>
      <c r="H31" s="340"/>
      <c r="I31" s="340"/>
    </row>
    <row r="32" spans="1:9">
      <c r="A32" s="340" t="s">
        <v>108</v>
      </c>
      <c r="B32" s="340">
        <v>180066</v>
      </c>
      <c r="C32" s="340"/>
      <c r="D32" s="340" t="s">
        <v>951</v>
      </c>
      <c r="E32" s="340" t="s">
        <v>879</v>
      </c>
      <c r="F32" s="370" t="s">
        <v>965</v>
      </c>
      <c r="G32" s="340" t="s">
        <v>953</v>
      </c>
      <c r="H32" s="340"/>
      <c r="I32" s="340"/>
    </row>
    <row r="33" spans="1:9" s="364" customFormat="1">
      <c r="A33" s="362" t="s">
        <v>966</v>
      </c>
      <c r="B33" s="362">
        <v>180067</v>
      </c>
      <c r="C33" s="362"/>
      <c r="D33" s="362" t="s">
        <v>951</v>
      </c>
      <c r="E33" s="362" t="s">
        <v>952</v>
      </c>
      <c r="F33" s="5">
        <v>2605100503</v>
      </c>
      <c r="G33" s="362" t="s">
        <v>953</v>
      </c>
      <c r="H33" s="362"/>
      <c r="I33" s="362"/>
    </row>
    <row r="34" spans="1:9">
      <c r="A34" s="340" t="s">
        <v>966</v>
      </c>
      <c r="B34" s="340">
        <v>180067</v>
      </c>
      <c r="C34" s="340"/>
      <c r="D34" s="340" t="s">
        <v>954</v>
      </c>
      <c r="E34" s="340" t="s">
        <v>952</v>
      </c>
      <c r="F34" s="5">
        <v>2605102001</v>
      </c>
      <c r="G34" s="340" t="s">
        <v>953</v>
      </c>
      <c r="H34" s="340"/>
      <c r="I34" s="340"/>
    </row>
    <row r="35" spans="1:9">
      <c r="A35" s="340" t="s">
        <v>966</v>
      </c>
      <c r="B35" s="340">
        <v>180067</v>
      </c>
      <c r="C35" s="340"/>
      <c r="D35" s="340" t="s">
        <v>951</v>
      </c>
      <c r="E35" s="340" t="s">
        <v>879</v>
      </c>
      <c r="F35" s="370" t="s">
        <v>967</v>
      </c>
      <c r="G35" s="340" t="s">
        <v>953</v>
      </c>
      <c r="H35" s="340"/>
      <c r="I35" s="340"/>
    </row>
    <row r="36" spans="1:9" s="364" customFormat="1">
      <c r="A36" s="362" t="s">
        <v>121</v>
      </c>
      <c r="B36" s="362">
        <v>180070</v>
      </c>
      <c r="C36" s="362"/>
      <c r="D36" s="362" t="s">
        <v>951</v>
      </c>
      <c r="E36" s="362" t="s">
        <v>952</v>
      </c>
      <c r="F36" s="5">
        <v>2605106749</v>
      </c>
      <c r="G36" s="362" t="s">
        <v>953</v>
      </c>
      <c r="H36" s="362"/>
      <c r="I36" s="362"/>
    </row>
    <row r="37" spans="1:9">
      <c r="A37" s="340" t="s">
        <v>121</v>
      </c>
      <c r="B37" s="340">
        <v>180070</v>
      </c>
      <c r="C37" s="340"/>
      <c r="D37" s="340" t="s">
        <v>954</v>
      </c>
      <c r="E37" s="340" t="s">
        <v>952</v>
      </c>
      <c r="F37" s="5">
        <v>2605107710</v>
      </c>
      <c r="G37" s="340" t="s">
        <v>953</v>
      </c>
      <c r="H37" s="340"/>
      <c r="I37" s="340"/>
    </row>
    <row r="38" spans="1:9">
      <c r="A38" s="340" t="s">
        <v>121</v>
      </c>
      <c r="B38" s="340">
        <v>180070</v>
      </c>
      <c r="C38" s="340"/>
      <c r="D38" s="340" t="s">
        <v>951</v>
      </c>
      <c r="E38" s="340" t="s">
        <v>879</v>
      </c>
      <c r="F38" s="370" t="s">
        <v>968</v>
      </c>
      <c r="G38" s="340" t="s">
        <v>953</v>
      </c>
      <c r="H38" s="340"/>
      <c r="I38" s="340"/>
    </row>
    <row r="39" spans="1:9" s="364" customFormat="1">
      <c r="A39" s="362" t="s">
        <v>125</v>
      </c>
      <c r="B39" s="362">
        <v>180072</v>
      </c>
      <c r="C39" s="362"/>
      <c r="D39" s="362" t="s">
        <v>951</v>
      </c>
      <c r="E39" s="362" t="s">
        <v>952</v>
      </c>
      <c r="F39" s="5">
        <v>2605104506</v>
      </c>
      <c r="G39" s="362" t="s">
        <v>953</v>
      </c>
      <c r="H39" s="362"/>
      <c r="I39" s="362"/>
    </row>
    <row r="40" spans="1:9">
      <c r="A40" s="340" t="s">
        <v>125</v>
      </c>
      <c r="B40" s="340">
        <v>180072</v>
      </c>
      <c r="C40" s="340"/>
      <c r="D40" s="340" t="s">
        <v>954</v>
      </c>
      <c r="E40" s="340" t="s">
        <v>952</v>
      </c>
      <c r="F40" s="5">
        <v>2605105058</v>
      </c>
      <c r="G40" s="340" t="s">
        <v>953</v>
      </c>
      <c r="H40" s="340"/>
      <c r="I40" s="340"/>
    </row>
    <row r="41" spans="1:9">
      <c r="A41" s="340" t="s">
        <v>125</v>
      </c>
      <c r="B41" s="340">
        <v>180072</v>
      </c>
      <c r="C41" s="340"/>
      <c r="D41" s="340" t="s">
        <v>951</v>
      </c>
      <c r="E41" s="340" t="s">
        <v>879</v>
      </c>
      <c r="F41" s="370" t="s">
        <v>969</v>
      </c>
      <c r="G41" s="340" t="s">
        <v>953</v>
      </c>
      <c r="H41" s="340"/>
      <c r="I41" s="340"/>
    </row>
    <row r="42" spans="1:9" s="364" customFormat="1">
      <c r="A42" s="362" t="s">
        <v>130</v>
      </c>
      <c r="B42" s="362">
        <v>180073</v>
      </c>
      <c r="C42" s="362"/>
      <c r="D42" s="362" t="s">
        <v>951</v>
      </c>
      <c r="E42" s="362" t="s">
        <v>952</v>
      </c>
      <c r="F42" s="5">
        <v>2605103079</v>
      </c>
      <c r="G42" s="362" t="s">
        <v>953</v>
      </c>
      <c r="H42" s="362"/>
      <c r="I42" s="362"/>
    </row>
    <row r="43" spans="1:9">
      <c r="A43" s="340" t="s">
        <v>130</v>
      </c>
      <c r="B43" s="340">
        <v>180073</v>
      </c>
      <c r="C43" s="340"/>
      <c r="D43" s="340" t="s">
        <v>954</v>
      </c>
      <c r="E43" s="340" t="s">
        <v>952</v>
      </c>
      <c r="F43" s="5">
        <v>2605105078</v>
      </c>
      <c r="G43" s="340" t="s">
        <v>953</v>
      </c>
      <c r="H43" s="340"/>
      <c r="I43" s="340"/>
    </row>
    <row r="44" spans="1:9">
      <c r="A44" s="340" t="s">
        <v>130</v>
      </c>
      <c r="B44" s="340">
        <v>180073</v>
      </c>
      <c r="C44" s="340"/>
      <c r="D44" s="340" t="s">
        <v>951</v>
      </c>
      <c r="E44" s="340" t="s">
        <v>879</v>
      </c>
      <c r="F44" s="370" t="s">
        <v>970</v>
      </c>
      <c r="G44" s="340" t="s">
        <v>953</v>
      </c>
      <c r="H44" s="340"/>
      <c r="I44" s="340"/>
    </row>
    <row r="45" spans="1:9" s="364" customFormat="1">
      <c r="A45" s="362" t="s">
        <v>135</v>
      </c>
      <c r="B45" s="362">
        <v>180074</v>
      </c>
      <c r="C45" s="362"/>
      <c r="D45" s="362" t="s">
        <v>951</v>
      </c>
      <c r="E45" s="362" t="s">
        <v>952</v>
      </c>
      <c r="F45" s="5">
        <v>2605103668</v>
      </c>
      <c r="G45" s="362" t="s">
        <v>953</v>
      </c>
      <c r="H45" s="362"/>
      <c r="I45" s="362"/>
    </row>
    <row r="46" spans="1:9">
      <c r="A46" s="340" t="s">
        <v>135</v>
      </c>
      <c r="B46" s="340">
        <v>180074</v>
      </c>
      <c r="C46" s="340"/>
      <c r="D46" s="340" t="s">
        <v>954</v>
      </c>
      <c r="E46" s="340" t="s">
        <v>952</v>
      </c>
      <c r="F46" s="5">
        <v>2605105134</v>
      </c>
      <c r="G46" s="340" t="s">
        <v>953</v>
      </c>
      <c r="H46" s="340"/>
      <c r="I46" s="340"/>
    </row>
    <row r="47" spans="1:9">
      <c r="A47" s="340" t="s">
        <v>135</v>
      </c>
      <c r="B47" s="340">
        <v>180074</v>
      </c>
      <c r="C47" s="340"/>
      <c r="D47" s="340" t="s">
        <v>951</v>
      </c>
      <c r="E47" s="340" t="s">
        <v>879</v>
      </c>
      <c r="F47" s="370" t="s">
        <v>971</v>
      </c>
      <c r="G47" s="340" t="s">
        <v>953</v>
      </c>
      <c r="H47" s="340"/>
      <c r="I47" s="340"/>
    </row>
    <row r="48" spans="1:9" s="364" customFormat="1">
      <c r="A48" s="362" t="s">
        <v>140</v>
      </c>
      <c r="B48" s="362">
        <v>180075</v>
      </c>
      <c r="C48" s="362"/>
      <c r="D48" s="362" t="s">
        <v>951</v>
      </c>
      <c r="E48" s="362" t="s">
        <v>952</v>
      </c>
      <c r="F48" s="5">
        <v>2605102035</v>
      </c>
      <c r="G48" s="362" t="s">
        <v>953</v>
      </c>
      <c r="H48" s="362"/>
      <c r="I48" s="362"/>
    </row>
    <row r="49" spans="1:9">
      <c r="A49" s="340" t="s">
        <v>140</v>
      </c>
      <c r="B49" s="340">
        <v>180075</v>
      </c>
      <c r="C49" s="340"/>
      <c r="D49" s="340" t="s">
        <v>954</v>
      </c>
      <c r="E49" s="340" t="s">
        <v>952</v>
      </c>
      <c r="F49" s="5">
        <v>2605102626</v>
      </c>
      <c r="G49" s="340" t="s">
        <v>953</v>
      </c>
      <c r="H49" s="340"/>
      <c r="I49" s="340"/>
    </row>
    <row r="50" spans="1:9">
      <c r="A50" s="340" t="s">
        <v>140</v>
      </c>
      <c r="B50" s="340">
        <v>180075</v>
      </c>
      <c r="C50" s="340"/>
      <c r="D50" s="340" t="s">
        <v>951</v>
      </c>
      <c r="E50" s="340" t="s">
        <v>879</v>
      </c>
      <c r="F50" s="370" t="s">
        <v>972</v>
      </c>
      <c r="G50" s="340" t="s">
        <v>953</v>
      </c>
      <c r="H50" s="340"/>
      <c r="I50" s="340"/>
    </row>
    <row r="51" spans="1:9" s="364" customFormat="1">
      <c r="A51" s="362" t="s">
        <v>144</v>
      </c>
      <c r="B51" s="362">
        <v>180109</v>
      </c>
      <c r="C51" s="362"/>
      <c r="D51" s="362" t="s">
        <v>951</v>
      </c>
      <c r="E51" s="362" t="s">
        <v>952</v>
      </c>
      <c r="F51" s="5">
        <v>2605103273</v>
      </c>
      <c r="G51" s="362" t="s">
        <v>953</v>
      </c>
      <c r="H51" s="362"/>
      <c r="I51" s="362"/>
    </row>
    <row r="52" spans="1:9">
      <c r="A52" s="340" t="s">
        <v>144</v>
      </c>
      <c r="B52" s="340">
        <v>180109</v>
      </c>
      <c r="C52" s="340"/>
      <c r="D52" s="340" t="s">
        <v>954</v>
      </c>
      <c r="E52" s="340" t="s">
        <v>952</v>
      </c>
      <c r="F52" s="5">
        <v>2605104792</v>
      </c>
      <c r="G52" s="340" t="s">
        <v>953</v>
      </c>
      <c r="H52" s="340"/>
      <c r="I52" s="340"/>
    </row>
    <row r="53" spans="1:9">
      <c r="A53" s="340" t="s">
        <v>144</v>
      </c>
      <c r="B53" s="340">
        <v>180109</v>
      </c>
      <c r="C53" s="340"/>
      <c r="D53" s="340" t="s">
        <v>951</v>
      </c>
      <c r="E53" s="340" t="s">
        <v>879</v>
      </c>
      <c r="F53" s="370" t="s">
        <v>973</v>
      </c>
      <c r="G53" s="340" t="s">
        <v>953</v>
      </c>
      <c r="H53" s="340"/>
      <c r="I53" s="340"/>
    </row>
    <row r="54" spans="1:9" s="364" customFormat="1">
      <c r="A54" s="362" t="s">
        <v>149</v>
      </c>
      <c r="B54" s="362">
        <v>180110</v>
      </c>
      <c r="C54" s="362"/>
      <c r="D54" s="362" t="s">
        <v>951</v>
      </c>
      <c r="E54" s="362" t="s">
        <v>952</v>
      </c>
      <c r="F54" s="5">
        <v>2605107269</v>
      </c>
      <c r="G54" s="362" t="s">
        <v>953</v>
      </c>
      <c r="H54" s="362"/>
      <c r="I54" s="362"/>
    </row>
    <row r="55" spans="1:9">
      <c r="A55" s="340" t="s">
        <v>149</v>
      </c>
      <c r="B55" s="340">
        <v>180110</v>
      </c>
      <c r="C55" s="340"/>
      <c r="D55" s="340" t="s">
        <v>954</v>
      </c>
      <c r="E55" s="340" t="s">
        <v>952</v>
      </c>
      <c r="F55" s="5">
        <v>2605110378</v>
      </c>
      <c r="G55" s="340" t="s">
        <v>953</v>
      </c>
      <c r="H55" s="340"/>
      <c r="I55" s="340"/>
    </row>
    <row r="56" spans="1:9">
      <c r="A56" s="340" t="s">
        <v>149</v>
      </c>
      <c r="B56" s="340">
        <v>180110</v>
      </c>
      <c r="C56" s="340"/>
      <c r="D56" s="340" t="s">
        <v>951</v>
      </c>
      <c r="E56" s="340" t="s">
        <v>879</v>
      </c>
      <c r="F56" s="370" t="s">
        <v>974</v>
      </c>
      <c r="G56" s="340" t="s">
        <v>953</v>
      </c>
      <c r="H56" s="340"/>
      <c r="I56" s="340"/>
    </row>
    <row r="57" spans="1:9" s="364" customFormat="1">
      <c r="A57" s="362" t="s">
        <v>153</v>
      </c>
      <c r="B57" s="362">
        <v>180112</v>
      </c>
      <c r="C57" s="362"/>
      <c r="D57" s="362" t="s">
        <v>951</v>
      </c>
      <c r="E57" s="362" t="s">
        <v>952</v>
      </c>
      <c r="F57" s="5">
        <v>2605107217</v>
      </c>
      <c r="G57" s="362" t="s">
        <v>953</v>
      </c>
      <c r="H57" s="362"/>
      <c r="I57" s="362"/>
    </row>
    <row r="58" spans="1:9">
      <c r="A58" s="340" t="s">
        <v>153</v>
      </c>
      <c r="B58" s="340">
        <v>180112</v>
      </c>
      <c r="C58" s="340"/>
      <c r="D58" s="340" t="s">
        <v>954</v>
      </c>
      <c r="E58" s="340" t="s">
        <v>952</v>
      </c>
      <c r="F58" s="5">
        <v>2605110317</v>
      </c>
      <c r="G58" s="340" t="s">
        <v>953</v>
      </c>
      <c r="H58" s="340"/>
      <c r="I58" s="340"/>
    </row>
    <row r="59" spans="1:9">
      <c r="A59" s="340" t="s">
        <v>153</v>
      </c>
      <c r="B59" s="340">
        <v>180112</v>
      </c>
      <c r="C59" s="340"/>
      <c r="D59" s="340" t="s">
        <v>951</v>
      </c>
      <c r="E59" s="340" t="s">
        <v>879</v>
      </c>
      <c r="F59" s="5" t="s">
        <v>975</v>
      </c>
      <c r="G59" s="340" t="s">
        <v>953</v>
      </c>
      <c r="H59" s="340"/>
      <c r="I59" s="340"/>
    </row>
    <row r="60" spans="1:9" s="364" customFormat="1">
      <c r="A60" s="362" t="s">
        <v>157</v>
      </c>
      <c r="B60" s="362">
        <v>180114</v>
      </c>
      <c r="C60" s="362"/>
      <c r="D60" s="362" t="s">
        <v>951</v>
      </c>
      <c r="E60" s="362" t="s">
        <v>952</v>
      </c>
      <c r="F60" s="5">
        <v>2605107322</v>
      </c>
      <c r="G60" s="362" t="s">
        <v>953</v>
      </c>
      <c r="H60" s="362"/>
      <c r="I60" s="362"/>
    </row>
    <row r="61" spans="1:9">
      <c r="A61" s="340" t="s">
        <v>157</v>
      </c>
      <c r="B61" s="340">
        <v>180114</v>
      </c>
      <c r="C61" s="340"/>
      <c r="D61" s="340" t="s">
        <v>954</v>
      </c>
      <c r="E61" s="340" t="s">
        <v>952</v>
      </c>
      <c r="F61" s="5">
        <v>2605110277</v>
      </c>
      <c r="G61" s="340" t="s">
        <v>953</v>
      </c>
      <c r="H61" s="340"/>
      <c r="I61" s="340"/>
    </row>
    <row r="62" spans="1:9" s="369" customFormat="1">
      <c r="A62" s="344" t="s">
        <v>157</v>
      </c>
      <c r="B62" s="344">
        <v>180114</v>
      </c>
      <c r="C62" s="344"/>
      <c r="D62" s="344" t="s">
        <v>951</v>
      </c>
      <c r="E62" s="344" t="s">
        <v>879</v>
      </c>
      <c r="F62" s="5" t="s">
        <v>976</v>
      </c>
      <c r="G62" s="344" t="s">
        <v>953</v>
      </c>
      <c r="H62" s="344"/>
      <c r="I62" s="344"/>
    </row>
    <row r="63" spans="1:9" ht="15" customHeight="1">
      <c r="A63" s="340" t="s">
        <v>162</v>
      </c>
      <c r="B63" s="340">
        <v>180115</v>
      </c>
      <c r="C63" s="340"/>
      <c r="D63" s="340" t="s">
        <v>951</v>
      </c>
      <c r="E63" s="340" t="s">
        <v>952</v>
      </c>
      <c r="F63" s="341">
        <v>2605103977</v>
      </c>
      <c r="G63" s="340" t="s">
        <v>953</v>
      </c>
      <c r="H63" s="340"/>
      <c r="I63" s="340"/>
    </row>
    <row r="64" spans="1:9">
      <c r="A64" s="340" t="s">
        <v>162</v>
      </c>
      <c r="B64" s="340">
        <v>180115</v>
      </c>
      <c r="C64" s="340"/>
      <c r="D64" s="340" t="s">
        <v>954</v>
      </c>
      <c r="E64" s="340" t="s">
        <v>952</v>
      </c>
      <c r="F64" s="5">
        <v>2605104765</v>
      </c>
      <c r="G64" s="340" t="s">
        <v>953</v>
      </c>
      <c r="H64" s="340"/>
      <c r="I64" s="340"/>
    </row>
    <row r="65" spans="1:9" s="369" customFormat="1">
      <c r="A65" s="344" t="s">
        <v>162</v>
      </c>
      <c r="B65" s="344">
        <v>180115</v>
      </c>
      <c r="C65" s="344"/>
      <c r="D65" s="344" t="s">
        <v>951</v>
      </c>
      <c r="E65" s="344" t="s">
        <v>879</v>
      </c>
      <c r="F65" s="5" t="s">
        <v>977</v>
      </c>
      <c r="G65" s="344" t="s">
        <v>953</v>
      </c>
      <c r="H65" s="344"/>
      <c r="I65" s="344"/>
    </row>
    <row r="66" spans="1:9">
      <c r="A66" s="340" t="s">
        <v>168</v>
      </c>
      <c r="B66" s="340">
        <v>180133</v>
      </c>
      <c r="C66" s="340"/>
      <c r="D66" s="340" t="s">
        <v>951</v>
      </c>
      <c r="E66" s="340" t="s">
        <v>952</v>
      </c>
      <c r="F66" s="341">
        <v>2605108712</v>
      </c>
      <c r="G66" s="340" t="s">
        <v>953</v>
      </c>
      <c r="H66" s="340"/>
      <c r="I66" s="340"/>
    </row>
    <row r="67" spans="1:9">
      <c r="A67" s="340" t="s">
        <v>168</v>
      </c>
      <c r="B67" s="340">
        <v>180133</v>
      </c>
      <c r="C67" s="340"/>
      <c r="D67" s="340" t="s">
        <v>954</v>
      </c>
      <c r="E67" s="340" t="s">
        <v>952</v>
      </c>
      <c r="F67" s="5">
        <v>2605110144</v>
      </c>
      <c r="G67" s="340" t="s">
        <v>953</v>
      </c>
      <c r="H67" s="340"/>
      <c r="I67" s="340"/>
    </row>
    <row r="68" spans="1:9" s="369" customFormat="1">
      <c r="A68" s="344" t="s">
        <v>168</v>
      </c>
      <c r="B68" s="344">
        <v>180133</v>
      </c>
      <c r="C68" s="344"/>
      <c r="D68" s="344" t="s">
        <v>951</v>
      </c>
      <c r="E68" s="344" t="s">
        <v>879</v>
      </c>
      <c r="F68" s="5" t="s">
        <v>978</v>
      </c>
      <c r="G68" s="344" t="s">
        <v>953</v>
      </c>
      <c r="H68" s="344"/>
      <c r="I68" s="344"/>
    </row>
    <row r="69" spans="1:9">
      <c r="A69" s="340" t="s">
        <v>979</v>
      </c>
      <c r="B69" s="340">
        <v>180136</v>
      </c>
      <c r="C69" s="340"/>
      <c r="D69" s="340" t="s">
        <v>951</v>
      </c>
      <c r="E69" s="340" t="s">
        <v>952</v>
      </c>
      <c r="F69" s="341">
        <v>2605109923</v>
      </c>
      <c r="G69" s="340" t="s">
        <v>953</v>
      </c>
      <c r="H69" s="340"/>
      <c r="I69" s="340"/>
    </row>
    <row r="70" spans="1:9">
      <c r="A70" s="340" t="s">
        <v>979</v>
      </c>
      <c r="B70" s="340">
        <v>180136</v>
      </c>
      <c r="C70" s="340"/>
      <c r="D70" s="340" t="s">
        <v>954</v>
      </c>
      <c r="E70" s="340" t="s">
        <v>952</v>
      </c>
      <c r="F70" s="5">
        <v>2605112548</v>
      </c>
      <c r="G70" s="340" t="s">
        <v>953</v>
      </c>
      <c r="H70" s="340"/>
      <c r="I70" s="340"/>
    </row>
    <row r="71" spans="1:9" s="369" customFormat="1">
      <c r="A71" s="344" t="s">
        <v>979</v>
      </c>
      <c r="B71" s="344">
        <v>180136</v>
      </c>
      <c r="C71" s="344"/>
      <c r="D71" s="344" t="s">
        <v>951</v>
      </c>
      <c r="E71" s="344" t="s">
        <v>879</v>
      </c>
      <c r="F71" s="5" t="s">
        <v>980</v>
      </c>
      <c r="G71" s="344" t="s">
        <v>953</v>
      </c>
      <c r="H71" s="344"/>
      <c r="I71" s="344"/>
    </row>
    <row r="72" spans="1:9">
      <c r="A72" s="340" t="s">
        <v>181</v>
      </c>
      <c r="B72" s="340">
        <v>180137</v>
      </c>
      <c r="C72" s="340"/>
      <c r="D72" s="340" t="s">
        <v>951</v>
      </c>
      <c r="E72" s="340" t="s">
        <v>952</v>
      </c>
      <c r="F72" s="341">
        <v>2605106196</v>
      </c>
      <c r="G72" s="340" t="s">
        <v>953</v>
      </c>
      <c r="H72" s="340"/>
      <c r="I72" s="340"/>
    </row>
    <row r="73" spans="1:9">
      <c r="A73" s="340" t="s">
        <v>181</v>
      </c>
      <c r="B73" s="340">
        <v>180137</v>
      </c>
      <c r="C73" s="340"/>
      <c r="D73" s="340" t="s">
        <v>954</v>
      </c>
      <c r="E73" s="340" t="s">
        <v>952</v>
      </c>
      <c r="F73" s="5">
        <v>2605107984</v>
      </c>
      <c r="G73" s="340" t="s">
        <v>953</v>
      </c>
      <c r="H73" s="340"/>
      <c r="I73" s="340"/>
    </row>
    <row r="74" spans="1:9" s="369" customFormat="1">
      <c r="A74" s="344" t="s">
        <v>181</v>
      </c>
      <c r="B74" s="344">
        <v>180137</v>
      </c>
      <c r="C74" s="344"/>
      <c r="D74" s="344" t="s">
        <v>951</v>
      </c>
      <c r="E74" s="344" t="s">
        <v>879</v>
      </c>
      <c r="F74" s="5" t="s">
        <v>981</v>
      </c>
      <c r="G74" s="344" t="s">
        <v>953</v>
      </c>
      <c r="H74" s="344"/>
      <c r="I74" s="344"/>
    </row>
    <row r="75" spans="1:9">
      <c r="A75" s="340" t="s">
        <v>186</v>
      </c>
      <c r="B75" s="340">
        <v>180139</v>
      </c>
      <c r="C75" s="340"/>
      <c r="D75" s="340" t="s">
        <v>951</v>
      </c>
      <c r="E75" s="340" t="s">
        <v>952</v>
      </c>
      <c r="F75" s="341">
        <v>2605109152</v>
      </c>
      <c r="G75" s="340" t="s">
        <v>953</v>
      </c>
      <c r="H75" s="340"/>
      <c r="I75" s="340"/>
    </row>
    <row r="76" spans="1:9">
      <c r="A76" s="340" t="s">
        <v>186</v>
      </c>
      <c r="B76" s="340">
        <v>180139</v>
      </c>
      <c r="C76" s="340"/>
      <c r="D76" s="340" t="s">
        <v>954</v>
      </c>
      <c r="E76" s="340" t="s">
        <v>952</v>
      </c>
      <c r="F76" s="5">
        <v>2605110090</v>
      </c>
      <c r="G76" s="340" t="s">
        <v>953</v>
      </c>
      <c r="H76" s="340"/>
      <c r="I76" s="340"/>
    </row>
    <row r="77" spans="1:9" s="369" customFormat="1">
      <c r="A77" s="344" t="s">
        <v>186</v>
      </c>
      <c r="B77" s="344">
        <v>180139</v>
      </c>
      <c r="C77" s="344"/>
      <c r="D77" s="344" t="s">
        <v>951</v>
      </c>
      <c r="E77" s="344" t="s">
        <v>879</v>
      </c>
      <c r="F77" s="5" t="s">
        <v>982</v>
      </c>
      <c r="G77" s="344" t="s">
        <v>953</v>
      </c>
      <c r="H77" s="344"/>
      <c r="I77" s="344"/>
    </row>
    <row r="78" spans="1:9">
      <c r="A78" s="340" t="s">
        <v>191</v>
      </c>
      <c r="B78" s="340">
        <v>180145</v>
      </c>
      <c r="C78" s="340"/>
      <c r="D78" s="340" t="s">
        <v>951</v>
      </c>
      <c r="E78" s="340" t="s">
        <v>952</v>
      </c>
      <c r="F78" s="341">
        <v>2605109255</v>
      </c>
      <c r="G78" s="340" t="s">
        <v>953</v>
      </c>
      <c r="H78" s="340"/>
      <c r="I78" s="340"/>
    </row>
    <row r="79" spans="1:9">
      <c r="A79" s="340" t="s">
        <v>191</v>
      </c>
      <c r="B79" s="340">
        <v>180145</v>
      </c>
      <c r="C79" s="340"/>
      <c r="D79" s="340" t="s">
        <v>954</v>
      </c>
      <c r="E79" s="340" t="s">
        <v>952</v>
      </c>
      <c r="F79" s="5">
        <v>2605110037</v>
      </c>
      <c r="G79" s="340" t="s">
        <v>953</v>
      </c>
      <c r="H79" s="340"/>
      <c r="I79" s="340"/>
    </row>
    <row r="80" spans="1:9">
      <c r="A80" s="344" t="s">
        <v>191</v>
      </c>
      <c r="B80" s="344">
        <v>180145</v>
      </c>
      <c r="C80" s="344"/>
      <c r="D80" s="344" t="s">
        <v>951</v>
      </c>
      <c r="E80" s="344" t="s">
        <v>879</v>
      </c>
      <c r="F80" s="5" t="s">
        <v>983</v>
      </c>
      <c r="G80" s="344" t="s">
        <v>953</v>
      </c>
      <c r="H80" s="344"/>
      <c r="I80" s="344"/>
    </row>
    <row r="81" spans="1:9">
      <c r="A81" s="340" t="s">
        <v>195</v>
      </c>
      <c r="B81" s="340">
        <v>180146</v>
      </c>
      <c r="C81" s="340"/>
      <c r="D81" s="340" t="s">
        <v>951</v>
      </c>
      <c r="E81" s="340" t="s">
        <v>952</v>
      </c>
      <c r="F81" s="341">
        <v>2605109265</v>
      </c>
      <c r="G81" s="340" t="s">
        <v>953</v>
      </c>
      <c r="H81" s="340"/>
      <c r="I81" s="340"/>
    </row>
    <row r="82" spans="1:9">
      <c r="A82" s="340" t="s">
        <v>195</v>
      </c>
      <c r="B82" s="340">
        <v>180146</v>
      </c>
      <c r="C82" s="340"/>
      <c r="D82" s="340" t="s">
        <v>954</v>
      </c>
      <c r="E82" s="340" t="s">
        <v>952</v>
      </c>
      <c r="F82" s="5">
        <v>2605110562</v>
      </c>
      <c r="G82" s="340" t="s">
        <v>953</v>
      </c>
      <c r="H82" s="340"/>
      <c r="I82" s="340"/>
    </row>
    <row r="83" spans="1:9">
      <c r="A83" s="344" t="s">
        <v>195</v>
      </c>
      <c r="B83" s="344">
        <v>180146</v>
      </c>
      <c r="C83" s="344"/>
      <c r="D83" s="344" t="s">
        <v>951</v>
      </c>
      <c r="E83" s="344" t="s">
        <v>879</v>
      </c>
      <c r="F83" s="5" t="s">
        <v>984</v>
      </c>
      <c r="G83" s="344" t="s">
        <v>953</v>
      </c>
      <c r="H83" s="344"/>
      <c r="I83" s="344"/>
    </row>
    <row r="84" spans="1:9" s="364" customFormat="1">
      <c r="A84" s="340" t="s">
        <v>201</v>
      </c>
      <c r="B84" s="340">
        <v>180147</v>
      </c>
      <c r="C84" s="340"/>
      <c r="D84" s="340" t="s">
        <v>951</v>
      </c>
      <c r="E84" s="340" t="s">
        <v>952</v>
      </c>
      <c r="F84" s="341">
        <v>2605105649</v>
      </c>
      <c r="G84" s="340" t="s">
        <v>953</v>
      </c>
      <c r="H84" s="340"/>
      <c r="I84" s="340"/>
    </row>
    <row r="85" spans="1:9">
      <c r="A85" s="340" t="s">
        <v>201</v>
      </c>
      <c r="B85" s="340">
        <v>180147</v>
      </c>
      <c r="C85" s="340"/>
      <c r="D85" s="340" t="s">
        <v>954</v>
      </c>
      <c r="E85" s="340" t="s">
        <v>952</v>
      </c>
      <c r="F85" s="5">
        <v>2605107389</v>
      </c>
      <c r="G85" s="340" t="s">
        <v>953</v>
      </c>
      <c r="H85" s="340"/>
      <c r="I85" s="340"/>
    </row>
    <row r="86" spans="1:9">
      <c r="A86" s="340" t="s">
        <v>201</v>
      </c>
      <c r="B86" s="340">
        <v>180147</v>
      </c>
      <c r="C86" s="340"/>
      <c r="D86" s="340" t="s">
        <v>951</v>
      </c>
      <c r="E86" s="340" t="s">
        <v>879</v>
      </c>
      <c r="F86" s="370" t="s">
        <v>985</v>
      </c>
      <c r="G86" s="340" t="s">
        <v>953</v>
      </c>
      <c r="H86" s="340"/>
      <c r="I86" s="340"/>
    </row>
    <row r="87" spans="1:9" s="19" customFormat="1">
      <c r="A87" s="384" t="s">
        <v>986</v>
      </c>
      <c r="B87" s="384">
        <v>180152</v>
      </c>
      <c r="C87" s="384"/>
      <c r="D87" s="384" t="s">
        <v>951</v>
      </c>
      <c r="E87" s="384" t="s">
        <v>952</v>
      </c>
      <c r="F87" s="5">
        <v>2605109941</v>
      </c>
      <c r="G87" s="384" t="s">
        <v>953</v>
      </c>
      <c r="H87" s="384"/>
      <c r="I87" s="384"/>
    </row>
    <row r="88" spans="1:9">
      <c r="A88" s="340" t="s">
        <v>986</v>
      </c>
      <c r="B88" s="340">
        <v>180152</v>
      </c>
      <c r="C88" s="340"/>
      <c r="D88" s="340" t="s">
        <v>954</v>
      </c>
      <c r="E88" s="340" t="s">
        <v>952</v>
      </c>
      <c r="F88" s="341">
        <v>2605112533</v>
      </c>
      <c r="G88" s="340" t="s">
        <v>953</v>
      </c>
      <c r="H88" s="340"/>
      <c r="I88" s="340"/>
    </row>
    <row r="89" spans="1:9" s="369" customFormat="1">
      <c r="A89" s="344" t="s">
        <v>986</v>
      </c>
      <c r="B89" s="344">
        <v>180152</v>
      </c>
      <c r="C89" s="344"/>
      <c r="D89" s="344" t="s">
        <v>951</v>
      </c>
      <c r="E89" s="344" t="s">
        <v>879</v>
      </c>
      <c r="F89" s="5" t="s">
        <v>987</v>
      </c>
      <c r="G89" s="344" t="s">
        <v>953</v>
      </c>
      <c r="H89" s="344"/>
      <c r="I89" s="344"/>
    </row>
    <row r="90" spans="1:9">
      <c r="A90" s="340" t="s">
        <v>212</v>
      </c>
      <c r="B90" s="340">
        <v>180153</v>
      </c>
      <c r="C90" s="340"/>
      <c r="D90" s="340" t="s">
        <v>951</v>
      </c>
      <c r="E90" s="340" t="s">
        <v>952</v>
      </c>
      <c r="F90" s="341">
        <v>2605105906</v>
      </c>
      <c r="G90" s="340" t="s">
        <v>953</v>
      </c>
      <c r="H90" s="340"/>
      <c r="I90" s="340"/>
    </row>
    <row r="91" spans="1:9">
      <c r="A91" s="340" t="s">
        <v>212</v>
      </c>
      <c r="B91" s="340">
        <v>180153</v>
      </c>
      <c r="C91" s="340"/>
      <c r="D91" s="340" t="s">
        <v>954</v>
      </c>
      <c r="E91" s="340" t="s">
        <v>952</v>
      </c>
      <c r="F91" s="5">
        <v>2605107383</v>
      </c>
      <c r="G91" s="340" t="s">
        <v>953</v>
      </c>
      <c r="H91" s="340"/>
      <c r="I91" s="340"/>
    </row>
    <row r="92" spans="1:9" s="369" customFormat="1">
      <c r="A92" s="344" t="s">
        <v>212</v>
      </c>
      <c r="B92" s="344">
        <v>180153</v>
      </c>
      <c r="C92" s="344"/>
      <c r="D92" s="344" t="s">
        <v>951</v>
      </c>
      <c r="E92" s="344" t="s">
        <v>879</v>
      </c>
      <c r="F92" s="5" t="s">
        <v>988</v>
      </c>
      <c r="G92" s="344" t="s">
        <v>953</v>
      </c>
      <c r="H92" s="344"/>
      <c r="I92" s="344"/>
    </row>
    <row r="93" spans="1:9">
      <c r="A93" s="340" t="s">
        <v>216</v>
      </c>
      <c r="B93" s="340">
        <v>180154</v>
      </c>
      <c r="C93" s="340"/>
      <c r="D93" s="340" t="s">
        <v>951</v>
      </c>
      <c r="E93" s="340" t="s">
        <v>952</v>
      </c>
      <c r="F93" s="341">
        <v>2605109424</v>
      </c>
      <c r="G93" s="340" t="s">
        <v>953</v>
      </c>
      <c r="H93" s="340"/>
      <c r="I93" s="340"/>
    </row>
    <row r="94" spans="1:9">
      <c r="A94" s="340" t="s">
        <v>216</v>
      </c>
      <c r="B94" s="340">
        <v>180154</v>
      </c>
      <c r="C94" s="340"/>
      <c r="D94" s="340" t="s">
        <v>954</v>
      </c>
      <c r="E94" s="340" t="s">
        <v>952</v>
      </c>
      <c r="F94" s="5">
        <v>2605110377</v>
      </c>
      <c r="G94" s="340" t="s">
        <v>953</v>
      </c>
      <c r="H94" s="340"/>
      <c r="I94" s="340"/>
    </row>
    <row r="95" spans="1:9" s="369" customFormat="1">
      <c r="A95" s="344" t="s">
        <v>216</v>
      </c>
      <c r="B95" s="344">
        <v>180154</v>
      </c>
      <c r="C95" s="344"/>
      <c r="D95" s="344" t="s">
        <v>951</v>
      </c>
      <c r="E95" s="344" t="s">
        <v>879</v>
      </c>
      <c r="F95" s="5" t="s">
        <v>989</v>
      </c>
      <c r="G95" s="344" t="s">
        <v>953</v>
      </c>
      <c r="H95" s="344"/>
      <c r="I95" s="344"/>
    </row>
    <row r="96" spans="1:9">
      <c r="A96" s="340" t="s">
        <v>221</v>
      </c>
      <c r="B96" s="340">
        <v>180178</v>
      </c>
      <c r="C96" s="340"/>
      <c r="D96" s="340" t="s">
        <v>951</v>
      </c>
      <c r="E96" s="340" t="s">
        <v>952</v>
      </c>
      <c r="F96" s="341">
        <v>2605111544</v>
      </c>
      <c r="G96" s="340" t="s">
        <v>953</v>
      </c>
      <c r="H96" s="340"/>
      <c r="I96" s="340"/>
    </row>
    <row r="97" spans="1:9">
      <c r="A97" s="340" t="s">
        <v>221</v>
      </c>
      <c r="B97" s="340">
        <v>180178</v>
      </c>
      <c r="C97" s="340"/>
      <c r="D97" s="340" t="s">
        <v>954</v>
      </c>
      <c r="E97" s="340" t="s">
        <v>952</v>
      </c>
      <c r="F97" s="5">
        <v>2605112433</v>
      </c>
      <c r="G97" s="340" t="s">
        <v>953</v>
      </c>
      <c r="H97" s="340"/>
      <c r="I97" s="340"/>
    </row>
    <row r="98" spans="1:9" s="369" customFormat="1">
      <c r="A98" s="344" t="s">
        <v>221</v>
      </c>
      <c r="B98" s="344">
        <v>180178</v>
      </c>
      <c r="C98" s="344"/>
      <c r="D98" s="344" t="s">
        <v>951</v>
      </c>
      <c r="E98" s="344" t="s">
        <v>879</v>
      </c>
      <c r="F98" s="5" t="s">
        <v>990</v>
      </c>
      <c r="G98" s="344" t="s">
        <v>953</v>
      </c>
      <c r="H98" s="344"/>
      <c r="I98" s="344"/>
    </row>
    <row r="99" spans="1:9">
      <c r="A99" s="340" t="s">
        <v>227</v>
      </c>
      <c r="B99" s="340">
        <v>180180</v>
      </c>
      <c r="C99" s="340"/>
      <c r="D99" s="340" t="s">
        <v>951</v>
      </c>
      <c r="E99" s="340" t="s">
        <v>952</v>
      </c>
      <c r="F99" s="341">
        <v>2605108064</v>
      </c>
      <c r="G99" s="340" t="s">
        <v>953</v>
      </c>
      <c r="H99" s="340"/>
      <c r="I99" s="340"/>
    </row>
    <row r="100" spans="1:9">
      <c r="A100" s="340" t="s">
        <v>227</v>
      </c>
      <c r="B100" s="340">
        <v>180180</v>
      </c>
      <c r="C100" s="340"/>
      <c r="D100" s="340" t="s">
        <v>954</v>
      </c>
      <c r="E100" s="340" t="s">
        <v>952</v>
      </c>
      <c r="F100" s="5">
        <v>2605109863</v>
      </c>
      <c r="G100" s="340" t="s">
        <v>953</v>
      </c>
      <c r="H100" s="340"/>
      <c r="I100" s="340"/>
    </row>
    <row r="101" spans="1:9" s="369" customFormat="1">
      <c r="A101" s="344" t="s">
        <v>227</v>
      </c>
      <c r="B101" s="344">
        <v>180180</v>
      </c>
      <c r="C101" s="344"/>
      <c r="D101" s="344" t="s">
        <v>951</v>
      </c>
      <c r="E101" s="344" t="s">
        <v>879</v>
      </c>
      <c r="F101" s="5" t="s">
        <v>991</v>
      </c>
      <c r="G101" s="344" t="s">
        <v>953</v>
      </c>
      <c r="H101" s="344"/>
      <c r="I101" s="344"/>
    </row>
    <row r="102" spans="1:9">
      <c r="A102" s="340" t="s">
        <v>232</v>
      </c>
      <c r="B102" s="340">
        <v>180181</v>
      </c>
      <c r="C102" s="340"/>
      <c r="D102" s="340" t="s">
        <v>951</v>
      </c>
      <c r="E102" s="340" t="s">
        <v>952</v>
      </c>
      <c r="F102" s="341">
        <v>2605109685</v>
      </c>
      <c r="G102" s="340" t="s">
        <v>953</v>
      </c>
      <c r="H102" s="340"/>
      <c r="I102" s="340"/>
    </row>
    <row r="103" spans="1:9">
      <c r="A103" s="340" t="s">
        <v>232</v>
      </c>
      <c r="B103" s="340">
        <v>180181</v>
      </c>
      <c r="C103" s="340"/>
      <c r="D103" s="340" t="s">
        <v>954</v>
      </c>
      <c r="E103" s="340" t="s">
        <v>952</v>
      </c>
      <c r="F103" s="5">
        <v>2605110139</v>
      </c>
      <c r="G103" s="340" t="s">
        <v>953</v>
      </c>
      <c r="H103" s="340"/>
      <c r="I103" s="340"/>
    </row>
    <row r="104" spans="1:9" s="369" customFormat="1">
      <c r="A104" s="344" t="s">
        <v>232</v>
      </c>
      <c r="B104" s="344">
        <v>180181</v>
      </c>
      <c r="C104" s="344"/>
      <c r="D104" s="344" t="s">
        <v>951</v>
      </c>
      <c r="E104" s="344" t="s">
        <v>879</v>
      </c>
      <c r="F104" s="5" t="s">
        <v>992</v>
      </c>
      <c r="G104" s="344" t="s">
        <v>953</v>
      </c>
      <c r="H104" s="344"/>
      <c r="I104" s="344"/>
    </row>
    <row r="105" spans="1:9">
      <c r="A105" s="340" t="s">
        <v>237</v>
      </c>
      <c r="B105" s="340">
        <v>180183</v>
      </c>
      <c r="C105" s="340"/>
      <c r="D105" s="340" t="s">
        <v>951</v>
      </c>
      <c r="E105" s="340" t="s">
        <v>952</v>
      </c>
      <c r="F105" s="341">
        <v>2605109639</v>
      </c>
      <c r="G105" s="340" t="s">
        <v>953</v>
      </c>
      <c r="H105" s="340"/>
      <c r="I105" s="340"/>
    </row>
    <row r="106" spans="1:9">
      <c r="A106" s="340" t="s">
        <v>237</v>
      </c>
      <c r="B106" s="340">
        <v>180183</v>
      </c>
      <c r="C106" s="340"/>
      <c r="D106" s="340" t="s">
        <v>954</v>
      </c>
      <c r="E106" s="340" t="s">
        <v>952</v>
      </c>
      <c r="F106" s="358">
        <v>2605110120</v>
      </c>
      <c r="G106" s="340" t="s">
        <v>953</v>
      </c>
      <c r="H106" s="340"/>
      <c r="I106" s="340"/>
    </row>
    <row r="107" spans="1:9" s="369" customFormat="1">
      <c r="A107" s="344" t="s">
        <v>237</v>
      </c>
      <c r="B107" s="344">
        <v>180183</v>
      </c>
      <c r="C107" s="344"/>
      <c r="D107" s="344" t="s">
        <v>951</v>
      </c>
      <c r="E107" s="344" t="s">
        <v>879</v>
      </c>
      <c r="F107" s="5" t="s">
        <v>993</v>
      </c>
      <c r="G107" s="344" t="s">
        <v>953</v>
      </c>
      <c r="H107" s="344"/>
      <c r="I107" s="344"/>
    </row>
    <row r="108" spans="1:9">
      <c r="A108" s="340" t="s">
        <v>243</v>
      </c>
      <c r="B108" s="340">
        <v>180184</v>
      </c>
      <c r="C108" s="340"/>
      <c r="D108" s="340" t="s">
        <v>951</v>
      </c>
      <c r="E108" s="340" t="s">
        <v>952</v>
      </c>
      <c r="F108" s="341">
        <v>2605111953</v>
      </c>
      <c r="G108" s="340" t="s">
        <v>953</v>
      </c>
      <c r="H108" s="340"/>
      <c r="I108" s="340"/>
    </row>
    <row r="109" spans="1:9">
      <c r="A109" s="340" t="s">
        <v>243</v>
      </c>
      <c r="B109" s="340">
        <v>180184</v>
      </c>
      <c r="C109" s="340"/>
      <c r="D109" s="340" t="s">
        <v>954</v>
      </c>
      <c r="E109" s="340" t="s">
        <v>952</v>
      </c>
      <c r="F109" s="5">
        <v>2605112430</v>
      </c>
      <c r="G109" s="340" t="s">
        <v>953</v>
      </c>
      <c r="H109" s="340"/>
      <c r="I109" s="340"/>
    </row>
    <row r="110" spans="1:9" s="369" customFormat="1">
      <c r="A110" s="344" t="s">
        <v>243</v>
      </c>
      <c r="B110" s="344">
        <v>180184</v>
      </c>
      <c r="C110" s="344"/>
      <c r="D110" s="344" t="s">
        <v>951</v>
      </c>
      <c r="E110" s="344" t="s">
        <v>879</v>
      </c>
      <c r="F110" s="5" t="s">
        <v>994</v>
      </c>
      <c r="G110" s="344" t="s">
        <v>953</v>
      </c>
      <c r="H110" s="344"/>
      <c r="I110" s="344"/>
    </row>
    <row r="111" spans="1:9">
      <c r="A111" s="340" t="s">
        <v>248</v>
      </c>
      <c r="B111" s="340">
        <v>180186</v>
      </c>
      <c r="C111" s="340"/>
      <c r="D111" s="340" t="s">
        <v>951</v>
      </c>
      <c r="E111" s="340" t="s">
        <v>952</v>
      </c>
      <c r="F111" s="341">
        <v>2605110760</v>
      </c>
      <c r="G111" s="340" t="s">
        <v>953</v>
      </c>
      <c r="H111" s="340"/>
      <c r="I111" s="340"/>
    </row>
    <row r="112" spans="1:9">
      <c r="A112" s="340" t="s">
        <v>248</v>
      </c>
      <c r="B112" s="340">
        <v>180186</v>
      </c>
      <c r="C112" s="340"/>
      <c r="D112" s="340" t="s">
        <v>954</v>
      </c>
      <c r="E112" s="340" t="s">
        <v>952</v>
      </c>
      <c r="F112" s="5">
        <v>2605112514</v>
      </c>
      <c r="G112" s="340" t="s">
        <v>953</v>
      </c>
      <c r="H112" s="340"/>
      <c r="I112" s="340"/>
    </row>
    <row r="113" spans="1:9" s="369" customFormat="1">
      <c r="A113" s="344" t="s">
        <v>248</v>
      </c>
      <c r="B113" s="344">
        <v>180186</v>
      </c>
      <c r="C113" s="344"/>
      <c r="D113" s="344" t="s">
        <v>951</v>
      </c>
      <c r="E113" s="344" t="s">
        <v>879</v>
      </c>
      <c r="F113" s="5" t="s">
        <v>995</v>
      </c>
      <c r="G113" s="344" t="s">
        <v>953</v>
      </c>
      <c r="H113" s="344"/>
      <c r="I113" s="344"/>
    </row>
    <row r="114" spans="1:9">
      <c r="A114" s="340" t="s">
        <v>253</v>
      </c>
      <c r="B114" s="340">
        <v>180188</v>
      </c>
      <c r="C114" s="340"/>
      <c r="D114" s="340" t="s">
        <v>951</v>
      </c>
      <c r="E114" s="340" t="s">
        <v>952</v>
      </c>
      <c r="F114" s="341">
        <v>2605108147</v>
      </c>
      <c r="G114" s="340" t="s">
        <v>953</v>
      </c>
      <c r="H114" s="340"/>
      <c r="I114" s="340"/>
    </row>
    <row r="115" spans="1:9">
      <c r="A115" s="340" t="s">
        <v>253</v>
      </c>
      <c r="B115" s="340">
        <v>180188</v>
      </c>
      <c r="C115" s="340"/>
      <c r="D115" s="340" t="s">
        <v>954</v>
      </c>
      <c r="E115" s="340" t="s">
        <v>952</v>
      </c>
      <c r="F115" s="5">
        <v>2605109858</v>
      </c>
      <c r="G115" s="340" t="s">
        <v>953</v>
      </c>
      <c r="H115" s="340"/>
      <c r="I115" s="340"/>
    </row>
    <row r="116" spans="1:9" s="369" customFormat="1">
      <c r="A116" s="344" t="s">
        <v>253</v>
      </c>
      <c r="B116" s="344">
        <v>180188</v>
      </c>
      <c r="C116" s="344"/>
      <c r="D116" s="344" t="s">
        <v>951</v>
      </c>
      <c r="E116" s="344" t="s">
        <v>879</v>
      </c>
      <c r="F116" s="5" t="s">
        <v>996</v>
      </c>
      <c r="G116" s="344" t="s">
        <v>953</v>
      </c>
      <c r="H116" s="344"/>
      <c r="I116" s="344"/>
    </row>
    <row r="117" spans="1:9">
      <c r="A117" s="340" t="s">
        <v>258</v>
      </c>
      <c r="B117" s="340">
        <v>180190</v>
      </c>
      <c r="C117" s="340"/>
      <c r="D117" s="340" t="s">
        <v>951</v>
      </c>
      <c r="E117" s="340" t="s">
        <v>952</v>
      </c>
      <c r="F117" s="341">
        <v>2605109742</v>
      </c>
      <c r="G117" s="340" t="s">
        <v>953</v>
      </c>
      <c r="H117" s="340"/>
      <c r="I117" s="340"/>
    </row>
    <row r="118" spans="1:9">
      <c r="A118" s="340" t="s">
        <v>258</v>
      </c>
      <c r="B118" s="340">
        <v>180190</v>
      </c>
      <c r="C118" s="340"/>
      <c r="D118" s="340" t="s">
        <v>954</v>
      </c>
      <c r="E118" s="340" t="s">
        <v>952</v>
      </c>
      <c r="F118" s="345">
        <v>2605110213</v>
      </c>
      <c r="G118" s="340" t="s">
        <v>953</v>
      </c>
      <c r="H118" s="340"/>
      <c r="I118" s="340"/>
    </row>
    <row r="119" spans="1:9" s="369" customFormat="1">
      <c r="A119" s="344" t="s">
        <v>258</v>
      </c>
      <c r="B119" s="344">
        <v>180190</v>
      </c>
      <c r="C119" s="344"/>
      <c r="D119" s="344" t="s">
        <v>951</v>
      </c>
      <c r="E119" s="344" t="s">
        <v>879</v>
      </c>
      <c r="F119" s="5" t="s">
        <v>997</v>
      </c>
      <c r="G119" s="344" t="s">
        <v>953</v>
      </c>
      <c r="H119" s="344"/>
      <c r="I119" s="344"/>
    </row>
    <row r="120" spans="1:9">
      <c r="A120" s="340" t="s">
        <v>264</v>
      </c>
      <c r="B120" s="340">
        <v>180192</v>
      </c>
      <c r="C120" s="340"/>
      <c r="D120" s="340" t="s">
        <v>951</v>
      </c>
      <c r="E120" s="340" t="s">
        <v>952</v>
      </c>
      <c r="F120" s="341">
        <v>2605108514</v>
      </c>
      <c r="G120" s="340" t="s">
        <v>953</v>
      </c>
      <c r="H120" s="340"/>
      <c r="I120" s="383" t="s">
        <v>998</v>
      </c>
    </row>
    <row r="121" spans="1:9">
      <c r="A121" s="340" t="s">
        <v>264</v>
      </c>
      <c r="B121" s="340">
        <v>180192</v>
      </c>
      <c r="C121" s="340"/>
      <c r="D121" s="340" t="s">
        <v>954</v>
      </c>
      <c r="E121" s="340" t="s">
        <v>952</v>
      </c>
      <c r="F121" s="370">
        <v>2605109851</v>
      </c>
      <c r="G121" s="340" t="s">
        <v>953</v>
      </c>
      <c r="H121" s="340"/>
      <c r="I121" s="340" t="s">
        <v>999</v>
      </c>
    </row>
    <row r="122" spans="1:9" s="369" customFormat="1">
      <c r="A122" s="344" t="s">
        <v>264</v>
      </c>
      <c r="B122" s="344">
        <v>180192</v>
      </c>
      <c r="C122" s="344"/>
      <c r="D122" s="344" t="s">
        <v>951</v>
      </c>
      <c r="E122" s="344" t="s">
        <v>879</v>
      </c>
      <c r="F122" s="5" t="s">
        <v>998</v>
      </c>
      <c r="G122" s="344" t="s">
        <v>1000</v>
      </c>
      <c r="H122" s="344"/>
      <c r="I122" s="344"/>
    </row>
    <row r="123" spans="1:9">
      <c r="A123" s="340" t="s">
        <v>270</v>
      </c>
      <c r="B123" s="340">
        <v>180193</v>
      </c>
      <c r="C123" s="340"/>
      <c r="D123" s="340" t="s">
        <v>951</v>
      </c>
      <c r="E123" s="340" t="s">
        <v>952</v>
      </c>
      <c r="F123" s="341">
        <v>2605109732</v>
      </c>
      <c r="G123" s="340" t="s">
        <v>953</v>
      </c>
      <c r="H123" s="340"/>
      <c r="I123" s="340"/>
    </row>
    <row r="124" spans="1:9">
      <c r="A124" s="340" t="s">
        <v>270</v>
      </c>
      <c r="B124" s="340">
        <v>180193</v>
      </c>
      <c r="C124" s="340"/>
      <c r="D124" s="340" t="s">
        <v>954</v>
      </c>
      <c r="E124" s="340" t="s">
        <v>952</v>
      </c>
      <c r="F124" s="5">
        <v>2605110161</v>
      </c>
      <c r="G124" s="340" t="s">
        <v>953</v>
      </c>
      <c r="H124" s="340"/>
      <c r="I124" s="340"/>
    </row>
    <row r="125" spans="1:9" s="369" customFormat="1">
      <c r="A125" s="344" t="s">
        <v>270</v>
      </c>
      <c r="B125" s="344">
        <v>180193</v>
      </c>
      <c r="C125" s="344"/>
      <c r="D125" s="344" t="s">
        <v>951</v>
      </c>
      <c r="E125" s="344" t="s">
        <v>879</v>
      </c>
      <c r="F125" s="5" t="s">
        <v>1001</v>
      </c>
      <c r="G125" s="344" t="s">
        <v>953</v>
      </c>
      <c r="H125" s="344"/>
      <c r="I125" s="344"/>
    </row>
    <row r="126" spans="1:9">
      <c r="A126" s="340" t="s">
        <v>276</v>
      </c>
      <c r="B126" s="340">
        <v>180195</v>
      </c>
      <c r="C126" s="340"/>
      <c r="D126" s="340" t="s">
        <v>951</v>
      </c>
      <c r="E126" s="340" t="s">
        <v>952</v>
      </c>
      <c r="F126" s="341">
        <v>2605113276</v>
      </c>
      <c r="G126" s="340" t="s">
        <v>953</v>
      </c>
      <c r="H126" s="340"/>
      <c r="I126" s="340"/>
    </row>
    <row r="127" spans="1:9">
      <c r="A127" s="340" t="s">
        <v>276</v>
      </c>
      <c r="B127" s="340">
        <v>180195</v>
      </c>
      <c r="C127" s="340"/>
      <c r="D127" s="340" t="s">
        <v>954</v>
      </c>
      <c r="E127" s="340" t="s">
        <v>952</v>
      </c>
      <c r="F127" s="5">
        <v>2605114534</v>
      </c>
      <c r="G127" s="340" t="s">
        <v>953</v>
      </c>
      <c r="H127" s="340"/>
      <c r="I127" s="340"/>
    </row>
    <row r="128" spans="1:9" s="369" customFormat="1">
      <c r="A128" s="344" t="s">
        <v>276</v>
      </c>
      <c r="B128" s="344">
        <v>180195</v>
      </c>
      <c r="C128" s="344"/>
      <c r="D128" s="344" t="s">
        <v>951</v>
      </c>
      <c r="E128" s="344" t="s">
        <v>879</v>
      </c>
      <c r="F128" s="5" t="s">
        <v>1002</v>
      </c>
      <c r="G128" s="344" t="s">
        <v>953</v>
      </c>
      <c r="H128" s="344"/>
      <c r="I128" s="344"/>
    </row>
    <row r="129" spans="1:9">
      <c r="A129" s="340" t="s">
        <v>281</v>
      </c>
      <c r="B129" s="340">
        <v>180196</v>
      </c>
      <c r="C129" s="340"/>
      <c r="D129" s="340" t="s">
        <v>951</v>
      </c>
      <c r="E129" s="340" t="s">
        <v>952</v>
      </c>
      <c r="F129" s="341">
        <v>2605113362</v>
      </c>
      <c r="G129" s="340" t="s">
        <v>953</v>
      </c>
      <c r="H129" s="340"/>
      <c r="I129" s="340"/>
    </row>
    <row r="130" spans="1:9">
      <c r="A130" s="340" t="s">
        <v>281</v>
      </c>
      <c r="B130" s="340">
        <v>180196</v>
      </c>
      <c r="C130" s="340"/>
      <c r="D130" s="340" t="s">
        <v>954</v>
      </c>
      <c r="E130" s="340" t="s">
        <v>952</v>
      </c>
      <c r="F130" s="5">
        <v>2605114515</v>
      </c>
      <c r="G130" s="340" t="s">
        <v>953</v>
      </c>
      <c r="H130" s="340"/>
      <c r="I130" s="340"/>
    </row>
    <row r="131" spans="1:9" s="369" customFormat="1">
      <c r="A131" s="344" t="s">
        <v>281</v>
      </c>
      <c r="B131" s="344">
        <v>180196</v>
      </c>
      <c r="C131" s="344"/>
      <c r="D131" s="344" t="s">
        <v>951</v>
      </c>
      <c r="E131" s="344" t="s">
        <v>879</v>
      </c>
      <c r="F131" s="5" t="s">
        <v>1003</v>
      </c>
      <c r="G131" s="344" t="s">
        <v>953</v>
      </c>
      <c r="H131" s="344"/>
      <c r="I131" s="344"/>
    </row>
    <row r="132" spans="1:9">
      <c r="A132" s="340" t="s">
        <v>286</v>
      </c>
      <c r="B132" s="340">
        <v>180198</v>
      </c>
      <c r="C132" s="340"/>
      <c r="D132" s="340" t="s">
        <v>951</v>
      </c>
      <c r="E132" s="340" t="s">
        <v>952</v>
      </c>
      <c r="F132" s="341">
        <v>2605108328</v>
      </c>
      <c r="G132" s="340" t="s">
        <v>953</v>
      </c>
      <c r="H132" s="340"/>
      <c r="I132" s="340"/>
    </row>
    <row r="133" spans="1:9">
      <c r="A133" s="340" t="s">
        <v>286</v>
      </c>
      <c r="B133" s="340">
        <v>180198</v>
      </c>
      <c r="C133" s="340"/>
      <c r="D133" s="340" t="s">
        <v>954</v>
      </c>
      <c r="E133" s="340" t="s">
        <v>952</v>
      </c>
      <c r="F133" s="5">
        <v>2605109841</v>
      </c>
      <c r="G133" s="340" t="s">
        <v>953</v>
      </c>
      <c r="H133" s="340"/>
      <c r="I133" s="340"/>
    </row>
    <row r="134" spans="1:9" s="369" customFormat="1">
      <c r="A134" s="344" t="s">
        <v>286</v>
      </c>
      <c r="B134" s="344">
        <v>180198</v>
      </c>
      <c r="C134" s="344"/>
      <c r="D134" s="344" t="s">
        <v>951</v>
      </c>
      <c r="E134" s="344" t="s">
        <v>879</v>
      </c>
      <c r="F134" s="5" t="s">
        <v>1004</v>
      </c>
      <c r="G134" s="344" t="s">
        <v>953</v>
      </c>
      <c r="H134" s="344"/>
      <c r="I134" s="344"/>
    </row>
    <row r="135" spans="1:9">
      <c r="A135" s="340" t="s">
        <v>290</v>
      </c>
      <c r="B135" s="340">
        <v>180199</v>
      </c>
      <c r="C135" s="340"/>
      <c r="D135" s="340" t="s">
        <v>951</v>
      </c>
      <c r="E135" s="340" t="s">
        <v>952</v>
      </c>
      <c r="F135" s="341">
        <v>2605109779</v>
      </c>
      <c r="G135" s="340" t="s">
        <v>953</v>
      </c>
      <c r="H135" s="340"/>
      <c r="I135" s="340"/>
    </row>
    <row r="136" spans="1:9">
      <c r="A136" s="340" t="s">
        <v>290</v>
      </c>
      <c r="B136" s="340">
        <v>180199</v>
      </c>
      <c r="C136" s="340"/>
      <c r="D136" s="340" t="s">
        <v>954</v>
      </c>
      <c r="E136" s="340" t="s">
        <v>952</v>
      </c>
      <c r="F136" s="5">
        <v>2605112451</v>
      </c>
      <c r="G136" s="340" t="s">
        <v>953</v>
      </c>
      <c r="H136" s="340"/>
      <c r="I136" s="340"/>
    </row>
    <row r="137" spans="1:9" s="369" customFormat="1">
      <c r="A137" s="344" t="s">
        <v>290</v>
      </c>
      <c r="B137" s="344">
        <v>180199</v>
      </c>
      <c r="C137" s="344"/>
      <c r="D137" s="344" t="s">
        <v>951</v>
      </c>
      <c r="E137" s="344" t="s">
        <v>879</v>
      </c>
      <c r="F137" s="5" t="s">
        <v>1005</v>
      </c>
      <c r="G137" s="344" t="s">
        <v>953</v>
      </c>
      <c r="H137" s="344"/>
      <c r="I137" s="344"/>
    </row>
    <row r="138" spans="1:9">
      <c r="A138" s="340" t="s">
        <v>295</v>
      </c>
      <c r="B138" s="340">
        <v>180201</v>
      </c>
      <c r="C138" s="340"/>
      <c r="D138" s="340" t="s">
        <v>951</v>
      </c>
      <c r="E138" s="340" t="s">
        <v>952</v>
      </c>
      <c r="F138" s="341">
        <v>2605108680</v>
      </c>
      <c r="G138" s="340" t="s">
        <v>953</v>
      </c>
      <c r="H138" s="340"/>
      <c r="I138" s="340"/>
    </row>
    <row r="139" spans="1:9">
      <c r="A139" s="340" t="s">
        <v>295</v>
      </c>
      <c r="B139" s="340">
        <v>180201</v>
      </c>
      <c r="C139" s="340"/>
      <c r="D139" s="340" t="s">
        <v>954</v>
      </c>
      <c r="E139" s="340" t="s">
        <v>952</v>
      </c>
      <c r="F139" s="5">
        <v>2605110346</v>
      </c>
      <c r="G139" s="340" t="s">
        <v>953</v>
      </c>
      <c r="H139" s="340"/>
      <c r="I139" s="340"/>
    </row>
    <row r="140" spans="1:9" s="369" customFormat="1">
      <c r="A140" s="344" t="s">
        <v>295</v>
      </c>
      <c r="B140" s="344">
        <v>180201</v>
      </c>
      <c r="C140" s="344"/>
      <c r="D140" s="344" t="s">
        <v>951</v>
      </c>
      <c r="E140" s="344" t="s">
        <v>879</v>
      </c>
      <c r="F140" s="5" t="s">
        <v>1006</v>
      </c>
      <c r="G140" s="344" t="s">
        <v>953</v>
      </c>
      <c r="H140" s="344"/>
      <c r="I140" s="344"/>
    </row>
    <row r="141" spans="1:9">
      <c r="A141" s="340" t="s">
        <v>302</v>
      </c>
      <c r="B141" s="340">
        <v>180202</v>
      </c>
      <c r="C141" s="340"/>
      <c r="D141" s="340" t="s">
        <v>951</v>
      </c>
      <c r="E141" s="340" t="s">
        <v>952</v>
      </c>
      <c r="F141" s="341">
        <v>2605113395</v>
      </c>
      <c r="G141" s="340" t="s">
        <v>953</v>
      </c>
      <c r="H141" s="340"/>
      <c r="I141" s="340"/>
    </row>
    <row r="142" spans="1:9">
      <c r="A142" s="340" t="s">
        <v>302</v>
      </c>
      <c r="B142" s="340">
        <v>180202</v>
      </c>
      <c r="C142" s="340"/>
      <c r="D142" s="340" t="s">
        <v>954</v>
      </c>
      <c r="E142" s="340" t="s">
        <v>952</v>
      </c>
      <c r="F142" s="5">
        <v>2605114518</v>
      </c>
      <c r="G142" s="340" t="s">
        <v>953</v>
      </c>
      <c r="H142" s="340"/>
      <c r="I142" s="340"/>
    </row>
    <row r="143" spans="1:9" s="369" customFormat="1">
      <c r="A143" s="344" t="s">
        <v>302</v>
      </c>
      <c r="B143" s="344">
        <v>180202</v>
      </c>
      <c r="C143" s="344"/>
      <c r="D143" s="344" t="s">
        <v>951</v>
      </c>
      <c r="E143" s="344" t="s">
        <v>879</v>
      </c>
      <c r="F143" s="5" t="s">
        <v>1007</v>
      </c>
      <c r="G143" s="344" t="s">
        <v>953</v>
      </c>
      <c r="H143" s="344"/>
      <c r="I143" s="344"/>
    </row>
    <row r="144" spans="1:9">
      <c r="A144" s="340" t="s">
        <v>308</v>
      </c>
      <c r="B144" s="340">
        <v>180213</v>
      </c>
      <c r="C144" s="340"/>
      <c r="D144" s="340" t="s">
        <v>951</v>
      </c>
      <c r="E144" s="340" t="s">
        <v>952</v>
      </c>
      <c r="F144" s="341">
        <v>2605110890</v>
      </c>
      <c r="G144" s="340" t="s">
        <v>953</v>
      </c>
      <c r="H144" s="340"/>
      <c r="I144" s="340"/>
    </row>
    <row r="145" spans="1:9">
      <c r="A145" s="340" t="s">
        <v>308</v>
      </c>
      <c r="B145" s="340">
        <v>180213</v>
      </c>
      <c r="C145" s="340"/>
      <c r="D145" s="340" t="s">
        <v>954</v>
      </c>
      <c r="E145" s="340" t="s">
        <v>952</v>
      </c>
      <c r="F145" s="5">
        <v>2605112505</v>
      </c>
      <c r="G145" s="340" t="s">
        <v>953</v>
      </c>
      <c r="H145" s="340"/>
      <c r="I145" s="340"/>
    </row>
    <row r="146" spans="1:9" s="369" customFormat="1">
      <c r="A146" s="344" t="s">
        <v>308</v>
      </c>
      <c r="B146" s="344">
        <v>180213</v>
      </c>
      <c r="C146" s="344"/>
      <c r="D146" s="344" t="s">
        <v>951</v>
      </c>
      <c r="E146" s="344" t="s">
        <v>879</v>
      </c>
      <c r="F146" s="5" t="s">
        <v>1008</v>
      </c>
      <c r="G146" s="344" t="s">
        <v>953</v>
      </c>
      <c r="H146" s="344"/>
      <c r="I146" s="344"/>
    </row>
    <row r="147" spans="1:9">
      <c r="A147" s="340" t="s">
        <v>315</v>
      </c>
      <c r="B147" s="340">
        <v>180226</v>
      </c>
      <c r="C147" s="340"/>
      <c r="D147" s="340" t="s">
        <v>951</v>
      </c>
      <c r="E147" s="340" t="s">
        <v>952</v>
      </c>
      <c r="F147" s="341">
        <v>2605113776</v>
      </c>
      <c r="G147" s="340" t="s">
        <v>953</v>
      </c>
      <c r="H147" s="340"/>
      <c r="I147" s="340"/>
    </row>
    <row r="148" spans="1:9">
      <c r="A148" s="340" t="s">
        <v>315</v>
      </c>
      <c r="B148" s="340">
        <v>180226</v>
      </c>
      <c r="C148" s="340"/>
      <c r="D148" s="340" t="s">
        <v>954</v>
      </c>
      <c r="E148" s="340" t="s">
        <v>952</v>
      </c>
      <c r="F148" s="5">
        <v>2605114358</v>
      </c>
      <c r="G148" s="340" t="s">
        <v>953</v>
      </c>
      <c r="H148" s="340"/>
      <c r="I148" s="340"/>
    </row>
    <row r="149" spans="1:9" s="369" customFormat="1">
      <c r="A149" s="344" t="s">
        <v>315</v>
      </c>
      <c r="B149" s="344">
        <v>180226</v>
      </c>
      <c r="C149" s="344"/>
      <c r="D149" s="344" t="s">
        <v>951</v>
      </c>
      <c r="E149" s="344" t="s">
        <v>879</v>
      </c>
      <c r="F149" s="5" t="s">
        <v>1009</v>
      </c>
      <c r="G149" s="344" t="s">
        <v>953</v>
      </c>
      <c r="H149" s="344"/>
      <c r="I149" s="344"/>
    </row>
    <row r="150" spans="1:9">
      <c r="A150" s="340" t="s">
        <v>321</v>
      </c>
      <c r="B150" s="340">
        <v>180228</v>
      </c>
      <c r="C150" s="340"/>
      <c r="D150" s="340" t="s">
        <v>951</v>
      </c>
      <c r="E150" s="340" t="s">
        <v>952</v>
      </c>
      <c r="F150" s="341">
        <v>2605113989</v>
      </c>
      <c r="G150" s="340" t="s">
        <v>953</v>
      </c>
      <c r="H150" s="340"/>
      <c r="I150" s="340"/>
    </row>
    <row r="151" spans="1:9">
      <c r="A151" s="340" t="s">
        <v>321</v>
      </c>
      <c r="B151" s="340">
        <v>180228</v>
      </c>
      <c r="C151" s="340"/>
      <c r="D151" s="340" t="s">
        <v>954</v>
      </c>
      <c r="E151" s="340" t="s">
        <v>952</v>
      </c>
      <c r="F151" s="5">
        <v>2605114359</v>
      </c>
      <c r="G151" s="340" t="s">
        <v>953</v>
      </c>
      <c r="H151" s="340"/>
      <c r="I151" s="340"/>
    </row>
    <row r="152" spans="1:9" s="369" customFormat="1">
      <c r="A152" s="344" t="s">
        <v>321</v>
      </c>
      <c r="B152" s="344">
        <v>180228</v>
      </c>
      <c r="C152" s="344"/>
      <c r="D152" s="344" t="s">
        <v>951</v>
      </c>
      <c r="E152" s="344" t="s">
        <v>879</v>
      </c>
      <c r="F152" s="5" t="s">
        <v>1010</v>
      </c>
      <c r="G152" s="344" t="s">
        <v>953</v>
      </c>
      <c r="H152" s="344"/>
      <c r="I152" s="344"/>
    </row>
    <row r="153" spans="1:9">
      <c r="A153" s="340" t="s">
        <v>327</v>
      </c>
      <c r="B153" s="340">
        <v>180230</v>
      </c>
      <c r="C153" s="340"/>
      <c r="D153" s="340" t="s">
        <v>951</v>
      </c>
      <c r="E153" s="340" t="s">
        <v>952</v>
      </c>
      <c r="F153" s="341">
        <v>2605114628</v>
      </c>
      <c r="G153" s="340" t="s">
        <v>953</v>
      </c>
      <c r="H153" s="340"/>
      <c r="I153" s="340"/>
    </row>
    <row r="154" spans="1:9">
      <c r="A154" s="340" t="s">
        <v>327</v>
      </c>
      <c r="B154" s="340">
        <v>180230</v>
      </c>
      <c r="C154" s="340"/>
      <c r="D154" s="340" t="s">
        <v>954</v>
      </c>
      <c r="E154" s="340" t="s">
        <v>952</v>
      </c>
      <c r="F154" s="360">
        <v>2605117796</v>
      </c>
      <c r="G154" s="340" t="s">
        <v>953</v>
      </c>
      <c r="H154" s="340"/>
      <c r="I154" s="340"/>
    </row>
    <row r="155" spans="1:9" s="369" customFormat="1">
      <c r="A155" s="344" t="s">
        <v>327</v>
      </c>
      <c r="B155" s="344">
        <v>180230</v>
      </c>
      <c r="C155" s="382">
        <v>46088</v>
      </c>
      <c r="D155" s="344" t="s">
        <v>951</v>
      </c>
      <c r="E155" s="344" t="s">
        <v>879</v>
      </c>
      <c r="F155" s="5" t="s">
        <v>1011</v>
      </c>
      <c r="G155" s="344" t="s">
        <v>953</v>
      </c>
      <c r="H155" s="344"/>
      <c r="I155" s="344"/>
    </row>
    <row r="156" spans="1:9">
      <c r="A156" s="340" t="s">
        <v>334</v>
      </c>
      <c r="B156" s="340">
        <v>180242</v>
      </c>
      <c r="C156" s="340"/>
      <c r="D156" s="340" t="s">
        <v>951</v>
      </c>
      <c r="E156" s="340" t="s">
        <v>952</v>
      </c>
      <c r="F156" s="341">
        <v>2605111955</v>
      </c>
      <c r="G156" s="340" t="s">
        <v>953</v>
      </c>
      <c r="H156" s="340"/>
      <c r="I156" s="340"/>
    </row>
    <row r="157" spans="1:9">
      <c r="A157" s="340" t="s">
        <v>334</v>
      </c>
      <c r="B157" s="340">
        <v>180242</v>
      </c>
      <c r="C157" s="340"/>
      <c r="D157" s="340" t="s">
        <v>954</v>
      </c>
      <c r="E157" s="340" t="s">
        <v>952</v>
      </c>
      <c r="F157" s="5">
        <v>2605112639</v>
      </c>
      <c r="G157" s="340" t="s">
        <v>953</v>
      </c>
      <c r="H157" s="340"/>
      <c r="I157" s="340"/>
    </row>
    <row r="158" spans="1:9" s="369" customFormat="1">
      <c r="A158" s="344" t="s">
        <v>334</v>
      </c>
      <c r="B158" s="344">
        <v>180242</v>
      </c>
      <c r="C158" s="344"/>
      <c r="D158" s="344" t="s">
        <v>951</v>
      </c>
      <c r="E158" s="344" t="s">
        <v>879</v>
      </c>
      <c r="F158" s="5" t="s">
        <v>1012</v>
      </c>
      <c r="G158" s="344" t="s">
        <v>953</v>
      </c>
      <c r="H158" s="344"/>
      <c r="I158" s="344"/>
    </row>
    <row r="159" spans="1:9">
      <c r="A159" s="340" t="s">
        <v>342</v>
      </c>
      <c r="B159" s="340">
        <v>180249</v>
      </c>
      <c r="C159" s="340"/>
      <c r="D159" s="340" t="s">
        <v>951</v>
      </c>
      <c r="E159" s="340" t="s">
        <v>952</v>
      </c>
      <c r="F159" s="341">
        <v>2605111677</v>
      </c>
      <c r="G159" s="340" t="s">
        <v>953</v>
      </c>
      <c r="H159" s="340"/>
      <c r="I159" s="340"/>
    </row>
    <row r="160" spans="1:9">
      <c r="A160" s="340" t="s">
        <v>342</v>
      </c>
      <c r="B160" s="340">
        <v>180249</v>
      </c>
      <c r="C160" s="340"/>
      <c r="D160" s="340" t="s">
        <v>954</v>
      </c>
      <c r="E160" s="340" t="s">
        <v>952</v>
      </c>
      <c r="F160" s="5">
        <v>2605112425</v>
      </c>
      <c r="G160" s="340" t="s">
        <v>953</v>
      </c>
      <c r="H160" s="340"/>
      <c r="I160" s="340"/>
    </row>
    <row r="161" spans="1:9" s="369" customFormat="1">
      <c r="A161" s="344" t="s">
        <v>342</v>
      </c>
      <c r="B161" s="344">
        <v>180249</v>
      </c>
      <c r="C161" s="344"/>
      <c r="D161" s="344" t="s">
        <v>951</v>
      </c>
      <c r="E161" s="344" t="s">
        <v>879</v>
      </c>
      <c r="F161" s="5" t="s">
        <v>1013</v>
      </c>
      <c r="G161" s="344" t="s">
        <v>953</v>
      </c>
      <c r="H161" s="344"/>
      <c r="I161" s="344"/>
    </row>
    <row r="162" spans="1:9">
      <c r="A162" s="340" t="s">
        <v>348</v>
      </c>
      <c r="B162" s="340">
        <v>180257</v>
      </c>
      <c r="C162" s="340"/>
      <c r="D162" s="340" t="s">
        <v>951</v>
      </c>
      <c r="E162" s="340" t="s">
        <v>952</v>
      </c>
      <c r="F162" s="341">
        <v>2605113022</v>
      </c>
      <c r="G162" s="340" t="s">
        <v>953</v>
      </c>
      <c r="H162" s="340"/>
      <c r="I162" s="340"/>
    </row>
    <row r="163" spans="1:9">
      <c r="A163" s="340" t="s">
        <v>348</v>
      </c>
      <c r="B163" s="340">
        <v>180257</v>
      </c>
      <c r="C163" s="340"/>
      <c r="D163" s="340" t="s">
        <v>954</v>
      </c>
      <c r="E163" s="340" t="s">
        <v>952</v>
      </c>
      <c r="F163" s="5">
        <v>2605114351</v>
      </c>
      <c r="G163" s="340" t="s">
        <v>953</v>
      </c>
      <c r="H163" s="340"/>
      <c r="I163" s="340"/>
    </row>
    <row r="164" spans="1:9" s="369" customFormat="1">
      <c r="A164" s="344" t="s">
        <v>348</v>
      </c>
      <c r="B164" s="344">
        <v>180257</v>
      </c>
      <c r="C164" s="344"/>
      <c r="D164" s="344" t="s">
        <v>951</v>
      </c>
      <c r="E164" s="344" t="s">
        <v>879</v>
      </c>
      <c r="F164" s="5" t="s">
        <v>1014</v>
      </c>
      <c r="G164" s="344" t="s">
        <v>953</v>
      </c>
      <c r="H164" s="344"/>
      <c r="I164" s="344"/>
    </row>
    <row r="165" spans="1:9">
      <c r="A165" s="340" t="s">
        <v>356</v>
      </c>
      <c r="B165" s="340">
        <v>180261</v>
      </c>
      <c r="C165" s="340"/>
      <c r="D165" s="340" t="s">
        <v>951</v>
      </c>
      <c r="E165" s="340" t="s">
        <v>952</v>
      </c>
      <c r="F165" s="341">
        <v>2605114146</v>
      </c>
      <c r="G165" s="340" t="s">
        <v>953</v>
      </c>
      <c r="H165" s="340"/>
      <c r="I165" s="340"/>
    </row>
    <row r="166" spans="1:9">
      <c r="A166" s="340" t="s">
        <v>356</v>
      </c>
      <c r="B166" s="340">
        <v>180261</v>
      </c>
      <c r="C166" s="340"/>
      <c r="D166" s="340" t="s">
        <v>954</v>
      </c>
      <c r="E166" s="340" t="s">
        <v>952</v>
      </c>
      <c r="F166" s="5">
        <v>2605117769</v>
      </c>
      <c r="G166" s="340" t="s">
        <v>953</v>
      </c>
      <c r="H166" s="340"/>
      <c r="I166" s="340"/>
    </row>
    <row r="167" spans="1:9" s="369" customFormat="1">
      <c r="A167" s="344" t="s">
        <v>356</v>
      </c>
      <c r="B167" s="344">
        <v>180261</v>
      </c>
      <c r="C167" s="344"/>
      <c r="D167" s="344" t="s">
        <v>951</v>
      </c>
      <c r="E167" s="344" t="s">
        <v>879</v>
      </c>
      <c r="F167" s="5" t="s">
        <v>1015</v>
      </c>
      <c r="G167" s="344" t="s">
        <v>953</v>
      </c>
      <c r="H167" s="344"/>
      <c r="I167" s="344"/>
    </row>
    <row r="168" spans="1:9">
      <c r="A168" s="340" t="s">
        <v>361</v>
      </c>
      <c r="B168" s="340">
        <v>180263</v>
      </c>
      <c r="C168" s="340"/>
      <c r="D168" s="340" t="s">
        <v>951</v>
      </c>
      <c r="E168" s="340" t="s">
        <v>952</v>
      </c>
      <c r="F168" s="341">
        <v>2605112925</v>
      </c>
      <c r="G168" s="340" t="s">
        <v>953</v>
      </c>
      <c r="H168" s="340"/>
      <c r="I168" s="340"/>
    </row>
    <row r="169" spans="1:9">
      <c r="A169" s="340" t="s">
        <v>361</v>
      </c>
      <c r="B169" s="340">
        <v>180263</v>
      </c>
      <c r="C169" s="340"/>
      <c r="D169" s="340" t="s">
        <v>954</v>
      </c>
      <c r="E169" s="340" t="s">
        <v>952</v>
      </c>
      <c r="F169" s="5">
        <v>2605114353</v>
      </c>
      <c r="G169" s="340" t="s">
        <v>953</v>
      </c>
      <c r="H169" s="340"/>
      <c r="I169" s="340"/>
    </row>
    <row r="170" spans="1:9" s="369" customFormat="1">
      <c r="A170" s="344" t="s">
        <v>361</v>
      </c>
      <c r="B170" s="344">
        <v>180263</v>
      </c>
      <c r="C170" s="344"/>
      <c r="D170" s="344" t="s">
        <v>951</v>
      </c>
      <c r="E170" s="344" t="s">
        <v>879</v>
      </c>
      <c r="F170" s="5" t="s">
        <v>1016</v>
      </c>
      <c r="G170" s="344" t="s">
        <v>953</v>
      </c>
      <c r="H170" s="344"/>
      <c r="I170" s="344"/>
    </row>
    <row r="171" spans="1:9">
      <c r="A171" s="340" t="s">
        <v>367</v>
      </c>
      <c r="B171" s="340">
        <v>180265</v>
      </c>
      <c r="C171" s="340"/>
      <c r="D171" s="340" t="s">
        <v>951</v>
      </c>
      <c r="E171" s="340" t="s">
        <v>952</v>
      </c>
      <c r="F171" s="341">
        <v>2605115963</v>
      </c>
      <c r="G171" s="340" t="s">
        <v>953</v>
      </c>
      <c r="H171" s="340"/>
      <c r="I171" s="340"/>
    </row>
    <row r="172" spans="1:9">
      <c r="A172" s="340" t="s">
        <v>367</v>
      </c>
      <c r="B172" s="340">
        <v>180265</v>
      </c>
      <c r="C172" s="340"/>
      <c r="D172" s="340" t="s">
        <v>954</v>
      </c>
      <c r="E172" s="340" t="s">
        <v>952</v>
      </c>
      <c r="F172" s="358">
        <v>2605117795</v>
      </c>
      <c r="G172" s="340" t="s">
        <v>953</v>
      </c>
      <c r="H172" s="340"/>
      <c r="I172" s="340"/>
    </row>
    <row r="173" spans="1:9" s="369" customFormat="1">
      <c r="A173" s="344" t="s">
        <v>367</v>
      </c>
      <c r="B173" s="344">
        <v>180265</v>
      </c>
      <c r="C173" s="344"/>
      <c r="D173" s="344" t="s">
        <v>951</v>
      </c>
      <c r="E173" s="344" t="s">
        <v>879</v>
      </c>
      <c r="F173" s="5" t="s">
        <v>1017</v>
      </c>
      <c r="G173" s="344" t="s">
        <v>953</v>
      </c>
      <c r="H173" s="344"/>
      <c r="I173" s="344"/>
    </row>
    <row r="174" spans="1:9">
      <c r="A174" s="340" t="s">
        <v>373</v>
      </c>
      <c r="B174" s="340">
        <v>180284</v>
      </c>
      <c r="C174" s="340"/>
      <c r="D174" s="340" t="s">
        <v>951</v>
      </c>
      <c r="E174" s="340" t="s">
        <v>952</v>
      </c>
      <c r="F174" s="341">
        <v>2605116837</v>
      </c>
      <c r="G174" s="340" t="s">
        <v>953</v>
      </c>
      <c r="H174" s="340"/>
      <c r="I174" s="340"/>
    </row>
    <row r="175" spans="1:9">
      <c r="A175" s="340" t="s">
        <v>373</v>
      </c>
      <c r="B175" s="340">
        <v>180284</v>
      </c>
      <c r="C175" s="340"/>
      <c r="D175" s="340" t="s">
        <v>954</v>
      </c>
      <c r="E175" s="340" t="s">
        <v>952</v>
      </c>
      <c r="F175" s="5">
        <v>2605117897</v>
      </c>
      <c r="G175" s="340" t="s">
        <v>953</v>
      </c>
      <c r="H175" s="340"/>
      <c r="I175" s="340"/>
    </row>
    <row r="176" spans="1:9" s="369" customFormat="1">
      <c r="A176" s="344" t="s">
        <v>373</v>
      </c>
      <c r="B176" s="344">
        <v>180284</v>
      </c>
      <c r="C176" s="344"/>
      <c r="D176" s="344" t="s">
        <v>951</v>
      </c>
      <c r="E176" s="344" t="s">
        <v>879</v>
      </c>
      <c r="F176" s="5" t="s">
        <v>1018</v>
      </c>
      <c r="G176" s="344" t="s">
        <v>953</v>
      </c>
      <c r="H176" s="344"/>
      <c r="I176" s="344"/>
    </row>
    <row r="177" spans="1:9">
      <c r="A177" s="340" t="s">
        <v>378</v>
      </c>
      <c r="B177" s="340">
        <v>180286</v>
      </c>
      <c r="C177" s="340"/>
      <c r="D177" s="340" t="s">
        <v>951</v>
      </c>
      <c r="E177" s="340" t="s">
        <v>952</v>
      </c>
      <c r="F177" s="341">
        <v>2605115511</v>
      </c>
      <c r="G177" s="340" t="s">
        <v>953</v>
      </c>
      <c r="H177" s="340"/>
      <c r="I177" s="340"/>
    </row>
    <row r="178" spans="1:9">
      <c r="A178" s="340" t="s">
        <v>378</v>
      </c>
      <c r="B178" s="340">
        <v>180286</v>
      </c>
      <c r="C178" s="340"/>
      <c r="D178" s="340" t="s">
        <v>954</v>
      </c>
      <c r="E178" s="340" t="s">
        <v>952</v>
      </c>
      <c r="F178" s="5">
        <v>2605123254</v>
      </c>
      <c r="G178" s="340" t="s">
        <v>953</v>
      </c>
      <c r="H178" s="340"/>
      <c r="I178" s="340"/>
    </row>
    <row r="179" spans="1:9" s="369" customFormat="1">
      <c r="A179" s="344" t="s">
        <v>378</v>
      </c>
      <c r="B179" s="344">
        <v>180286</v>
      </c>
      <c r="C179" s="344"/>
      <c r="D179" s="344" t="s">
        <v>951</v>
      </c>
      <c r="E179" s="344" t="s">
        <v>879</v>
      </c>
      <c r="F179" s="5" t="s">
        <v>1019</v>
      </c>
      <c r="G179" s="344" t="s">
        <v>953</v>
      </c>
      <c r="H179" s="344"/>
      <c r="I179" s="344"/>
    </row>
    <row r="180" spans="1:9">
      <c r="A180" s="340" t="s">
        <v>384</v>
      </c>
      <c r="B180" s="340">
        <v>180288</v>
      </c>
      <c r="C180" s="340"/>
      <c r="D180" s="340" t="s">
        <v>951</v>
      </c>
      <c r="E180" s="340" t="s">
        <v>952</v>
      </c>
      <c r="F180" s="341">
        <v>2605117066</v>
      </c>
      <c r="G180" s="340" t="s">
        <v>953</v>
      </c>
      <c r="H180" s="340"/>
      <c r="I180" s="340"/>
    </row>
    <row r="181" spans="1:9">
      <c r="A181" s="340" t="s">
        <v>384</v>
      </c>
      <c r="B181" s="340">
        <v>180288</v>
      </c>
      <c r="C181" s="340"/>
      <c r="D181" s="340" t="s">
        <v>954</v>
      </c>
      <c r="E181" s="340" t="s">
        <v>952</v>
      </c>
      <c r="F181" s="345">
        <v>2605117915</v>
      </c>
      <c r="G181" s="340" t="s">
        <v>953</v>
      </c>
      <c r="H181" s="340"/>
      <c r="I181" s="340"/>
    </row>
    <row r="182" spans="1:9" s="369" customFormat="1">
      <c r="A182" s="344" t="s">
        <v>384</v>
      </c>
      <c r="B182" s="344">
        <v>180288</v>
      </c>
      <c r="C182" s="344"/>
      <c r="D182" s="344" t="s">
        <v>951</v>
      </c>
      <c r="E182" s="344" t="s">
        <v>879</v>
      </c>
      <c r="F182" s="5" t="s">
        <v>1020</v>
      </c>
      <c r="G182" s="344" t="s">
        <v>953</v>
      </c>
      <c r="H182" s="344"/>
      <c r="I182" s="344"/>
    </row>
    <row r="183" spans="1:9">
      <c r="A183" s="340" t="s">
        <v>391</v>
      </c>
      <c r="B183" s="340">
        <v>180289</v>
      </c>
      <c r="C183" s="340"/>
      <c r="D183" s="340" t="s">
        <v>951</v>
      </c>
      <c r="E183" s="340" t="s">
        <v>952</v>
      </c>
      <c r="F183" s="341">
        <v>2605118034</v>
      </c>
      <c r="G183" s="340" t="s">
        <v>953</v>
      </c>
      <c r="H183" s="340"/>
      <c r="I183" s="340"/>
    </row>
    <row r="184" spans="1:9">
      <c r="A184" s="340" t="s">
        <v>391</v>
      </c>
      <c r="B184" s="340">
        <v>180289</v>
      </c>
      <c r="C184" s="340"/>
      <c r="D184" s="340" t="s">
        <v>954</v>
      </c>
      <c r="E184" s="340" t="s">
        <v>952</v>
      </c>
      <c r="F184" s="345">
        <v>2605120449</v>
      </c>
      <c r="G184" s="340" t="s">
        <v>953</v>
      </c>
      <c r="H184" s="340"/>
      <c r="I184" s="340"/>
    </row>
    <row r="185" spans="1:9" s="369" customFormat="1">
      <c r="A185" s="344" t="s">
        <v>391</v>
      </c>
      <c r="B185" s="344">
        <v>180289</v>
      </c>
      <c r="C185" s="344"/>
      <c r="D185" s="344" t="s">
        <v>951</v>
      </c>
      <c r="E185" s="344" t="s">
        <v>879</v>
      </c>
      <c r="F185" s="5" t="s">
        <v>1021</v>
      </c>
      <c r="G185" s="344" t="s">
        <v>953</v>
      </c>
      <c r="H185" s="344"/>
      <c r="I185" s="344"/>
    </row>
    <row r="186" spans="1:9">
      <c r="A186" s="340" t="s">
        <v>400</v>
      </c>
      <c r="B186" s="340">
        <v>180290</v>
      </c>
      <c r="C186" s="340"/>
      <c r="D186" s="340" t="s">
        <v>951</v>
      </c>
      <c r="E186" s="340" t="s">
        <v>952</v>
      </c>
      <c r="F186" s="341">
        <v>2605115713</v>
      </c>
      <c r="G186" s="340" t="s">
        <v>953</v>
      </c>
      <c r="H186" s="340"/>
      <c r="I186" s="340"/>
    </row>
    <row r="187" spans="1:9">
      <c r="A187" s="340" t="s">
        <v>400</v>
      </c>
      <c r="B187" s="340">
        <v>180290</v>
      </c>
      <c r="C187" s="340"/>
      <c r="D187" s="340" t="s">
        <v>954</v>
      </c>
      <c r="E187" s="340" t="s">
        <v>952</v>
      </c>
      <c r="F187" s="345">
        <v>2605117940</v>
      </c>
      <c r="G187" s="340" t="s">
        <v>953</v>
      </c>
      <c r="H187" s="340"/>
      <c r="I187" s="340"/>
    </row>
    <row r="188" spans="1:9" s="369" customFormat="1">
      <c r="A188" s="344" t="s">
        <v>400</v>
      </c>
      <c r="B188" s="344">
        <v>180290</v>
      </c>
      <c r="C188" s="344"/>
      <c r="D188" s="344" t="s">
        <v>951</v>
      </c>
      <c r="E188" s="344" t="s">
        <v>879</v>
      </c>
      <c r="F188" s="5" t="s">
        <v>1022</v>
      </c>
      <c r="G188" s="344" t="s">
        <v>953</v>
      </c>
      <c r="H188" s="344"/>
      <c r="I188" s="344"/>
    </row>
    <row r="189" spans="1:9">
      <c r="A189" s="340" t="s">
        <v>407</v>
      </c>
      <c r="B189" s="340">
        <v>180291</v>
      </c>
      <c r="C189" s="340"/>
      <c r="D189" s="340" t="s">
        <v>951</v>
      </c>
      <c r="E189" s="340" t="s">
        <v>952</v>
      </c>
      <c r="F189" s="341">
        <v>2605117336</v>
      </c>
      <c r="G189" s="340" t="s">
        <v>953</v>
      </c>
      <c r="H189" s="340"/>
      <c r="I189" s="340"/>
    </row>
    <row r="190" spans="1:9">
      <c r="A190" s="340" t="s">
        <v>407</v>
      </c>
      <c r="B190" s="340">
        <v>180291</v>
      </c>
      <c r="C190" s="340"/>
      <c r="D190" s="340" t="s">
        <v>954</v>
      </c>
      <c r="E190" s="340" t="s">
        <v>952</v>
      </c>
      <c r="F190" s="358">
        <v>2605120518</v>
      </c>
      <c r="G190" s="340" t="s">
        <v>953</v>
      </c>
      <c r="H190" s="340"/>
      <c r="I190" s="340"/>
    </row>
    <row r="191" spans="1:9" s="369" customFormat="1">
      <c r="A191" s="344" t="s">
        <v>407</v>
      </c>
      <c r="B191" s="344">
        <v>180291</v>
      </c>
      <c r="C191" s="344"/>
      <c r="D191" s="344" t="s">
        <v>951</v>
      </c>
      <c r="E191" s="344" t="s">
        <v>879</v>
      </c>
      <c r="F191" s="5" t="s">
        <v>1023</v>
      </c>
      <c r="G191" s="344" t="s">
        <v>953</v>
      </c>
      <c r="H191" s="344"/>
      <c r="I191" s="344"/>
    </row>
    <row r="192" spans="1:9">
      <c r="A192" s="340" t="s">
        <v>413</v>
      </c>
      <c r="B192" s="340">
        <v>180292</v>
      </c>
      <c r="C192" s="340"/>
      <c r="D192" s="340" t="s">
        <v>951</v>
      </c>
      <c r="E192" s="340" t="s">
        <v>952</v>
      </c>
      <c r="F192" s="341">
        <v>2605116674</v>
      </c>
      <c r="G192" s="340" t="s">
        <v>953</v>
      </c>
      <c r="H192" s="340"/>
      <c r="I192" s="340"/>
    </row>
    <row r="193" spans="1:9">
      <c r="A193" s="340" t="s">
        <v>413</v>
      </c>
      <c r="B193" s="340">
        <v>180292</v>
      </c>
      <c r="C193" s="340"/>
      <c r="D193" s="340" t="s">
        <v>954</v>
      </c>
      <c r="E193" s="340" t="s">
        <v>952</v>
      </c>
      <c r="F193" s="345">
        <v>2605117725</v>
      </c>
      <c r="G193" s="340" t="s">
        <v>953</v>
      </c>
      <c r="H193" s="340"/>
      <c r="I193" s="340"/>
    </row>
    <row r="194" spans="1:9" s="369" customFormat="1">
      <c r="A194" s="344" t="s">
        <v>413</v>
      </c>
      <c r="B194" s="344">
        <v>180292</v>
      </c>
      <c r="C194" s="344"/>
      <c r="D194" s="344" t="s">
        <v>951</v>
      </c>
      <c r="E194" s="344" t="s">
        <v>879</v>
      </c>
      <c r="F194" s="5" t="s">
        <v>1024</v>
      </c>
      <c r="G194" s="344" t="s">
        <v>953</v>
      </c>
      <c r="H194" s="344"/>
      <c r="I194" s="344"/>
    </row>
    <row r="195" spans="1:9">
      <c r="A195" s="340" t="s">
        <v>418</v>
      </c>
      <c r="B195" s="340">
        <v>180293</v>
      </c>
      <c r="C195" s="340"/>
      <c r="D195" s="340" t="s">
        <v>951</v>
      </c>
      <c r="E195" s="340" t="s">
        <v>952</v>
      </c>
      <c r="F195" s="341">
        <v>2605116951</v>
      </c>
      <c r="G195" s="340" t="s">
        <v>953</v>
      </c>
      <c r="H195" s="340"/>
      <c r="I195" s="340"/>
    </row>
    <row r="196" spans="1:9">
      <c r="A196" s="340" t="s">
        <v>418</v>
      </c>
      <c r="B196" s="340">
        <v>180293</v>
      </c>
      <c r="C196" s="340"/>
      <c r="D196" s="340" t="s">
        <v>954</v>
      </c>
      <c r="E196" s="340" t="s">
        <v>952</v>
      </c>
      <c r="F196" s="345">
        <v>2605117885</v>
      </c>
      <c r="G196" s="340" t="s">
        <v>953</v>
      </c>
      <c r="H196" s="340"/>
      <c r="I196" s="340"/>
    </row>
    <row r="197" spans="1:9" s="369" customFormat="1">
      <c r="A197" s="344" t="s">
        <v>418</v>
      </c>
      <c r="B197" s="344">
        <v>180293</v>
      </c>
      <c r="C197" s="344"/>
      <c r="D197" s="344" t="s">
        <v>951</v>
      </c>
      <c r="E197" s="344" t="s">
        <v>879</v>
      </c>
      <c r="F197" s="5" t="s">
        <v>1025</v>
      </c>
      <c r="G197" s="344" t="s">
        <v>953</v>
      </c>
      <c r="H197" s="344"/>
      <c r="I197" s="344"/>
    </row>
    <row r="198" spans="1:9">
      <c r="A198" s="340" t="s">
        <v>424</v>
      </c>
      <c r="B198" s="340">
        <v>180311</v>
      </c>
      <c r="C198" s="340"/>
      <c r="D198" s="340" t="s">
        <v>951</v>
      </c>
      <c r="E198" s="340" t="s">
        <v>952</v>
      </c>
      <c r="F198" s="341">
        <v>2605119647</v>
      </c>
      <c r="G198" s="340" t="s">
        <v>953</v>
      </c>
      <c r="H198" s="340"/>
      <c r="I198" s="340"/>
    </row>
    <row r="199" spans="1:9">
      <c r="A199" s="340" t="s">
        <v>424</v>
      </c>
      <c r="B199" s="340">
        <v>180311</v>
      </c>
      <c r="C199" s="340"/>
      <c r="D199" s="340" t="s">
        <v>954</v>
      </c>
      <c r="E199" s="340" t="s">
        <v>952</v>
      </c>
      <c r="F199" s="358">
        <v>2605120411</v>
      </c>
      <c r="G199" s="340" t="s">
        <v>953</v>
      </c>
      <c r="H199" s="340"/>
      <c r="I199" s="340"/>
    </row>
    <row r="200" spans="1:9">
      <c r="A200" s="340" t="s">
        <v>424</v>
      </c>
      <c r="B200" s="340">
        <v>180311</v>
      </c>
      <c r="C200" s="340"/>
      <c r="D200" s="340" t="s">
        <v>951</v>
      </c>
      <c r="E200" s="340" t="s">
        <v>879</v>
      </c>
      <c r="F200" s="370" t="s">
        <v>1026</v>
      </c>
      <c r="G200" s="340" t="s">
        <v>953</v>
      </c>
      <c r="H200" s="340"/>
      <c r="I200" s="340"/>
    </row>
    <row r="201" spans="1:9" s="364" customFormat="1">
      <c r="A201" s="362" t="s">
        <v>429</v>
      </c>
      <c r="B201" s="362">
        <v>180312</v>
      </c>
      <c r="C201" s="362"/>
      <c r="D201" s="362" t="s">
        <v>951</v>
      </c>
      <c r="E201" s="362" t="s">
        <v>952</v>
      </c>
      <c r="F201" s="5">
        <v>2605118330</v>
      </c>
      <c r="G201" s="362" t="s">
        <v>953</v>
      </c>
      <c r="H201" s="362"/>
      <c r="I201" s="362"/>
    </row>
    <row r="202" spans="1:9">
      <c r="A202" s="340" t="s">
        <v>429</v>
      </c>
      <c r="B202" s="340">
        <v>180312</v>
      </c>
      <c r="C202" s="340"/>
      <c r="D202" s="340" t="s">
        <v>954</v>
      </c>
      <c r="E202" s="340" t="s">
        <v>952</v>
      </c>
      <c r="F202" s="345">
        <v>2605120465</v>
      </c>
      <c r="G202" s="340" t="s">
        <v>953</v>
      </c>
      <c r="H202" s="340"/>
      <c r="I202" s="340"/>
    </row>
    <row r="203" spans="1:9" s="369" customFormat="1">
      <c r="A203" s="344" t="s">
        <v>429</v>
      </c>
      <c r="B203" s="344">
        <v>180312</v>
      </c>
      <c r="C203" s="344"/>
      <c r="D203" s="344" t="s">
        <v>951</v>
      </c>
      <c r="E203" s="344" t="s">
        <v>879</v>
      </c>
      <c r="F203" s="5" t="s">
        <v>1027</v>
      </c>
      <c r="G203" s="344" t="s">
        <v>953</v>
      </c>
      <c r="H203" s="344"/>
      <c r="I203" s="344"/>
    </row>
    <row r="204" spans="1:9">
      <c r="A204" s="340" t="s">
        <v>435</v>
      </c>
      <c r="B204" s="340">
        <v>180313</v>
      </c>
      <c r="C204" s="340"/>
      <c r="D204" s="340" t="s">
        <v>951</v>
      </c>
      <c r="E204" s="340" t="s">
        <v>952</v>
      </c>
      <c r="F204" s="341">
        <v>2605117369</v>
      </c>
      <c r="G204" s="340" t="s">
        <v>953</v>
      </c>
      <c r="H204" s="340"/>
      <c r="I204" s="340"/>
    </row>
    <row r="205" spans="1:9">
      <c r="A205" s="340" t="s">
        <v>435</v>
      </c>
      <c r="B205" s="340">
        <v>180313</v>
      </c>
      <c r="C205" s="340"/>
      <c r="D205" s="340" t="s">
        <v>954</v>
      </c>
      <c r="E205" s="340" t="s">
        <v>952</v>
      </c>
      <c r="F205" s="358">
        <v>2605122815</v>
      </c>
      <c r="G205" s="340" t="s">
        <v>953</v>
      </c>
      <c r="H205" s="340"/>
      <c r="I205" s="340"/>
    </row>
    <row r="206" spans="1:9" s="369" customFormat="1">
      <c r="A206" s="344" t="s">
        <v>435</v>
      </c>
      <c r="B206" s="344">
        <v>180313</v>
      </c>
      <c r="C206" s="344"/>
      <c r="D206" s="344" t="s">
        <v>951</v>
      </c>
      <c r="E206" s="344" t="s">
        <v>879</v>
      </c>
      <c r="F206" s="5" t="s">
        <v>1028</v>
      </c>
      <c r="G206" s="344" t="s">
        <v>953</v>
      </c>
      <c r="H206" s="344"/>
      <c r="I206" s="344"/>
    </row>
    <row r="207" spans="1:9">
      <c r="A207" s="340" t="s">
        <v>441</v>
      </c>
      <c r="B207" s="340">
        <v>180314</v>
      </c>
      <c r="C207" s="340"/>
      <c r="D207" s="340" t="s">
        <v>951</v>
      </c>
      <c r="E207" s="340" t="s">
        <v>952</v>
      </c>
      <c r="F207" s="341">
        <v>2605116934</v>
      </c>
      <c r="G207" s="340" t="s">
        <v>953</v>
      </c>
      <c r="H207" s="340"/>
      <c r="I207" s="340"/>
    </row>
    <row r="208" spans="1:9">
      <c r="A208" s="340" t="s">
        <v>441</v>
      </c>
      <c r="B208" s="340">
        <v>180314</v>
      </c>
      <c r="C208" s="340"/>
      <c r="D208" s="340" t="s">
        <v>954</v>
      </c>
      <c r="E208" s="340" t="s">
        <v>952</v>
      </c>
      <c r="F208" s="5">
        <v>2605125477</v>
      </c>
      <c r="G208" s="340" t="s">
        <v>953</v>
      </c>
      <c r="H208" s="340"/>
      <c r="I208" s="340"/>
    </row>
    <row r="209" spans="1:9" s="369" customFormat="1">
      <c r="A209" s="344" t="s">
        <v>441</v>
      </c>
      <c r="B209" s="344">
        <v>180314</v>
      </c>
      <c r="C209" s="344"/>
      <c r="D209" s="344" t="s">
        <v>951</v>
      </c>
      <c r="E209" s="344" t="s">
        <v>879</v>
      </c>
      <c r="F209" s="5" t="s">
        <v>1029</v>
      </c>
      <c r="G209" s="344" t="s">
        <v>953</v>
      </c>
      <c r="H209" s="344"/>
      <c r="I209" s="344"/>
    </row>
    <row r="210" spans="1:9">
      <c r="A210" s="340" t="s">
        <v>448</v>
      </c>
      <c r="B210" s="340">
        <v>180318</v>
      </c>
      <c r="C210" s="340"/>
      <c r="D210" s="340" t="s">
        <v>951</v>
      </c>
      <c r="E210" s="340" t="s">
        <v>952</v>
      </c>
      <c r="F210" s="341">
        <v>2605117104</v>
      </c>
      <c r="G210" s="340" t="s">
        <v>953</v>
      </c>
      <c r="H210" s="340"/>
      <c r="I210" s="340"/>
    </row>
    <row r="211" spans="1:9">
      <c r="A211" s="340" t="s">
        <v>448</v>
      </c>
      <c r="B211" s="340">
        <v>180318</v>
      </c>
      <c r="C211" s="340"/>
      <c r="D211" s="340" t="s">
        <v>954</v>
      </c>
      <c r="E211" s="340" t="s">
        <v>952</v>
      </c>
      <c r="F211" s="345">
        <v>2605118333</v>
      </c>
      <c r="G211" s="340" t="s">
        <v>953</v>
      </c>
      <c r="H211" s="340"/>
      <c r="I211" s="340"/>
    </row>
    <row r="212" spans="1:9" s="369" customFormat="1">
      <c r="A212" s="344" t="s">
        <v>448</v>
      </c>
      <c r="B212" s="344">
        <v>180318</v>
      </c>
      <c r="C212" s="344"/>
      <c r="D212" s="344" t="s">
        <v>951</v>
      </c>
      <c r="E212" s="344" t="s">
        <v>879</v>
      </c>
      <c r="F212" s="5" t="s">
        <v>1030</v>
      </c>
      <c r="G212" s="344" t="s">
        <v>953</v>
      </c>
      <c r="H212" s="344"/>
      <c r="I212" s="344"/>
    </row>
    <row r="213" spans="1:9">
      <c r="A213" s="340" t="s">
        <v>454</v>
      </c>
      <c r="B213" s="340">
        <v>180319</v>
      </c>
      <c r="C213" s="340"/>
      <c r="D213" s="340" t="s">
        <v>951</v>
      </c>
      <c r="E213" s="340" t="s">
        <v>952</v>
      </c>
      <c r="F213" s="341">
        <v>2605119861</v>
      </c>
      <c r="G213" s="340" t="s">
        <v>953</v>
      </c>
      <c r="H213" s="340"/>
      <c r="I213" s="340"/>
    </row>
    <row r="214" spans="1:9">
      <c r="A214" s="340" t="s">
        <v>454</v>
      </c>
      <c r="B214" s="340">
        <v>180319</v>
      </c>
      <c r="C214" s="340"/>
      <c r="D214" s="340" t="s">
        <v>954</v>
      </c>
      <c r="E214" s="340" t="s">
        <v>952</v>
      </c>
      <c r="F214" s="345">
        <v>2605120421</v>
      </c>
      <c r="G214" s="340" t="s">
        <v>953</v>
      </c>
      <c r="H214" s="340"/>
      <c r="I214" s="340"/>
    </row>
    <row r="215" spans="1:9">
      <c r="A215" s="344" t="s">
        <v>454</v>
      </c>
      <c r="B215" s="344">
        <v>180319</v>
      </c>
      <c r="C215" s="344"/>
      <c r="D215" s="344" t="s">
        <v>951</v>
      </c>
      <c r="E215" s="344" t="s">
        <v>879</v>
      </c>
      <c r="F215" s="5" t="s">
        <v>1031</v>
      </c>
      <c r="G215" s="344" t="s">
        <v>953</v>
      </c>
      <c r="H215" s="344"/>
      <c r="I215" s="344"/>
    </row>
    <row r="216" spans="1:9" s="364" customFormat="1">
      <c r="A216" s="340" t="s">
        <v>460</v>
      </c>
      <c r="B216" s="340">
        <v>180320</v>
      </c>
      <c r="C216" s="340"/>
      <c r="D216" s="340" t="s">
        <v>951</v>
      </c>
      <c r="E216" s="340" t="s">
        <v>952</v>
      </c>
      <c r="F216" s="341">
        <v>2605118527</v>
      </c>
      <c r="G216" s="340" t="s">
        <v>953</v>
      </c>
      <c r="H216" s="340"/>
      <c r="I216" s="340"/>
    </row>
    <row r="217" spans="1:9">
      <c r="A217" s="340" t="s">
        <v>460</v>
      </c>
      <c r="B217" s="340">
        <v>180320</v>
      </c>
      <c r="C217" s="340"/>
      <c r="D217" s="340" t="s">
        <v>954</v>
      </c>
      <c r="E217" s="340" t="s">
        <v>952</v>
      </c>
      <c r="F217" s="345">
        <v>2605120479</v>
      </c>
      <c r="G217" s="340" t="s">
        <v>953</v>
      </c>
      <c r="H217" s="340"/>
      <c r="I217" s="340"/>
    </row>
    <row r="218" spans="1:9" s="369" customFormat="1">
      <c r="A218" s="344" t="s">
        <v>460</v>
      </c>
      <c r="B218" s="344">
        <v>180320</v>
      </c>
      <c r="C218" s="344"/>
      <c r="D218" s="344" t="s">
        <v>951</v>
      </c>
      <c r="E218" s="344" t="s">
        <v>879</v>
      </c>
      <c r="F218" s="5" t="s">
        <v>1032</v>
      </c>
      <c r="G218" s="344" t="s">
        <v>953</v>
      </c>
      <c r="H218" s="344"/>
      <c r="I218" s="344"/>
    </row>
    <row r="219" spans="1:9">
      <c r="A219" s="340" t="s">
        <v>466</v>
      </c>
      <c r="B219" s="340">
        <v>180328</v>
      </c>
      <c r="C219" s="340"/>
      <c r="D219" s="340" t="s">
        <v>951</v>
      </c>
      <c r="E219" s="340" t="s">
        <v>952</v>
      </c>
      <c r="F219" s="341">
        <v>2605121781</v>
      </c>
      <c r="G219" s="340" t="s">
        <v>953</v>
      </c>
      <c r="H219" s="340"/>
      <c r="I219" s="340"/>
    </row>
    <row r="220" spans="1:9">
      <c r="A220" s="340" t="s">
        <v>466</v>
      </c>
      <c r="B220" s="340">
        <v>180328</v>
      </c>
      <c r="C220" s="340"/>
      <c r="D220" s="340" t="s">
        <v>954</v>
      </c>
      <c r="E220" s="340" t="s">
        <v>952</v>
      </c>
      <c r="F220" s="5">
        <v>2605125611</v>
      </c>
      <c r="G220" s="340" t="s">
        <v>953</v>
      </c>
      <c r="H220" s="340"/>
      <c r="I220" s="340"/>
    </row>
    <row r="221" spans="1:9" s="369" customFormat="1">
      <c r="A221" s="344" t="s">
        <v>466</v>
      </c>
      <c r="B221" s="344">
        <v>180328</v>
      </c>
      <c r="C221" s="344"/>
      <c r="D221" s="344" t="s">
        <v>951</v>
      </c>
      <c r="E221" s="344" t="s">
        <v>879</v>
      </c>
      <c r="F221" s="5" t="s">
        <v>1033</v>
      </c>
      <c r="G221" s="344" t="s">
        <v>953</v>
      </c>
      <c r="H221" s="344"/>
      <c r="I221" s="344"/>
    </row>
    <row r="222" spans="1:9">
      <c r="A222" s="340" t="s">
        <v>473</v>
      </c>
      <c r="B222" s="340">
        <v>180329</v>
      </c>
      <c r="C222" s="340"/>
      <c r="D222" s="340" t="s">
        <v>951</v>
      </c>
      <c r="E222" s="340" t="s">
        <v>952</v>
      </c>
      <c r="F222" s="341">
        <v>2605118861</v>
      </c>
      <c r="G222" s="340" t="s">
        <v>953</v>
      </c>
      <c r="H222" s="340"/>
      <c r="I222" s="340"/>
    </row>
    <row r="223" spans="1:9">
      <c r="A223" s="340" t="s">
        <v>473</v>
      </c>
      <c r="B223" s="340">
        <v>180329</v>
      </c>
      <c r="C223" s="340"/>
      <c r="D223" s="340" t="s">
        <v>954</v>
      </c>
      <c r="E223" s="340" t="s">
        <v>952</v>
      </c>
      <c r="F223" s="5">
        <v>2605120536</v>
      </c>
      <c r="G223" s="340" t="s">
        <v>953</v>
      </c>
      <c r="H223" s="340"/>
      <c r="I223" s="340"/>
    </row>
    <row r="224" spans="1:9" s="369" customFormat="1">
      <c r="A224" s="344" t="s">
        <v>473</v>
      </c>
      <c r="B224" s="344">
        <v>180329</v>
      </c>
      <c r="C224" s="344"/>
      <c r="D224" s="344" t="s">
        <v>951</v>
      </c>
      <c r="E224" s="344" t="s">
        <v>879</v>
      </c>
      <c r="F224" s="5" t="s">
        <v>1034</v>
      </c>
      <c r="G224" s="344" t="s">
        <v>953</v>
      </c>
      <c r="H224" s="344"/>
      <c r="I224" s="344"/>
    </row>
    <row r="225" spans="1:9">
      <c r="A225" s="340" t="s">
        <v>479</v>
      </c>
      <c r="B225" s="340">
        <v>180331</v>
      </c>
      <c r="C225" s="340"/>
      <c r="D225" s="340" t="s">
        <v>951</v>
      </c>
      <c r="E225" s="340" t="s">
        <v>952</v>
      </c>
      <c r="F225" s="341">
        <v>2605119244</v>
      </c>
      <c r="G225" s="340" t="s">
        <v>953</v>
      </c>
      <c r="H225" s="340"/>
      <c r="I225" s="340"/>
    </row>
    <row r="226" spans="1:9">
      <c r="A226" s="340" t="s">
        <v>479</v>
      </c>
      <c r="B226" s="340">
        <v>180331</v>
      </c>
      <c r="C226" s="340"/>
      <c r="D226" s="340" t="s">
        <v>954</v>
      </c>
      <c r="E226" s="340" t="s">
        <v>952</v>
      </c>
      <c r="F226" s="5">
        <v>2605120402</v>
      </c>
      <c r="G226" s="340" t="s">
        <v>953</v>
      </c>
      <c r="H226" s="340"/>
      <c r="I226" s="340"/>
    </row>
    <row r="227" spans="1:9" s="369" customFormat="1">
      <c r="A227" s="344" t="s">
        <v>479</v>
      </c>
      <c r="B227" s="344">
        <v>180331</v>
      </c>
      <c r="C227" s="344"/>
      <c r="D227" s="344" t="s">
        <v>951</v>
      </c>
      <c r="E227" s="344" t="s">
        <v>879</v>
      </c>
      <c r="F227" s="5" t="s">
        <v>1035</v>
      </c>
      <c r="G227" s="344" t="s">
        <v>953</v>
      </c>
      <c r="H227" s="344"/>
      <c r="I227" s="344"/>
    </row>
    <row r="228" spans="1:9">
      <c r="A228" s="340" t="s">
        <v>489</v>
      </c>
      <c r="B228" s="340">
        <v>180332</v>
      </c>
      <c r="C228" s="340"/>
      <c r="D228" s="340" t="s">
        <v>951</v>
      </c>
      <c r="E228" s="340" t="s">
        <v>952</v>
      </c>
      <c r="F228" s="341">
        <v>2605119955</v>
      </c>
      <c r="G228" s="340" t="s">
        <v>953</v>
      </c>
      <c r="H228" s="340"/>
      <c r="I228" s="340"/>
    </row>
    <row r="229" spans="1:9">
      <c r="A229" s="340" t="s">
        <v>489</v>
      </c>
      <c r="B229" s="340">
        <v>180332</v>
      </c>
      <c r="C229" s="340"/>
      <c r="D229" s="340" t="s">
        <v>954</v>
      </c>
      <c r="E229" s="340" t="s">
        <v>952</v>
      </c>
      <c r="F229" s="358">
        <v>2605121038</v>
      </c>
      <c r="G229" s="340" t="s">
        <v>953</v>
      </c>
      <c r="H229" s="340"/>
      <c r="I229" s="340"/>
    </row>
    <row r="230" spans="1:9" s="369" customFormat="1">
      <c r="A230" s="344" t="s">
        <v>489</v>
      </c>
      <c r="B230" s="344">
        <v>180332</v>
      </c>
      <c r="C230" s="344"/>
      <c r="D230" s="344" t="s">
        <v>951</v>
      </c>
      <c r="E230" s="344" t="s">
        <v>879</v>
      </c>
      <c r="F230" s="5" t="s">
        <v>1036</v>
      </c>
      <c r="G230" s="344" t="s">
        <v>953</v>
      </c>
      <c r="H230" s="344"/>
      <c r="I230" s="344"/>
    </row>
    <row r="231" spans="1:9">
      <c r="A231" s="340" t="s">
        <v>494</v>
      </c>
      <c r="B231" s="340">
        <v>180333</v>
      </c>
      <c r="C231" s="340"/>
      <c r="D231" s="340" t="s">
        <v>951</v>
      </c>
      <c r="E231" s="340" t="s">
        <v>952</v>
      </c>
      <c r="F231" s="341">
        <v>2605120001</v>
      </c>
      <c r="G231" s="340" t="s">
        <v>953</v>
      </c>
      <c r="H231" s="340"/>
      <c r="I231" s="340"/>
    </row>
    <row r="232" spans="1:9">
      <c r="A232" s="340" t="s">
        <v>494</v>
      </c>
      <c r="B232" s="340">
        <v>180333</v>
      </c>
      <c r="C232" s="340"/>
      <c r="D232" s="340" t="s">
        <v>954</v>
      </c>
      <c r="E232" s="340" t="s">
        <v>952</v>
      </c>
      <c r="F232" s="381">
        <v>2605121013</v>
      </c>
      <c r="G232" s="340" t="s">
        <v>953</v>
      </c>
      <c r="H232" s="340"/>
      <c r="I232" s="340"/>
    </row>
    <row r="233" spans="1:9" s="369" customFormat="1">
      <c r="A233" s="344" t="s">
        <v>494</v>
      </c>
      <c r="B233" s="344">
        <v>180333</v>
      </c>
      <c r="C233" s="344"/>
      <c r="D233" s="344" t="s">
        <v>1037</v>
      </c>
      <c r="E233" s="344" t="s">
        <v>879</v>
      </c>
      <c r="F233" s="5" t="s">
        <v>1036</v>
      </c>
      <c r="G233" s="344" t="s">
        <v>953</v>
      </c>
      <c r="H233" s="344"/>
      <c r="I233" s="344"/>
    </row>
    <row r="234" spans="1:9">
      <c r="A234" s="340" t="s">
        <v>496</v>
      </c>
      <c r="B234" s="340">
        <v>180334</v>
      </c>
      <c r="C234" s="340"/>
      <c r="D234" s="340" t="s">
        <v>951</v>
      </c>
      <c r="E234" s="340" t="s">
        <v>952</v>
      </c>
      <c r="F234" s="341">
        <v>2605118942</v>
      </c>
      <c r="G234" s="340" t="s">
        <v>953</v>
      </c>
      <c r="H234" s="340"/>
      <c r="I234" s="340"/>
    </row>
    <row r="235" spans="1:9">
      <c r="A235" s="340" t="s">
        <v>496</v>
      </c>
      <c r="B235" s="340">
        <v>180334</v>
      </c>
      <c r="C235" s="340"/>
      <c r="D235" s="340" t="s">
        <v>954</v>
      </c>
      <c r="E235" s="340" t="s">
        <v>952</v>
      </c>
      <c r="F235" s="5">
        <v>2605120305</v>
      </c>
      <c r="G235" s="340" t="s">
        <v>953</v>
      </c>
      <c r="H235" s="340"/>
      <c r="I235" s="340"/>
    </row>
    <row r="236" spans="1:9" s="369" customFormat="1">
      <c r="A236" s="344" t="s">
        <v>496</v>
      </c>
      <c r="B236" s="344">
        <v>180334</v>
      </c>
      <c r="C236" s="344"/>
      <c r="D236" s="344" t="s">
        <v>951</v>
      </c>
      <c r="E236" s="344" t="s">
        <v>879</v>
      </c>
      <c r="F236" s="5" t="s">
        <v>1038</v>
      </c>
      <c r="G236" s="344" t="s">
        <v>953</v>
      </c>
      <c r="H236" s="344"/>
      <c r="I236" s="344"/>
    </row>
    <row r="237" spans="1:9">
      <c r="A237" s="340" t="s">
        <v>502</v>
      </c>
      <c r="B237" s="340">
        <v>180338</v>
      </c>
      <c r="C237" s="340"/>
      <c r="D237" s="340" t="s">
        <v>951</v>
      </c>
      <c r="E237" s="340" t="s">
        <v>952</v>
      </c>
      <c r="F237" s="341">
        <v>2605118967</v>
      </c>
      <c r="G237" s="340" t="s">
        <v>953</v>
      </c>
      <c r="H237" s="340"/>
      <c r="I237" s="340"/>
    </row>
    <row r="238" spans="1:9">
      <c r="A238" s="340" t="s">
        <v>502</v>
      </c>
      <c r="B238" s="340">
        <v>180338</v>
      </c>
      <c r="C238" s="340"/>
      <c r="D238" s="340" t="s">
        <v>954</v>
      </c>
      <c r="E238" s="340" t="s">
        <v>952</v>
      </c>
      <c r="F238" s="5">
        <v>2605120420</v>
      </c>
      <c r="G238" s="340" t="s">
        <v>953</v>
      </c>
      <c r="H238" s="340"/>
      <c r="I238" s="340"/>
    </row>
    <row r="239" spans="1:9" s="369" customFormat="1">
      <c r="A239" s="344" t="s">
        <v>502</v>
      </c>
      <c r="B239" s="344">
        <v>180338</v>
      </c>
      <c r="C239" s="344"/>
      <c r="D239" s="344" t="s">
        <v>951</v>
      </c>
      <c r="E239" s="344" t="s">
        <v>879</v>
      </c>
      <c r="F239" s="5" t="s">
        <v>1039</v>
      </c>
      <c r="G239" s="344" t="s">
        <v>953</v>
      </c>
      <c r="H239" s="344"/>
      <c r="I239" s="344"/>
    </row>
    <row r="240" spans="1:9">
      <c r="A240" s="340" t="s">
        <v>508</v>
      </c>
      <c r="B240" s="340">
        <v>180339</v>
      </c>
      <c r="C240" s="340"/>
      <c r="D240" s="340" t="s">
        <v>951</v>
      </c>
      <c r="E240" s="340" t="s">
        <v>952</v>
      </c>
      <c r="F240" s="341">
        <v>2605120555</v>
      </c>
      <c r="G240" s="340" t="s">
        <v>953</v>
      </c>
      <c r="H240" s="340"/>
      <c r="I240" s="340"/>
    </row>
    <row r="241" spans="1:9">
      <c r="A241" s="340" t="s">
        <v>508</v>
      </c>
      <c r="B241" s="340">
        <v>180339</v>
      </c>
      <c r="C241" s="340"/>
      <c r="D241" s="340" t="s">
        <v>954</v>
      </c>
      <c r="E241" s="340" t="s">
        <v>952</v>
      </c>
      <c r="F241" s="345">
        <v>2605122751</v>
      </c>
      <c r="G241" s="340" t="s">
        <v>953</v>
      </c>
      <c r="H241" s="340"/>
      <c r="I241" s="340"/>
    </row>
    <row r="242" spans="1:9" s="369" customFormat="1">
      <c r="A242" s="344" t="s">
        <v>508</v>
      </c>
      <c r="B242" s="344">
        <v>180339</v>
      </c>
      <c r="C242" s="344"/>
      <c r="D242" s="344" t="s">
        <v>951</v>
      </c>
      <c r="E242" s="344" t="s">
        <v>879</v>
      </c>
      <c r="F242" s="5" t="s">
        <v>1040</v>
      </c>
      <c r="G242" s="344" t="s">
        <v>953</v>
      </c>
      <c r="H242" s="344"/>
      <c r="I242" s="344"/>
    </row>
    <row r="243" spans="1:9">
      <c r="A243" s="340" t="s">
        <v>514</v>
      </c>
      <c r="B243" s="340">
        <v>180340</v>
      </c>
      <c r="C243" s="340"/>
      <c r="D243" s="340" t="s">
        <v>951</v>
      </c>
      <c r="E243" s="340" t="s">
        <v>952</v>
      </c>
      <c r="F243" s="341">
        <v>2605120568</v>
      </c>
      <c r="G243" s="340" t="s">
        <v>953</v>
      </c>
      <c r="H243" s="340"/>
      <c r="I243" s="340"/>
    </row>
    <row r="244" spans="1:9">
      <c r="A244" s="340" t="s">
        <v>514</v>
      </c>
      <c r="B244" s="340">
        <v>180340</v>
      </c>
      <c r="C244" s="340"/>
      <c r="D244" s="340" t="s">
        <v>954</v>
      </c>
      <c r="E244" s="340" t="s">
        <v>952</v>
      </c>
      <c r="F244" s="345">
        <v>2605122896</v>
      </c>
      <c r="G244" s="340" t="s">
        <v>953</v>
      </c>
      <c r="H244" s="340"/>
      <c r="I244" s="340"/>
    </row>
    <row r="245" spans="1:9" s="369" customFormat="1">
      <c r="A245" s="344" t="s">
        <v>514</v>
      </c>
      <c r="B245" s="344">
        <v>180340</v>
      </c>
      <c r="C245" s="344"/>
      <c r="D245" s="344" t="s">
        <v>951</v>
      </c>
      <c r="E245" s="344" t="s">
        <v>879</v>
      </c>
      <c r="F245" s="5" t="s">
        <v>1041</v>
      </c>
      <c r="G245" s="344" t="s">
        <v>953</v>
      </c>
      <c r="H245" s="344"/>
      <c r="I245" s="344"/>
    </row>
    <row r="246" spans="1:9">
      <c r="A246" s="340" t="s">
        <v>520</v>
      </c>
      <c r="B246" s="340">
        <v>180341</v>
      </c>
      <c r="C246" s="340"/>
      <c r="D246" s="340" t="s">
        <v>951</v>
      </c>
      <c r="E246" s="340" t="s">
        <v>952</v>
      </c>
      <c r="F246" s="341">
        <v>2605120044</v>
      </c>
      <c r="G246" s="340" t="s">
        <v>953</v>
      </c>
      <c r="H246" s="340"/>
      <c r="I246" s="340"/>
    </row>
    <row r="247" spans="1:9">
      <c r="A247" s="340" t="s">
        <v>520</v>
      </c>
      <c r="B247" s="340">
        <v>180341</v>
      </c>
      <c r="C247" s="340"/>
      <c r="D247" s="340" t="s">
        <v>954</v>
      </c>
      <c r="E247" s="340" t="s">
        <v>952</v>
      </c>
      <c r="F247" s="346">
        <v>2605122843</v>
      </c>
      <c r="G247" s="340" t="s">
        <v>953</v>
      </c>
      <c r="H247" s="340"/>
      <c r="I247" s="340"/>
    </row>
    <row r="248" spans="1:9" s="369" customFormat="1">
      <c r="A248" s="344" t="s">
        <v>514</v>
      </c>
      <c r="B248" s="344">
        <v>180341</v>
      </c>
      <c r="C248" s="344"/>
      <c r="D248" s="344" t="s">
        <v>951</v>
      </c>
      <c r="E248" s="344" t="s">
        <v>879</v>
      </c>
      <c r="F248" s="5" t="s">
        <v>1041</v>
      </c>
      <c r="G248" s="344" t="s">
        <v>953</v>
      </c>
      <c r="H248" s="344"/>
      <c r="I248" s="344"/>
    </row>
    <row r="249" spans="1:9">
      <c r="A249" s="340" t="s">
        <v>523</v>
      </c>
      <c r="B249" s="340">
        <v>180356</v>
      </c>
      <c r="C249" s="340"/>
      <c r="D249" s="340" t="s">
        <v>951</v>
      </c>
      <c r="E249" s="340" t="s">
        <v>952</v>
      </c>
      <c r="F249" s="341">
        <v>2605120769</v>
      </c>
      <c r="G249" s="340" t="s">
        <v>953</v>
      </c>
      <c r="H249" s="340"/>
      <c r="I249" s="340"/>
    </row>
    <row r="250" spans="1:9">
      <c r="A250" s="340" t="s">
        <v>523</v>
      </c>
      <c r="B250" s="340">
        <v>180356</v>
      </c>
      <c r="C250" s="340"/>
      <c r="D250" s="340" t="s">
        <v>954</v>
      </c>
      <c r="E250" s="340" t="s">
        <v>952</v>
      </c>
      <c r="F250" s="5">
        <v>2605122963</v>
      </c>
      <c r="G250" s="340" t="s">
        <v>953</v>
      </c>
      <c r="H250" s="340"/>
      <c r="I250" s="340"/>
    </row>
    <row r="251" spans="1:9" s="369" customFormat="1">
      <c r="A251" s="344" t="s">
        <v>523</v>
      </c>
      <c r="B251" s="344">
        <v>180356</v>
      </c>
      <c r="C251" s="344"/>
      <c r="D251" s="344" t="s">
        <v>951</v>
      </c>
      <c r="E251" s="344" t="s">
        <v>879</v>
      </c>
      <c r="F251" s="5" t="s">
        <v>1042</v>
      </c>
      <c r="G251" s="344" t="s">
        <v>953</v>
      </c>
      <c r="H251" s="344"/>
      <c r="I251" s="344"/>
    </row>
    <row r="252" spans="1:9">
      <c r="A252" s="340" t="s">
        <v>530</v>
      </c>
      <c r="B252" s="340">
        <v>180357</v>
      </c>
      <c r="C252" s="340"/>
      <c r="D252" s="340" t="s">
        <v>951</v>
      </c>
      <c r="E252" s="340" t="s">
        <v>952</v>
      </c>
      <c r="F252" s="341">
        <v>2605121478</v>
      </c>
      <c r="G252" s="340" t="s">
        <v>953</v>
      </c>
      <c r="H252" s="340"/>
      <c r="I252" s="340"/>
    </row>
    <row r="253" spans="1:9">
      <c r="A253" s="340" t="s">
        <v>530</v>
      </c>
      <c r="B253" s="340">
        <v>180357</v>
      </c>
      <c r="C253" s="340"/>
      <c r="D253" s="340" t="s">
        <v>954</v>
      </c>
      <c r="E253" s="340" t="s">
        <v>952</v>
      </c>
      <c r="F253" s="5">
        <v>2605122911</v>
      </c>
      <c r="G253" s="340" t="s">
        <v>953</v>
      </c>
      <c r="H253" s="340"/>
      <c r="I253" s="340"/>
    </row>
    <row r="254" spans="1:9" s="369" customFormat="1">
      <c r="A254" s="344" t="s">
        <v>530</v>
      </c>
      <c r="B254" s="344">
        <v>180357</v>
      </c>
      <c r="C254" s="344"/>
      <c r="D254" s="344" t="s">
        <v>951</v>
      </c>
      <c r="E254" s="344" t="s">
        <v>879</v>
      </c>
      <c r="F254" s="5" t="s">
        <v>1043</v>
      </c>
      <c r="G254" s="344" t="s">
        <v>953</v>
      </c>
      <c r="H254" s="344"/>
      <c r="I254" s="344"/>
    </row>
    <row r="255" spans="1:9">
      <c r="A255" s="340" t="s">
        <v>536</v>
      </c>
      <c r="B255" s="340">
        <v>180358</v>
      </c>
      <c r="C255" s="340"/>
      <c r="D255" s="340" t="s">
        <v>951</v>
      </c>
      <c r="E255" s="340" t="s">
        <v>952</v>
      </c>
      <c r="F255" s="341">
        <v>2605125296</v>
      </c>
      <c r="G255" s="340" t="s">
        <v>953</v>
      </c>
      <c r="H255" s="340"/>
      <c r="I255" s="340"/>
    </row>
    <row r="256" spans="1:9">
      <c r="A256" s="340" t="s">
        <v>536</v>
      </c>
      <c r="B256" s="340">
        <v>180358</v>
      </c>
      <c r="C256" s="340"/>
      <c r="D256" s="340" t="s">
        <v>954</v>
      </c>
      <c r="E256" s="340" t="s">
        <v>952</v>
      </c>
      <c r="F256" s="345">
        <v>2605127569</v>
      </c>
      <c r="G256" s="340" t="s">
        <v>953</v>
      </c>
      <c r="H256" s="340"/>
      <c r="I256" s="340"/>
    </row>
    <row r="257" spans="1:9" s="369" customFormat="1">
      <c r="A257" s="344" t="s">
        <v>536</v>
      </c>
      <c r="B257" s="344">
        <v>180358</v>
      </c>
      <c r="C257" s="344"/>
      <c r="D257" s="344" t="s">
        <v>951</v>
      </c>
      <c r="E257" s="344" t="s">
        <v>879</v>
      </c>
      <c r="F257" s="5" t="s">
        <v>1044</v>
      </c>
      <c r="G257" s="344" t="s">
        <v>953</v>
      </c>
      <c r="H257" s="344"/>
      <c r="I257" s="344"/>
    </row>
    <row r="258" spans="1:9">
      <c r="A258" s="340" t="s">
        <v>542</v>
      </c>
      <c r="B258" s="340">
        <v>180359</v>
      </c>
      <c r="C258" s="340"/>
      <c r="D258" s="340" t="s">
        <v>951</v>
      </c>
      <c r="E258" s="340" t="s">
        <v>952</v>
      </c>
      <c r="F258" s="341">
        <v>2605122382</v>
      </c>
      <c r="G258" s="340" t="s">
        <v>953</v>
      </c>
      <c r="H258" s="340"/>
      <c r="I258" s="340"/>
    </row>
    <row r="259" spans="1:9">
      <c r="A259" s="340" t="s">
        <v>542</v>
      </c>
      <c r="B259" s="340">
        <v>180359</v>
      </c>
      <c r="C259" s="340"/>
      <c r="D259" s="340" t="s">
        <v>954</v>
      </c>
      <c r="E259" s="340" t="s">
        <v>952</v>
      </c>
      <c r="F259" s="345">
        <v>2605125584</v>
      </c>
      <c r="G259" s="340" t="s">
        <v>953</v>
      </c>
      <c r="H259" s="340"/>
      <c r="I259" s="340"/>
    </row>
    <row r="260" spans="1:9" s="369" customFormat="1">
      <c r="A260" s="344" t="s">
        <v>542</v>
      </c>
      <c r="B260" s="344">
        <v>180359</v>
      </c>
      <c r="C260" s="344"/>
      <c r="D260" s="344" t="s">
        <v>951</v>
      </c>
      <c r="E260" s="344" t="s">
        <v>879</v>
      </c>
      <c r="F260" s="5" t="s">
        <v>1045</v>
      </c>
      <c r="G260" s="344" t="s">
        <v>953</v>
      </c>
      <c r="H260" s="344"/>
      <c r="I260" s="344"/>
    </row>
    <row r="261" spans="1:9">
      <c r="A261" s="340" t="s">
        <v>548</v>
      </c>
      <c r="B261" s="340">
        <v>180360</v>
      </c>
      <c r="C261" s="340"/>
      <c r="D261" s="340" t="s">
        <v>951</v>
      </c>
      <c r="E261" s="340" t="s">
        <v>952</v>
      </c>
      <c r="F261" s="341">
        <v>2605122451</v>
      </c>
      <c r="G261" s="340" t="s">
        <v>953</v>
      </c>
      <c r="H261" s="340"/>
      <c r="I261" s="340"/>
    </row>
    <row r="262" spans="1:9">
      <c r="A262" s="340" t="s">
        <v>548</v>
      </c>
      <c r="B262" s="340">
        <v>180360</v>
      </c>
      <c r="C262" s="340"/>
      <c r="D262" s="340" t="s">
        <v>954</v>
      </c>
      <c r="E262" s="340" t="s">
        <v>952</v>
      </c>
      <c r="F262" s="345">
        <v>2605125662</v>
      </c>
      <c r="G262" s="340" t="s">
        <v>953</v>
      </c>
      <c r="H262" s="340"/>
      <c r="I262" s="340"/>
    </row>
    <row r="263" spans="1:9" s="369" customFormat="1">
      <c r="A263" s="344" t="s">
        <v>548</v>
      </c>
      <c r="B263" s="344">
        <v>180360</v>
      </c>
      <c r="C263" s="344"/>
      <c r="D263" s="344" t="s">
        <v>951</v>
      </c>
      <c r="E263" s="344" t="s">
        <v>879</v>
      </c>
      <c r="F263" s="5" t="s">
        <v>1046</v>
      </c>
      <c r="G263" s="344" t="s">
        <v>953</v>
      </c>
      <c r="H263" s="344"/>
      <c r="I263" s="344"/>
    </row>
    <row r="264" spans="1:9">
      <c r="A264" s="340" t="s">
        <v>554</v>
      </c>
      <c r="B264" s="340">
        <v>180361</v>
      </c>
      <c r="C264" s="340"/>
      <c r="D264" s="340" t="s">
        <v>951</v>
      </c>
      <c r="E264" s="340" t="s">
        <v>952</v>
      </c>
      <c r="F264" s="341">
        <v>2605125301</v>
      </c>
      <c r="G264" s="340" t="s">
        <v>953</v>
      </c>
      <c r="H264" s="340"/>
      <c r="I264" s="340"/>
    </row>
    <row r="265" spans="1:9">
      <c r="A265" s="340" t="s">
        <v>554</v>
      </c>
      <c r="B265" s="340">
        <v>180361</v>
      </c>
      <c r="C265" s="340"/>
      <c r="D265" s="340" t="s">
        <v>954</v>
      </c>
      <c r="E265" s="340" t="s">
        <v>952</v>
      </c>
      <c r="F265" s="345">
        <v>2605127571</v>
      </c>
      <c r="G265" s="340" t="s">
        <v>953</v>
      </c>
      <c r="H265" s="340"/>
      <c r="I265" s="340"/>
    </row>
    <row r="266" spans="1:9" s="369" customFormat="1">
      <c r="A266" s="344" t="s">
        <v>554</v>
      </c>
      <c r="B266" s="344">
        <v>180361</v>
      </c>
      <c r="C266" s="344"/>
      <c r="D266" s="344" t="s">
        <v>951</v>
      </c>
      <c r="E266" s="344" t="s">
        <v>879</v>
      </c>
      <c r="F266" s="5" t="s">
        <v>1047</v>
      </c>
      <c r="G266" s="344" t="s">
        <v>953</v>
      </c>
      <c r="H266" s="344"/>
      <c r="I266" s="344"/>
    </row>
    <row r="267" spans="1:9">
      <c r="A267" s="340" t="s">
        <v>560</v>
      </c>
      <c r="B267" s="340">
        <v>180365</v>
      </c>
      <c r="C267" s="340"/>
      <c r="D267" s="340" t="s">
        <v>951</v>
      </c>
      <c r="E267" s="340" t="s">
        <v>952</v>
      </c>
      <c r="F267" s="341">
        <v>2605123608</v>
      </c>
      <c r="G267" s="340" t="s">
        <v>953</v>
      </c>
      <c r="H267" s="340"/>
      <c r="I267" s="340"/>
    </row>
    <row r="268" spans="1:9">
      <c r="A268" s="340" t="s">
        <v>560</v>
      </c>
      <c r="B268" s="340">
        <v>180365</v>
      </c>
      <c r="C268" s="340"/>
      <c r="D268" s="340" t="s">
        <v>954</v>
      </c>
      <c r="E268" s="340" t="s">
        <v>952</v>
      </c>
      <c r="F268" s="345">
        <v>2605125446</v>
      </c>
      <c r="G268" s="340" t="s">
        <v>953</v>
      </c>
      <c r="H268" s="340"/>
      <c r="I268" s="340"/>
    </row>
    <row r="269" spans="1:9" s="369" customFormat="1">
      <c r="A269" s="344" t="s">
        <v>560</v>
      </c>
      <c r="B269" s="344">
        <v>180365</v>
      </c>
      <c r="C269" s="344"/>
      <c r="D269" s="344" t="s">
        <v>951</v>
      </c>
      <c r="E269" s="344" t="s">
        <v>879</v>
      </c>
      <c r="F269" s="5" t="s">
        <v>1048</v>
      </c>
      <c r="G269" s="344" t="s">
        <v>953</v>
      </c>
      <c r="H269" s="344"/>
      <c r="I269" s="344"/>
    </row>
    <row r="270" spans="1:9">
      <c r="A270" s="340" t="s">
        <v>566</v>
      </c>
      <c r="B270" s="340">
        <v>180366</v>
      </c>
      <c r="C270" s="340"/>
      <c r="D270" s="340" t="s">
        <v>951</v>
      </c>
      <c r="E270" s="340" t="s">
        <v>952</v>
      </c>
      <c r="F270" s="341">
        <v>2605121569</v>
      </c>
      <c r="G270" s="340" t="s">
        <v>953</v>
      </c>
      <c r="H270" s="340"/>
      <c r="I270" s="340"/>
    </row>
    <row r="271" spans="1:9">
      <c r="A271" s="340" t="s">
        <v>566</v>
      </c>
      <c r="B271" s="340">
        <v>180366</v>
      </c>
      <c r="C271" s="340"/>
      <c r="D271" s="340" t="s">
        <v>954</v>
      </c>
      <c r="E271" s="340" t="s">
        <v>952</v>
      </c>
      <c r="F271" s="345">
        <v>2605122923</v>
      </c>
      <c r="G271" s="340" t="s">
        <v>953</v>
      </c>
      <c r="H271" s="340"/>
      <c r="I271" s="340"/>
    </row>
    <row r="272" spans="1:9" s="369" customFormat="1">
      <c r="A272" s="344" t="s">
        <v>566</v>
      </c>
      <c r="B272" s="344">
        <v>180366</v>
      </c>
      <c r="C272" s="344"/>
      <c r="D272" s="344" t="s">
        <v>951</v>
      </c>
      <c r="E272" s="344" t="s">
        <v>879</v>
      </c>
      <c r="F272" s="5" t="s">
        <v>1049</v>
      </c>
      <c r="G272" s="344" t="s">
        <v>953</v>
      </c>
      <c r="H272" s="344"/>
      <c r="I272" s="344"/>
    </row>
    <row r="273" spans="1:9">
      <c r="A273" s="340" t="s">
        <v>572</v>
      </c>
      <c r="B273" s="340">
        <v>180369</v>
      </c>
      <c r="C273" s="340"/>
      <c r="D273" s="340" t="s">
        <v>951</v>
      </c>
      <c r="E273" s="340" t="s">
        <v>952</v>
      </c>
      <c r="F273" s="341">
        <v>2605123199</v>
      </c>
      <c r="G273" s="340" t="s">
        <v>953</v>
      </c>
      <c r="H273" s="340"/>
      <c r="I273" s="340"/>
    </row>
    <row r="274" spans="1:9">
      <c r="A274" s="340" t="s">
        <v>572</v>
      </c>
      <c r="B274" s="340">
        <v>180369</v>
      </c>
      <c r="C274" s="340"/>
      <c r="D274" s="340" t="s">
        <v>954</v>
      </c>
      <c r="E274" s="340" t="s">
        <v>952</v>
      </c>
      <c r="F274" s="345">
        <v>2605125529</v>
      </c>
      <c r="G274" s="340" t="s">
        <v>953</v>
      </c>
      <c r="H274" s="340"/>
      <c r="I274" s="340"/>
    </row>
    <row r="275" spans="1:9" s="369" customFormat="1">
      <c r="A275" s="344" t="s">
        <v>572</v>
      </c>
      <c r="B275" s="344">
        <v>180369</v>
      </c>
      <c r="C275" s="344"/>
      <c r="D275" s="344" t="s">
        <v>951</v>
      </c>
      <c r="E275" s="344" t="s">
        <v>879</v>
      </c>
      <c r="F275" s="5" t="s">
        <v>1050</v>
      </c>
      <c r="G275" s="344" t="s">
        <v>953</v>
      </c>
      <c r="H275" s="344"/>
      <c r="I275" s="344"/>
    </row>
    <row r="276" spans="1:9">
      <c r="A276" s="340" t="s">
        <v>577</v>
      </c>
      <c r="B276" s="340">
        <v>180370</v>
      </c>
      <c r="C276" s="340"/>
      <c r="D276" s="340" t="s">
        <v>951</v>
      </c>
      <c r="E276" s="340" t="s">
        <v>952</v>
      </c>
      <c r="F276" s="341">
        <v>2605125312</v>
      </c>
      <c r="G276" s="340" t="s">
        <v>953</v>
      </c>
      <c r="H276" s="340"/>
      <c r="I276" s="340"/>
    </row>
    <row r="277" spans="1:9">
      <c r="A277" s="340" t="s">
        <v>577</v>
      </c>
      <c r="B277" s="340">
        <v>180370</v>
      </c>
      <c r="C277" s="340"/>
      <c r="D277" s="340" t="s">
        <v>954</v>
      </c>
      <c r="E277" s="340" t="s">
        <v>952</v>
      </c>
      <c r="F277" s="345">
        <v>2605127573</v>
      </c>
      <c r="G277" s="340" t="s">
        <v>953</v>
      </c>
      <c r="H277" s="340"/>
      <c r="I277" s="340"/>
    </row>
    <row r="278" spans="1:9" s="369" customFormat="1">
      <c r="A278" s="344" t="s">
        <v>577</v>
      </c>
      <c r="B278" s="344">
        <v>180370</v>
      </c>
      <c r="C278" s="344"/>
      <c r="D278" s="344" t="s">
        <v>951</v>
      </c>
      <c r="E278" s="344" t="s">
        <v>879</v>
      </c>
      <c r="F278" s="5" t="s">
        <v>1051</v>
      </c>
      <c r="G278" s="344" t="s">
        <v>953</v>
      </c>
      <c r="H278" s="344"/>
      <c r="I278" s="344"/>
    </row>
    <row r="279" spans="1:9">
      <c r="A279" s="340" t="s">
        <v>583</v>
      </c>
      <c r="B279" s="340">
        <v>180385</v>
      </c>
      <c r="C279" s="340"/>
      <c r="D279" s="340" t="s">
        <v>951</v>
      </c>
      <c r="E279" s="340" t="s">
        <v>952</v>
      </c>
      <c r="F279" s="341">
        <v>2605123531</v>
      </c>
      <c r="G279" s="340" t="s">
        <v>953</v>
      </c>
      <c r="H279" s="340"/>
      <c r="I279" s="340"/>
    </row>
    <row r="280" spans="1:9">
      <c r="A280" s="340" t="s">
        <v>583</v>
      </c>
      <c r="B280" s="340">
        <v>180385</v>
      </c>
      <c r="C280" s="340"/>
      <c r="D280" s="340" t="s">
        <v>954</v>
      </c>
      <c r="E280" s="340" t="s">
        <v>952</v>
      </c>
      <c r="F280" s="345">
        <v>2605125490</v>
      </c>
      <c r="G280" s="340" t="s">
        <v>953</v>
      </c>
      <c r="H280" s="340"/>
      <c r="I280" s="340"/>
    </row>
    <row r="281" spans="1:9" s="369" customFormat="1">
      <c r="A281" s="344" t="s">
        <v>583</v>
      </c>
      <c r="B281" s="344">
        <v>180385</v>
      </c>
      <c r="C281" s="344"/>
      <c r="D281" s="344" t="s">
        <v>951</v>
      </c>
      <c r="E281" s="344" t="s">
        <v>879</v>
      </c>
      <c r="F281" s="5" t="s">
        <v>1052</v>
      </c>
      <c r="G281" s="344" t="s">
        <v>953</v>
      </c>
      <c r="H281" s="344"/>
      <c r="I281" s="344"/>
    </row>
    <row r="282" spans="1:9">
      <c r="A282" s="340" t="s">
        <v>589</v>
      </c>
      <c r="B282" s="340">
        <v>180400</v>
      </c>
      <c r="C282" s="340"/>
      <c r="D282" s="340" t="s">
        <v>951</v>
      </c>
      <c r="E282" s="340" t="s">
        <v>952</v>
      </c>
      <c r="F282" s="341">
        <v>2605124864</v>
      </c>
      <c r="G282" s="340" t="s">
        <v>953</v>
      </c>
      <c r="H282" s="340"/>
      <c r="I282" s="340"/>
    </row>
    <row r="283" spans="1:9">
      <c r="A283" s="340" t="s">
        <v>589</v>
      </c>
      <c r="B283" s="340">
        <v>180400</v>
      </c>
      <c r="C283" s="340"/>
      <c r="D283" s="340" t="s">
        <v>954</v>
      </c>
      <c r="E283" s="340" t="s">
        <v>952</v>
      </c>
      <c r="F283" s="345">
        <v>2605125499</v>
      </c>
      <c r="G283" s="340" t="s">
        <v>953</v>
      </c>
      <c r="H283" s="340"/>
      <c r="I283" s="340"/>
    </row>
    <row r="284" spans="1:9" s="369" customFormat="1">
      <c r="A284" s="344" t="s">
        <v>589</v>
      </c>
      <c r="B284" s="344">
        <v>180400</v>
      </c>
      <c r="C284" s="344"/>
      <c r="D284" s="344" t="s">
        <v>951</v>
      </c>
      <c r="E284" s="344" t="s">
        <v>879</v>
      </c>
      <c r="F284" s="5" t="s">
        <v>1053</v>
      </c>
      <c r="G284" s="344" t="s">
        <v>953</v>
      </c>
      <c r="H284" s="344"/>
      <c r="I284" s="344"/>
    </row>
    <row r="285" spans="1:9">
      <c r="A285" s="340" t="s">
        <v>594</v>
      </c>
      <c r="B285" s="340">
        <v>180401</v>
      </c>
      <c r="C285" s="340"/>
      <c r="D285" s="340" t="s">
        <v>951</v>
      </c>
      <c r="E285" s="340" t="s">
        <v>952</v>
      </c>
      <c r="F285" s="341">
        <v>2605124553</v>
      </c>
      <c r="G285" s="340" t="s">
        <v>953</v>
      </c>
      <c r="H285" s="340"/>
      <c r="I285" s="340"/>
    </row>
    <row r="286" spans="1:9">
      <c r="A286" s="340" t="s">
        <v>594</v>
      </c>
      <c r="B286" s="340">
        <v>180401</v>
      </c>
      <c r="C286" s="340"/>
      <c r="D286" s="340" t="s">
        <v>954</v>
      </c>
      <c r="E286" s="340" t="s">
        <v>952</v>
      </c>
      <c r="F286" s="345">
        <v>2605125424</v>
      </c>
      <c r="G286" s="340" t="s">
        <v>953</v>
      </c>
      <c r="H286" s="340"/>
      <c r="I286" s="340"/>
    </row>
    <row r="287" spans="1:9" s="369" customFormat="1">
      <c r="A287" s="344" t="s">
        <v>594</v>
      </c>
      <c r="B287" s="344">
        <v>180401</v>
      </c>
      <c r="C287" s="344"/>
      <c r="D287" s="344" t="s">
        <v>951</v>
      </c>
      <c r="E287" s="344" t="s">
        <v>879</v>
      </c>
      <c r="F287" s="5" t="s">
        <v>1054</v>
      </c>
      <c r="G287" s="344" t="s">
        <v>953</v>
      </c>
      <c r="H287" s="344"/>
      <c r="I287" s="344"/>
    </row>
    <row r="288" spans="1:9">
      <c r="A288" s="340" t="s">
        <v>601</v>
      </c>
      <c r="B288" s="340">
        <v>180402</v>
      </c>
      <c r="C288" s="340"/>
      <c r="D288" s="340" t="s">
        <v>951</v>
      </c>
      <c r="E288" s="340" t="s">
        <v>952</v>
      </c>
      <c r="F288" s="341">
        <v>2605127196</v>
      </c>
      <c r="G288" s="340" t="s">
        <v>953</v>
      </c>
      <c r="H288" s="340"/>
      <c r="I288" s="340"/>
    </row>
    <row r="289" spans="1:9">
      <c r="A289" s="340" t="s">
        <v>601</v>
      </c>
      <c r="B289" s="340">
        <v>180402</v>
      </c>
      <c r="C289" s="340"/>
      <c r="D289" s="340" t="s">
        <v>954</v>
      </c>
      <c r="E289" s="340" t="s">
        <v>952</v>
      </c>
      <c r="F289" s="345">
        <v>2605127579</v>
      </c>
      <c r="G289" s="340" t="s">
        <v>953</v>
      </c>
      <c r="H289" s="340"/>
      <c r="I289" s="340"/>
    </row>
    <row r="290" spans="1:9" s="369" customFormat="1">
      <c r="A290" s="344" t="s">
        <v>601</v>
      </c>
      <c r="B290" s="344">
        <v>180402</v>
      </c>
      <c r="C290" s="344"/>
      <c r="D290" s="344" t="s">
        <v>951</v>
      </c>
      <c r="E290" s="344" t="s">
        <v>879</v>
      </c>
      <c r="F290" s="5" t="s">
        <v>1055</v>
      </c>
      <c r="G290" s="344" t="s">
        <v>953</v>
      </c>
      <c r="H290" s="344"/>
      <c r="I290" s="344"/>
    </row>
    <row r="291" spans="1:9">
      <c r="A291" s="340" t="s">
        <v>607</v>
      </c>
      <c r="B291" s="340">
        <v>180403</v>
      </c>
      <c r="C291" s="340"/>
      <c r="D291" s="340" t="s">
        <v>951</v>
      </c>
      <c r="E291" s="340" t="s">
        <v>952</v>
      </c>
      <c r="F291" s="341">
        <v>2605123208</v>
      </c>
      <c r="G291" s="340" t="s">
        <v>953</v>
      </c>
      <c r="H291" s="340"/>
      <c r="I291" s="340"/>
    </row>
    <row r="292" spans="1:9">
      <c r="A292" s="340" t="s">
        <v>607</v>
      </c>
      <c r="B292" s="340">
        <v>180403</v>
      </c>
      <c r="C292" s="340"/>
      <c r="D292" s="340" t="s">
        <v>954</v>
      </c>
      <c r="E292" s="340" t="s">
        <v>952</v>
      </c>
      <c r="F292" s="345">
        <v>2605125489</v>
      </c>
      <c r="G292" s="340" t="s">
        <v>953</v>
      </c>
      <c r="H292" s="340"/>
      <c r="I292" s="340"/>
    </row>
    <row r="293" spans="1:9" s="369" customFormat="1">
      <c r="A293" s="344" t="s">
        <v>607</v>
      </c>
      <c r="B293" s="344">
        <v>180403</v>
      </c>
      <c r="C293" s="344"/>
      <c r="D293" s="344" t="s">
        <v>951</v>
      </c>
      <c r="E293" s="344" t="s">
        <v>879</v>
      </c>
      <c r="F293" s="5" t="s">
        <v>1056</v>
      </c>
      <c r="G293" s="344" t="s">
        <v>953</v>
      </c>
      <c r="H293" s="344"/>
      <c r="I293" s="344"/>
    </row>
    <row r="294" spans="1:9">
      <c r="A294" s="340" t="s">
        <v>615</v>
      </c>
      <c r="B294" s="340">
        <v>180405</v>
      </c>
      <c r="C294" s="340"/>
      <c r="D294" s="340" t="s">
        <v>951</v>
      </c>
      <c r="E294" s="340" t="s">
        <v>952</v>
      </c>
      <c r="F294" s="341">
        <v>2605125079</v>
      </c>
      <c r="G294" s="340" t="s">
        <v>953</v>
      </c>
      <c r="H294" s="340"/>
      <c r="I294" s="340"/>
    </row>
    <row r="295" spans="1:9">
      <c r="A295" s="340" t="s">
        <v>615</v>
      </c>
      <c r="B295" s="340">
        <v>180405</v>
      </c>
      <c r="C295" s="340"/>
      <c r="D295" s="340" t="s">
        <v>954</v>
      </c>
      <c r="E295" s="340" t="s">
        <v>952</v>
      </c>
      <c r="F295" s="345">
        <v>2605127592</v>
      </c>
      <c r="G295" s="340" t="s">
        <v>953</v>
      </c>
      <c r="H295" s="340"/>
      <c r="I295" s="340"/>
    </row>
    <row r="296" spans="1:9" s="369" customFormat="1">
      <c r="A296" s="344" t="s">
        <v>615</v>
      </c>
      <c r="B296" s="344">
        <v>180405</v>
      </c>
      <c r="C296" s="344"/>
      <c r="D296" s="344" t="s">
        <v>951</v>
      </c>
      <c r="E296" s="344" t="s">
        <v>879</v>
      </c>
      <c r="F296" s="5" t="s">
        <v>1057</v>
      </c>
      <c r="G296" s="344" t="s">
        <v>953</v>
      </c>
      <c r="H296" s="344"/>
      <c r="I296" s="344"/>
    </row>
    <row r="297" spans="1:9">
      <c r="A297" s="340" t="s">
        <v>621</v>
      </c>
      <c r="B297" s="340">
        <v>180407</v>
      </c>
      <c r="C297" s="340"/>
      <c r="D297" s="340" t="s">
        <v>951</v>
      </c>
      <c r="E297" s="340" t="s">
        <v>952</v>
      </c>
      <c r="F297" s="341">
        <v>2605124012</v>
      </c>
      <c r="G297" s="340" t="s">
        <v>953</v>
      </c>
      <c r="H297" s="340"/>
      <c r="I297" s="340"/>
    </row>
    <row r="298" spans="1:9">
      <c r="A298" s="340" t="s">
        <v>621</v>
      </c>
      <c r="B298" s="340">
        <v>180407</v>
      </c>
      <c r="C298" s="340"/>
      <c r="D298" s="340" t="s">
        <v>954</v>
      </c>
      <c r="E298" s="340" t="s">
        <v>952</v>
      </c>
      <c r="F298" s="345">
        <v>2605125449</v>
      </c>
      <c r="G298" s="340" t="s">
        <v>953</v>
      </c>
      <c r="H298" s="340"/>
      <c r="I298" s="340"/>
    </row>
    <row r="299" spans="1:9" s="369" customFormat="1">
      <c r="A299" s="344" t="s">
        <v>621</v>
      </c>
      <c r="B299" s="344">
        <v>180407</v>
      </c>
      <c r="C299" s="344"/>
      <c r="D299" s="344" t="s">
        <v>951</v>
      </c>
      <c r="E299" s="344" t="s">
        <v>879</v>
      </c>
      <c r="F299" s="5" t="s">
        <v>1058</v>
      </c>
      <c r="G299" s="344" t="s">
        <v>953</v>
      </c>
      <c r="H299" s="344"/>
      <c r="I299" s="344"/>
    </row>
    <row r="300" spans="1:9">
      <c r="A300" s="340" t="s">
        <v>628</v>
      </c>
      <c r="B300" s="340">
        <v>180408</v>
      </c>
      <c r="C300" s="340"/>
      <c r="D300" s="340" t="s">
        <v>951</v>
      </c>
      <c r="E300" s="340" t="s">
        <v>952</v>
      </c>
      <c r="F300" s="341">
        <v>2605127558</v>
      </c>
      <c r="G300" s="340" t="s">
        <v>953</v>
      </c>
      <c r="H300" s="340"/>
      <c r="I300" s="340"/>
    </row>
    <row r="301" spans="1:9">
      <c r="A301" s="340" t="s">
        <v>628</v>
      </c>
      <c r="B301" s="340">
        <v>180408</v>
      </c>
      <c r="C301" s="340"/>
      <c r="D301" s="340" t="s">
        <v>954</v>
      </c>
      <c r="E301" s="340" t="s">
        <v>952</v>
      </c>
      <c r="F301" s="377">
        <v>2605129024</v>
      </c>
      <c r="G301" s="340" t="s">
        <v>953</v>
      </c>
      <c r="H301" s="340"/>
      <c r="I301" s="340"/>
    </row>
    <row r="302" spans="1:9" s="369" customFormat="1">
      <c r="A302" s="344" t="s">
        <v>628</v>
      </c>
      <c r="B302" s="344">
        <v>180408</v>
      </c>
      <c r="C302" s="344"/>
      <c r="D302" s="344" t="s">
        <v>951</v>
      </c>
      <c r="E302" s="344" t="s">
        <v>879</v>
      </c>
      <c r="F302" s="5" t="s">
        <v>1059</v>
      </c>
      <c r="G302" s="344" t="s">
        <v>953</v>
      </c>
      <c r="H302" s="344"/>
      <c r="I302" s="344"/>
    </row>
    <row r="303" spans="1:9">
      <c r="A303" s="340" t="s">
        <v>634</v>
      </c>
      <c r="B303" s="340">
        <v>180409</v>
      </c>
      <c r="C303" s="340"/>
      <c r="D303" s="340" t="s">
        <v>951</v>
      </c>
      <c r="E303" s="340" t="s">
        <v>952</v>
      </c>
      <c r="F303" s="341">
        <v>2605124992</v>
      </c>
      <c r="G303" s="340" t="s">
        <v>953</v>
      </c>
      <c r="H303" s="340"/>
      <c r="I303" s="340"/>
    </row>
    <row r="304" spans="1:9">
      <c r="A304" s="340" t="s">
        <v>634</v>
      </c>
      <c r="B304" s="340">
        <v>180409</v>
      </c>
      <c r="C304" s="340"/>
      <c r="D304" s="340" t="s">
        <v>954</v>
      </c>
      <c r="E304" s="340" t="s">
        <v>952</v>
      </c>
      <c r="F304" s="345">
        <v>2605127574</v>
      </c>
      <c r="G304" s="340" t="s">
        <v>953</v>
      </c>
      <c r="H304" s="340"/>
      <c r="I304" s="340"/>
    </row>
    <row r="305" spans="1:9" s="369" customFormat="1">
      <c r="A305" s="344" t="s">
        <v>634</v>
      </c>
      <c r="B305" s="344">
        <v>180409</v>
      </c>
      <c r="C305" s="344"/>
      <c r="D305" s="344" t="s">
        <v>951</v>
      </c>
      <c r="E305" s="344" t="s">
        <v>879</v>
      </c>
      <c r="F305" s="5" t="s">
        <v>1060</v>
      </c>
      <c r="G305" s="344" t="s">
        <v>953</v>
      </c>
      <c r="H305" s="344"/>
      <c r="I305" s="344"/>
    </row>
    <row r="306" spans="1:9">
      <c r="A306" s="340" t="s">
        <v>640</v>
      </c>
      <c r="B306" s="340">
        <v>180410</v>
      </c>
      <c r="C306" s="340"/>
      <c r="D306" s="340" t="s">
        <v>951</v>
      </c>
      <c r="E306" s="340" t="s">
        <v>952</v>
      </c>
      <c r="F306" s="341">
        <v>2605125152</v>
      </c>
      <c r="G306" s="340" t="s">
        <v>953</v>
      </c>
      <c r="H306" s="340"/>
      <c r="I306" s="340"/>
    </row>
    <row r="307" spans="1:9">
      <c r="A307" s="340" t="s">
        <v>640</v>
      </c>
      <c r="B307" s="340">
        <v>180410</v>
      </c>
      <c r="C307" s="340"/>
      <c r="D307" s="340" t="s">
        <v>954</v>
      </c>
      <c r="E307" s="340" t="s">
        <v>952</v>
      </c>
      <c r="F307" s="345">
        <v>2605127597</v>
      </c>
      <c r="G307" s="340" t="s">
        <v>953</v>
      </c>
      <c r="H307" s="340"/>
      <c r="I307" s="340"/>
    </row>
    <row r="308" spans="1:9" s="369" customFormat="1">
      <c r="A308" s="344" t="s">
        <v>640</v>
      </c>
      <c r="B308" s="344">
        <v>180410</v>
      </c>
      <c r="C308" s="344"/>
      <c r="D308" s="344" t="s">
        <v>951</v>
      </c>
      <c r="E308" s="344" t="s">
        <v>879</v>
      </c>
      <c r="F308" s="5" t="s">
        <v>1061</v>
      </c>
      <c r="G308" s="344" t="s">
        <v>953</v>
      </c>
      <c r="H308" s="344"/>
      <c r="I308" s="344"/>
    </row>
    <row r="309" spans="1:9">
      <c r="A309" s="340" t="s">
        <v>646</v>
      </c>
      <c r="B309" s="340">
        <v>180411</v>
      </c>
      <c r="C309" s="340"/>
      <c r="D309" s="340" t="s">
        <v>951</v>
      </c>
      <c r="E309" s="340" t="s">
        <v>952</v>
      </c>
      <c r="F309" s="341">
        <v>2605127560</v>
      </c>
      <c r="G309" s="340" t="s">
        <v>953</v>
      </c>
      <c r="H309" s="340"/>
      <c r="I309" s="340"/>
    </row>
    <row r="310" spans="1:9">
      <c r="A310" s="340" t="s">
        <v>646</v>
      </c>
      <c r="B310" s="340">
        <v>180411</v>
      </c>
      <c r="C310" s="340"/>
      <c r="D310" s="340" t="s">
        <v>954</v>
      </c>
      <c r="E310" s="340" t="s">
        <v>952</v>
      </c>
      <c r="F310" s="377">
        <v>2605128891</v>
      </c>
      <c r="G310" s="340" t="s">
        <v>953</v>
      </c>
      <c r="H310" s="340"/>
      <c r="I310" s="340"/>
    </row>
    <row r="311" spans="1:9" s="369" customFormat="1">
      <c r="A311" s="344" t="s">
        <v>646</v>
      </c>
      <c r="B311" s="344">
        <v>180411</v>
      </c>
      <c r="C311" s="344"/>
      <c r="D311" s="344" t="s">
        <v>951</v>
      </c>
      <c r="E311" s="344" t="s">
        <v>879</v>
      </c>
      <c r="F311" s="5" t="s">
        <v>1062</v>
      </c>
      <c r="G311" s="344" t="s">
        <v>953</v>
      </c>
      <c r="H311" s="344"/>
      <c r="I311" s="344"/>
    </row>
    <row r="312" spans="1:9">
      <c r="A312" s="340" t="s">
        <v>652</v>
      </c>
      <c r="B312" s="340">
        <v>180412</v>
      </c>
      <c r="C312" s="340"/>
      <c r="D312" s="340" t="s">
        <v>1037</v>
      </c>
      <c r="E312" s="340" t="s">
        <v>952</v>
      </c>
      <c r="F312" s="341">
        <v>2605126039</v>
      </c>
      <c r="G312" s="340" t="s">
        <v>953</v>
      </c>
      <c r="H312" s="340"/>
      <c r="I312" s="340"/>
    </row>
    <row r="313" spans="1:9">
      <c r="A313" s="340" t="s">
        <v>652</v>
      </c>
      <c r="B313" s="340">
        <v>180412</v>
      </c>
      <c r="C313" s="340"/>
      <c r="D313" s="340" t="s">
        <v>954</v>
      </c>
      <c r="E313" s="340" t="s">
        <v>952</v>
      </c>
      <c r="F313" s="376" t="s">
        <v>1063</v>
      </c>
      <c r="G313" s="340" t="s">
        <v>953</v>
      </c>
      <c r="H313" s="340"/>
      <c r="I313" s="340"/>
    </row>
    <row r="314" spans="1:9" s="369" customFormat="1">
      <c r="A314" s="344" t="s">
        <v>652</v>
      </c>
      <c r="B314" s="344">
        <v>180412</v>
      </c>
      <c r="C314" s="344"/>
      <c r="D314" s="344" t="s">
        <v>951</v>
      </c>
      <c r="E314" s="344" t="s">
        <v>879</v>
      </c>
      <c r="F314" s="5" t="s">
        <v>1064</v>
      </c>
      <c r="G314" s="344" t="s">
        <v>953</v>
      </c>
      <c r="H314" s="344"/>
      <c r="I314" s="344"/>
    </row>
    <row r="315" spans="1:9">
      <c r="A315" s="340" t="s">
        <v>656</v>
      </c>
      <c r="B315" s="340">
        <v>180413</v>
      </c>
      <c r="C315" s="340"/>
      <c r="D315" s="340" t="s">
        <v>951</v>
      </c>
      <c r="E315" s="340" t="s">
        <v>952</v>
      </c>
      <c r="F315" s="341">
        <v>2605125430</v>
      </c>
      <c r="G315" s="340" t="s">
        <v>953</v>
      </c>
      <c r="H315" s="340"/>
      <c r="I315" s="340"/>
    </row>
    <row r="316" spans="1:9">
      <c r="A316" s="340" t="s">
        <v>656</v>
      </c>
      <c r="B316" s="340">
        <v>180413</v>
      </c>
      <c r="C316" s="340"/>
      <c r="D316" s="340" t="s">
        <v>954</v>
      </c>
      <c r="E316" s="340" t="s">
        <v>952</v>
      </c>
      <c r="F316" s="346">
        <v>2605127606</v>
      </c>
      <c r="G316" s="340" t="s">
        <v>953</v>
      </c>
      <c r="H316" s="340"/>
      <c r="I316" s="340"/>
    </row>
    <row r="317" spans="1:9">
      <c r="A317" s="340" t="s">
        <v>656</v>
      </c>
      <c r="B317" s="340">
        <v>180413</v>
      </c>
      <c r="C317" s="340"/>
      <c r="D317" s="340" t="s">
        <v>1037</v>
      </c>
      <c r="E317" s="340" t="s">
        <v>879</v>
      </c>
      <c r="F317" s="370" t="s">
        <v>1064</v>
      </c>
      <c r="G317" s="340" t="s">
        <v>953</v>
      </c>
      <c r="H317" s="340"/>
      <c r="I317" s="340"/>
    </row>
    <row r="318" spans="1:9" s="364" customFormat="1">
      <c r="A318" s="362" t="s">
        <v>658</v>
      </c>
      <c r="B318" s="362">
        <v>180418</v>
      </c>
      <c r="C318" s="362"/>
      <c r="D318" s="362" t="s">
        <v>951</v>
      </c>
      <c r="E318" s="362" t="s">
        <v>952</v>
      </c>
      <c r="F318" s="5">
        <v>2605125143</v>
      </c>
      <c r="G318" s="362" t="s">
        <v>953</v>
      </c>
      <c r="H318" s="362"/>
      <c r="I318" s="362"/>
    </row>
    <row r="319" spans="1:9">
      <c r="A319" s="340" t="s">
        <v>658</v>
      </c>
      <c r="B319" s="340">
        <v>180418</v>
      </c>
      <c r="C319" s="340"/>
      <c r="D319" s="340" t="s">
        <v>954</v>
      </c>
      <c r="E319" s="340" t="s">
        <v>952</v>
      </c>
      <c r="F319" s="345">
        <v>2605127578</v>
      </c>
      <c r="G319" s="340" t="s">
        <v>953</v>
      </c>
      <c r="H319" s="340"/>
      <c r="I319" s="340"/>
    </row>
    <row r="320" spans="1:9">
      <c r="A320" s="340" t="s">
        <v>658</v>
      </c>
      <c r="B320" s="340">
        <v>180418</v>
      </c>
      <c r="C320" s="340"/>
      <c r="D320" s="340" t="s">
        <v>951</v>
      </c>
      <c r="E320" s="340" t="s">
        <v>879</v>
      </c>
      <c r="F320" s="370" t="s">
        <v>1065</v>
      </c>
      <c r="G320" s="340" t="s">
        <v>953</v>
      </c>
      <c r="H320" s="340"/>
      <c r="I320" s="340"/>
    </row>
    <row r="321" spans="1:9" s="364" customFormat="1">
      <c r="A321" s="362" t="s">
        <v>664</v>
      </c>
      <c r="B321" s="362">
        <v>180419</v>
      </c>
      <c r="C321" s="362"/>
      <c r="D321" s="362" t="s">
        <v>951</v>
      </c>
      <c r="E321" s="362" t="s">
        <v>952</v>
      </c>
      <c r="F321" s="5">
        <v>2605126060</v>
      </c>
      <c r="G321" s="362" t="s">
        <v>953</v>
      </c>
      <c r="H321" s="362"/>
      <c r="I321" s="362"/>
    </row>
    <row r="322" spans="1:9">
      <c r="A322" s="340" t="s">
        <v>664</v>
      </c>
      <c r="B322" s="340">
        <v>180419</v>
      </c>
      <c r="C322" s="340"/>
      <c r="D322" s="340" t="s">
        <v>954</v>
      </c>
      <c r="E322" s="340" t="s">
        <v>952</v>
      </c>
      <c r="F322" s="345">
        <v>2605127612</v>
      </c>
      <c r="G322" s="340" t="s">
        <v>953</v>
      </c>
      <c r="H322" s="340"/>
      <c r="I322" s="340"/>
    </row>
    <row r="323" spans="1:9">
      <c r="A323" s="340" t="s">
        <v>664</v>
      </c>
      <c r="B323" s="340">
        <v>180419</v>
      </c>
      <c r="C323" s="340"/>
      <c r="D323" s="340" t="s">
        <v>951</v>
      </c>
      <c r="E323" s="340" t="s">
        <v>879</v>
      </c>
      <c r="F323" s="370" t="s">
        <v>1066</v>
      </c>
      <c r="G323" s="340" t="s">
        <v>953</v>
      </c>
      <c r="H323" s="340"/>
      <c r="I323" s="340"/>
    </row>
    <row r="324" spans="1:9" s="364" customFormat="1">
      <c r="A324" s="362" t="s">
        <v>670</v>
      </c>
      <c r="B324" s="362">
        <v>180420</v>
      </c>
      <c r="C324" s="362"/>
      <c r="D324" s="362" t="s">
        <v>951</v>
      </c>
      <c r="E324" s="362" t="s">
        <v>952</v>
      </c>
      <c r="F324" s="56">
        <v>2605129127</v>
      </c>
      <c r="G324" s="362" t="s">
        <v>953</v>
      </c>
      <c r="H324" s="362"/>
      <c r="I324" s="362"/>
    </row>
    <row r="325" spans="1:9">
      <c r="A325" s="362" t="s">
        <v>670</v>
      </c>
      <c r="B325" s="362">
        <v>180420</v>
      </c>
      <c r="C325" s="340"/>
      <c r="D325" s="340" t="s">
        <v>954</v>
      </c>
      <c r="E325" s="340" t="s">
        <v>952</v>
      </c>
      <c r="F325" s="483">
        <v>2605131528</v>
      </c>
      <c r="G325" s="340" t="s">
        <v>953</v>
      </c>
      <c r="H325" s="340"/>
      <c r="I325" s="340"/>
    </row>
    <row r="326" spans="1:9">
      <c r="A326" s="362" t="s">
        <v>670</v>
      </c>
      <c r="B326" s="362">
        <v>180420</v>
      </c>
      <c r="C326" s="340"/>
      <c r="D326" s="340" t="s">
        <v>951</v>
      </c>
      <c r="E326" s="340" t="s">
        <v>879</v>
      </c>
      <c r="F326" s="331"/>
      <c r="G326" s="340" t="s">
        <v>953</v>
      </c>
      <c r="H326" s="340"/>
      <c r="I326" s="340"/>
    </row>
    <row r="327" spans="1:9" s="364" customFormat="1">
      <c r="A327" s="362" t="s">
        <v>678</v>
      </c>
      <c r="B327" s="362">
        <v>180423</v>
      </c>
      <c r="C327" s="362"/>
      <c r="D327" s="362" t="s">
        <v>951</v>
      </c>
      <c r="E327" s="362" t="s">
        <v>952</v>
      </c>
      <c r="F327" s="56">
        <v>2605129274</v>
      </c>
      <c r="G327" s="362" t="s">
        <v>953</v>
      </c>
      <c r="H327" s="362"/>
      <c r="I327" s="362"/>
    </row>
    <row r="328" spans="1:9">
      <c r="A328" s="362" t="s">
        <v>678</v>
      </c>
      <c r="B328" s="362">
        <v>180423</v>
      </c>
      <c r="C328" s="340"/>
      <c r="D328" s="340" t="s">
        <v>954</v>
      </c>
      <c r="E328" s="340" t="s">
        <v>952</v>
      </c>
      <c r="F328" s="345">
        <v>2605131490</v>
      </c>
      <c r="G328" s="340" t="s">
        <v>953</v>
      </c>
      <c r="H328" s="340"/>
      <c r="I328" s="340"/>
    </row>
    <row r="329" spans="1:9">
      <c r="A329" s="362" t="s">
        <v>678</v>
      </c>
      <c r="B329" s="362">
        <v>180423</v>
      </c>
      <c r="C329" s="340"/>
      <c r="D329" s="340" t="s">
        <v>1037</v>
      </c>
      <c r="E329" s="340" t="s">
        <v>879</v>
      </c>
      <c r="F329" s="371"/>
      <c r="G329" s="340" t="s">
        <v>953</v>
      </c>
      <c r="H329" s="340"/>
      <c r="I329" s="340"/>
    </row>
    <row r="330" spans="1:9" s="364" customFormat="1">
      <c r="A330" s="362" t="s">
        <v>681</v>
      </c>
      <c r="B330" s="362">
        <v>180433</v>
      </c>
      <c r="C330" s="362"/>
      <c r="D330" s="362" t="s">
        <v>951</v>
      </c>
      <c r="E330" s="362" t="s">
        <v>952</v>
      </c>
      <c r="F330" s="5">
        <v>2605126161</v>
      </c>
      <c r="G330" s="362" t="s">
        <v>953</v>
      </c>
      <c r="H330" s="362"/>
      <c r="I330" s="362"/>
    </row>
    <row r="331" spans="1:9">
      <c r="A331" s="340" t="s">
        <v>681</v>
      </c>
      <c r="B331" s="340">
        <v>180433</v>
      </c>
      <c r="C331" s="340"/>
      <c r="D331" s="340" t="s">
        <v>954</v>
      </c>
      <c r="E331" s="340" t="s">
        <v>952</v>
      </c>
      <c r="F331" s="345">
        <v>2605127618</v>
      </c>
      <c r="G331" s="340" t="s">
        <v>953</v>
      </c>
      <c r="H331" s="340"/>
      <c r="I331" s="340"/>
    </row>
    <row r="332" spans="1:9">
      <c r="A332" s="340" t="s">
        <v>681</v>
      </c>
      <c r="B332" s="340">
        <v>180433</v>
      </c>
      <c r="C332" s="340"/>
      <c r="D332" s="340" t="s">
        <v>951</v>
      </c>
      <c r="E332" s="340" t="s">
        <v>879</v>
      </c>
      <c r="F332" s="370" t="s">
        <v>1067</v>
      </c>
      <c r="G332" s="340" t="s">
        <v>953</v>
      </c>
      <c r="H332" s="340"/>
      <c r="I332" s="340"/>
    </row>
    <row r="333" spans="1:9" s="364" customFormat="1">
      <c r="A333" s="362" t="s">
        <v>688</v>
      </c>
      <c r="B333" s="362">
        <v>180436</v>
      </c>
      <c r="C333" s="362"/>
      <c r="D333" s="362" t="s">
        <v>951</v>
      </c>
      <c r="E333" s="362" t="s">
        <v>952</v>
      </c>
      <c r="F333" s="5">
        <v>2605126884</v>
      </c>
      <c r="G333" s="362" t="s">
        <v>953</v>
      </c>
      <c r="H333" s="362"/>
      <c r="I333" s="362"/>
    </row>
    <row r="334" spans="1:9">
      <c r="A334" s="340" t="s">
        <v>688</v>
      </c>
      <c r="B334" s="340">
        <v>180436</v>
      </c>
      <c r="C334" s="340"/>
      <c r="D334" s="340" t="s">
        <v>954</v>
      </c>
      <c r="E334" s="340" t="s">
        <v>952</v>
      </c>
      <c r="F334" s="345">
        <v>2605128497</v>
      </c>
      <c r="G334" s="340" t="s">
        <v>953</v>
      </c>
      <c r="H334" s="340"/>
      <c r="I334" s="340"/>
    </row>
    <row r="335" spans="1:9">
      <c r="A335" s="340" t="s">
        <v>688</v>
      </c>
      <c r="B335" s="340">
        <v>180436</v>
      </c>
      <c r="C335" s="340"/>
      <c r="D335" s="340" t="s">
        <v>951</v>
      </c>
      <c r="E335" s="340" t="s">
        <v>879</v>
      </c>
      <c r="F335" s="370" t="s">
        <v>1068</v>
      </c>
      <c r="G335" s="340" t="s">
        <v>953</v>
      </c>
      <c r="H335" s="340"/>
      <c r="I335" s="340"/>
    </row>
    <row r="336" spans="1:9" s="364" customFormat="1">
      <c r="A336" s="362" t="s">
        <v>694</v>
      </c>
      <c r="B336" s="362">
        <v>180438</v>
      </c>
      <c r="C336" s="362"/>
      <c r="D336" s="362" t="s">
        <v>951</v>
      </c>
      <c r="E336" s="362" t="s">
        <v>952</v>
      </c>
      <c r="F336" s="5">
        <v>2605127561</v>
      </c>
      <c r="G336" s="362" t="s">
        <v>953</v>
      </c>
      <c r="H336" s="362"/>
      <c r="I336" s="362"/>
    </row>
    <row r="337" spans="1:9">
      <c r="A337" s="340" t="s">
        <v>694</v>
      </c>
      <c r="B337" s="340">
        <v>180438</v>
      </c>
      <c r="C337" s="340"/>
      <c r="D337" s="340" t="s">
        <v>954</v>
      </c>
      <c r="E337" s="340" t="s">
        <v>952</v>
      </c>
      <c r="F337" s="484">
        <v>2605128846</v>
      </c>
      <c r="G337" s="340" t="s">
        <v>953</v>
      </c>
      <c r="H337" s="340"/>
      <c r="I337" s="340"/>
    </row>
    <row r="338" spans="1:9">
      <c r="A338" s="340" t="s">
        <v>694</v>
      </c>
      <c r="B338" s="340">
        <v>180438</v>
      </c>
      <c r="C338" s="340"/>
      <c r="D338" s="340" t="s">
        <v>1037</v>
      </c>
      <c r="E338" s="340" t="s">
        <v>879</v>
      </c>
      <c r="F338" s="5" t="s">
        <v>1069</v>
      </c>
      <c r="G338" s="340" t="s">
        <v>953</v>
      </c>
      <c r="H338" s="340"/>
      <c r="I338" s="340"/>
    </row>
    <row r="339" spans="1:9" s="364" customFormat="1">
      <c r="A339" s="362" t="s">
        <v>701</v>
      </c>
      <c r="B339" s="362">
        <v>180441</v>
      </c>
      <c r="C339" s="362"/>
      <c r="D339" s="362" t="s">
        <v>951</v>
      </c>
      <c r="E339" s="362" t="s">
        <v>952</v>
      </c>
      <c r="F339" s="5">
        <v>2605127669</v>
      </c>
      <c r="G339" s="362" t="s">
        <v>953</v>
      </c>
      <c r="H339" s="362"/>
      <c r="I339" s="362"/>
    </row>
    <row r="340" spans="1:9">
      <c r="A340" s="340" t="s">
        <v>701</v>
      </c>
      <c r="B340" s="340">
        <v>180441</v>
      </c>
      <c r="C340" s="340"/>
      <c r="D340" s="340" t="s">
        <v>954</v>
      </c>
      <c r="E340" s="340" t="s">
        <v>952</v>
      </c>
      <c r="F340" s="345">
        <v>2605128299</v>
      </c>
      <c r="G340" s="340" t="s">
        <v>953</v>
      </c>
      <c r="H340" s="340"/>
      <c r="I340" s="340"/>
    </row>
    <row r="341" spans="1:9">
      <c r="A341" s="340" t="s">
        <v>701</v>
      </c>
      <c r="B341" s="340">
        <v>180441</v>
      </c>
      <c r="C341" s="340"/>
      <c r="D341" s="340" t="s">
        <v>951</v>
      </c>
      <c r="E341" s="340" t="s">
        <v>879</v>
      </c>
      <c r="F341" s="370" t="s">
        <v>1070</v>
      </c>
      <c r="G341" s="340" t="s">
        <v>953</v>
      </c>
      <c r="H341" s="340"/>
      <c r="I341" s="340"/>
    </row>
    <row r="342" spans="1:9" s="364" customFormat="1">
      <c r="A342" s="362" t="s">
        <v>707</v>
      </c>
      <c r="B342" s="362">
        <v>180450</v>
      </c>
      <c r="C342" s="362"/>
      <c r="D342" s="362" t="s">
        <v>951</v>
      </c>
      <c r="E342" s="362" t="s">
        <v>952</v>
      </c>
      <c r="F342" s="331">
        <v>2605126627</v>
      </c>
      <c r="G342" s="362" t="s">
        <v>953</v>
      </c>
      <c r="H342" s="362"/>
      <c r="I342" s="362"/>
    </row>
    <row r="343" spans="1:9">
      <c r="A343" s="340" t="s">
        <v>707</v>
      </c>
      <c r="B343" s="340">
        <v>180450</v>
      </c>
      <c r="C343" s="340"/>
      <c r="D343" s="340" t="s">
        <v>954</v>
      </c>
      <c r="E343" s="340" t="s">
        <v>952</v>
      </c>
      <c r="F343" s="342">
        <v>2605127636</v>
      </c>
      <c r="G343" s="340" t="s">
        <v>953</v>
      </c>
      <c r="H343" s="340"/>
      <c r="I343" s="340"/>
    </row>
    <row r="344" spans="1:9">
      <c r="A344" s="340" t="s">
        <v>707</v>
      </c>
      <c r="B344" s="340">
        <v>180450</v>
      </c>
      <c r="C344" s="340"/>
      <c r="D344" s="340" t="s">
        <v>951</v>
      </c>
      <c r="E344" s="340" t="s">
        <v>879</v>
      </c>
      <c r="F344" s="370" t="s">
        <v>1071</v>
      </c>
      <c r="G344" s="340" t="s">
        <v>953</v>
      </c>
      <c r="H344" s="340"/>
      <c r="I344" s="340"/>
    </row>
    <row r="345" spans="1:9" s="364" customFormat="1">
      <c r="A345" s="362" t="s">
        <v>713</v>
      </c>
      <c r="B345" s="362">
        <v>180456</v>
      </c>
      <c r="C345" s="362"/>
      <c r="D345" s="362" t="s">
        <v>951</v>
      </c>
      <c r="E345" s="362" t="s">
        <v>952</v>
      </c>
      <c r="F345" s="56">
        <v>2605130145</v>
      </c>
      <c r="G345" s="362" t="s">
        <v>953</v>
      </c>
      <c r="H345" s="362"/>
      <c r="I345" s="362"/>
    </row>
    <row r="346" spans="1:9">
      <c r="A346" s="340" t="s">
        <v>713</v>
      </c>
      <c r="B346" s="340">
        <v>180456</v>
      </c>
      <c r="C346" s="340"/>
      <c r="D346" s="340" t="s">
        <v>954</v>
      </c>
      <c r="E346" s="340" t="s">
        <v>952</v>
      </c>
      <c r="F346" s="12">
        <v>2605131440</v>
      </c>
      <c r="G346" s="340" t="s">
        <v>953</v>
      </c>
      <c r="H346" s="340"/>
      <c r="I346" s="340"/>
    </row>
    <row r="347" spans="1:9" s="369" customFormat="1">
      <c r="A347" s="344" t="s">
        <v>713</v>
      </c>
      <c r="B347" s="344">
        <v>180456</v>
      </c>
      <c r="C347" s="344"/>
      <c r="D347" s="344" t="s">
        <v>1037</v>
      </c>
      <c r="E347" s="344" t="s">
        <v>879</v>
      </c>
      <c r="F347" s="56" t="s">
        <v>1072</v>
      </c>
      <c r="G347" s="344" t="s">
        <v>953</v>
      </c>
      <c r="H347" s="344"/>
      <c r="I347" s="344"/>
    </row>
    <row r="348" spans="1:9">
      <c r="A348" s="340" t="s">
        <v>715</v>
      </c>
      <c r="B348" s="340">
        <v>180457</v>
      </c>
      <c r="C348" s="340"/>
      <c r="D348" s="340" t="s">
        <v>951</v>
      </c>
      <c r="E348" s="340" t="s">
        <v>952</v>
      </c>
      <c r="F348" s="341">
        <v>2605127563</v>
      </c>
      <c r="G348" s="340" t="s">
        <v>953</v>
      </c>
      <c r="H348" s="340"/>
      <c r="I348" s="340"/>
    </row>
    <row r="349" spans="1:9">
      <c r="A349" s="340" t="s">
        <v>715</v>
      </c>
      <c r="B349" s="340">
        <v>180457</v>
      </c>
      <c r="C349" s="340"/>
      <c r="D349" s="340" t="s">
        <v>954</v>
      </c>
      <c r="E349" s="340" t="s">
        <v>952</v>
      </c>
      <c r="F349" s="345">
        <v>2605128767</v>
      </c>
      <c r="G349" s="340" t="s">
        <v>953</v>
      </c>
      <c r="H349" s="340"/>
      <c r="I349" s="340"/>
    </row>
    <row r="350" spans="1:9">
      <c r="A350" s="340" t="s">
        <v>715</v>
      </c>
      <c r="B350" s="340">
        <v>180457</v>
      </c>
      <c r="C350" s="340"/>
      <c r="D350" s="340" t="s">
        <v>951</v>
      </c>
      <c r="E350" s="340" t="s">
        <v>879</v>
      </c>
      <c r="F350" s="370" t="s">
        <v>1073</v>
      </c>
      <c r="G350" s="340" t="s">
        <v>953</v>
      </c>
      <c r="H350" s="340"/>
      <c r="I350" s="340"/>
    </row>
    <row r="351" spans="1:9" s="364" customFormat="1">
      <c r="A351" s="362" t="s">
        <v>719</v>
      </c>
      <c r="B351" s="362">
        <v>180458</v>
      </c>
      <c r="C351" s="362"/>
      <c r="D351" s="362" t="s">
        <v>951</v>
      </c>
      <c r="E351" s="362" t="s">
        <v>952</v>
      </c>
      <c r="F351" s="331">
        <v>2605128458</v>
      </c>
      <c r="G351" s="362" t="s">
        <v>953</v>
      </c>
      <c r="H351" s="362"/>
      <c r="I351" s="362"/>
    </row>
    <row r="352" spans="1:9">
      <c r="A352" s="340" t="s">
        <v>719</v>
      </c>
      <c r="B352" s="340">
        <v>180458</v>
      </c>
      <c r="C352" s="340"/>
      <c r="D352" s="340" t="s">
        <v>954</v>
      </c>
      <c r="E352" s="340" t="s">
        <v>952</v>
      </c>
      <c r="F352" s="407">
        <v>2605130635</v>
      </c>
      <c r="G352" s="340" t="s">
        <v>953</v>
      </c>
      <c r="H352" s="340"/>
      <c r="I352" s="340"/>
    </row>
    <row r="353" spans="1:9">
      <c r="A353" s="340" t="s">
        <v>719</v>
      </c>
      <c r="B353" s="340">
        <v>180458</v>
      </c>
      <c r="C353" s="340"/>
      <c r="D353" s="340" t="s">
        <v>1037</v>
      </c>
      <c r="E353" s="340" t="s">
        <v>879</v>
      </c>
      <c r="F353" s="341" t="s">
        <v>1074</v>
      </c>
      <c r="G353" s="340" t="s">
        <v>953</v>
      </c>
      <c r="H353" s="340"/>
      <c r="I353" s="340"/>
    </row>
    <row r="354" spans="1:9" s="364" customFormat="1">
      <c r="A354" s="362" t="s">
        <v>726</v>
      </c>
      <c r="B354" s="362">
        <v>180462</v>
      </c>
      <c r="C354" s="362"/>
      <c r="D354" s="362" t="s">
        <v>951</v>
      </c>
      <c r="E354" s="362" t="s">
        <v>952</v>
      </c>
      <c r="F354" s="5">
        <v>2605126952</v>
      </c>
      <c r="G354" s="362" t="s">
        <v>953</v>
      </c>
      <c r="H354" s="362"/>
      <c r="I354" s="362"/>
    </row>
    <row r="355" spans="1:9">
      <c r="A355" s="340" t="s">
        <v>726</v>
      </c>
      <c r="B355" s="340">
        <v>180462</v>
      </c>
      <c r="C355" s="340"/>
      <c r="D355" s="340" t="s">
        <v>954</v>
      </c>
      <c r="E355" s="340" t="s">
        <v>952</v>
      </c>
      <c r="F355" s="345">
        <v>2605127639</v>
      </c>
      <c r="G355" s="340" t="s">
        <v>953</v>
      </c>
      <c r="H355" s="340"/>
      <c r="I355" s="340"/>
    </row>
    <row r="356" spans="1:9">
      <c r="A356" s="340" t="s">
        <v>726</v>
      </c>
      <c r="B356" s="340">
        <v>180462</v>
      </c>
      <c r="C356" s="340"/>
      <c r="D356" s="340" t="s">
        <v>951</v>
      </c>
      <c r="E356" s="340" t="s">
        <v>879</v>
      </c>
      <c r="F356" s="370" t="s">
        <v>1075</v>
      </c>
      <c r="G356" s="340" t="s">
        <v>953</v>
      </c>
      <c r="H356" s="340"/>
      <c r="I356" s="340"/>
    </row>
    <row r="357" spans="1:9" s="364" customFormat="1">
      <c r="A357" s="362" t="s">
        <v>739</v>
      </c>
      <c r="B357" s="362">
        <v>180465</v>
      </c>
      <c r="C357" s="362"/>
      <c r="D357" s="362" t="s">
        <v>951</v>
      </c>
      <c r="E357" s="362" t="s">
        <v>952</v>
      </c>
      <c r="F357" s="5">
        <v>2605127649</v>
      </c>
      <c r="G357" s="362" t="s">
        <v>953</v>
      </c>
      <c r="H357" s="362"/>
      <c r="I357" s="362"/>
    </row>
    <row r="358" spans="1:9">
      <c r="A358" s="340" t="s">
        <v>739</v>
      </c>
      <c r="B358" s="340">
        <v>180465</v>
      </c>
      <c r="C358" s="340"/>
      <c r="D358" s="340" t="s">
        <v>954</v>
      </c>
      <c r="E358" s="340" t="s">
        <v>952</v>
      </c>
      <c r="F358" s="345">
        <v>2605128399</v>
      </c>
      <c r="G358" s="340" t="s">
        <v>953</v>
      </c>
      <c r="H358" s="340"/>
      <c r="I358" s="340"/>
    </row>
    <row r="359" spans="1:9">
      <c r="A359" s="340" t="s">
        <v>739</v>
      </c>
      <c r="B359" s="340">
        <v>180465</v>
      </c>
      <c r="C359" s="340"/>
      <c r="D359" s="340" t="s">
        <v>951</v>
      </c>
      <c r="E359" s="340" t="s">
        <v>879</v>
      </c>
      <c r="F359" s="370" t="s">
        <v>1076</v>
      </c>
      <c r="G359" s="340" t="s">
        <v>953</v>
      </c>
      <c r="H359" s="340"/>
      <c r="I359" s="340"/>
    </row>
    <row r="360" spans="1:9" s="364" customFormat="1">
      <c r="A360" s="362" t="s">
        <v>1077</v>
      </c>
      <c r="B360" s="362">
        <v>180466</v>
      </c>
      <c r="C360" s="362"/>
      <c r="D360" s="362" t="s">
        <v>951</v>
      </c>
      <c r="E360" s="362" t="s">
        <v>952</v>
      </c>
      <c r="F360" s="331">
        <v>2605129781</v>
      </c>
      <c r="G360" s="362" t="s">
        <v>953</v>
      </c>
      <c r="H360" s="362"/>
      <c r="I360" s="362"/>
    </row>
    <row r="361" spans="1:9">
      <c r="A361" s="340" t="s">
        <v>1077</v>
      </c>
      <c r="B361" s="340">
        <v>180466</v>
      </c>
      <c r="C361" s="340"/>
      <c r="D361" s="340" t="s">
        <v>954</v>
      </c>
      <c r="E361" s="340" t="s">
        <v>952</v>
      </c>
      <c r="F361" s="407">
        <v>2605130642</v>
      </c>
      <c r="G361" s="362" t="s">
        <v>953</v>
      </c>
      <c r="H361" s="340"/>
      <c r="I361" s="340"/>
    </row>
    <row r="362" spans="1:9">
      <c r="A362" s="344" t="s">
        <v>1077</v>
      </c>
      <c r="B362" s="344">
        <v>180466</v>
      </c>
      <c r="C362" s="340"/>
      <c r="D362" s="340" t="s">
        <v>1037</v>
      </c>
      <c r="E362" s="340" t="s">
        <v>879</v>
      </c>
      <c r="F362" s="380" t="s">
        <v>1078</v>
      </c>
      <c r="G362" s="362" t="s">
        <v>953</v>
      </c>
      <c r="H362" s="340"/>
      <c r="I362" s="340"/>
    </row>
    <row r="363" spans="1:9" s="364" customFormat="1">
      <c r="A363" s="340" t="s">
        <v>1079</v>
      </c>
      <c r="B363" s="340">
        <v>180472</v>
      </c>
      <c r="C363" s="362"/>
      <c r="D363" s="362" t="s">
        <v>951</v>
      </c>
      <c r="E363" s="362" t="s">
        <v>952</v>
      </c>
      <c r="F363" s="5">
        <v>2605127293</v>
      </c>
      <c r="G363" s="362" t="s">
        <v>953</v>
      </c>
      <c r="H363" s="362"/>
      <c r="I363" s="362"/>
    </row>
    <row r="364" spans="1:9">
      <c r="A364" s="340" t="s">
        <v>1079</v>
      </c>
      <c r="B364" s="340">
        <v>180472</v>
      </c>
      <c r="C364" s="340"/>
      <c r="D364" s="340" t="s">
        <v>954</v>
      </c>
      <c r="E364" s="340" t="s">
        <v>952</v>
      </c>
      <c r="F364" s="345">
        <v>2605128271</v>
      </c>
      <c r="G364" s="340" t="s">
        <v>953</v>
      </c>
      <c r="H364" s="340"/>
      <c r="I364" s="340"/>
    </row>
    <row r="365" spans="1:9" ht="13.5" customHeight="1">
      <c r="A365" s="340" t="s">
        <v>1079</v>
      </c>
      <c r="B365" s="340">
        <v>180472</v>
      </c>
      <c r="C365" s="340"/>
      <c r="D365" s="340" t="s">
        <v>951</v>
      </c>
      <c r="E365" s="340" t="s">
        <v>879</v>
      </c>
      <c r="F365" s="370" t="s">
        <v>1080</v>
      </c>
      <c r="G365" s="340" t="s">
        <v>953</v>
      </c>
      <c r="H365" s="340"/>
      <c r="I365" s="340"/>
    </row>
    <row r="366" spans="1:9" s="364" customFormat="1" ht="15.75" customHeight="1">
      <c r="A366" s="362" t="s">
        <v>758</v>
      </c>
      <c r="B366" s="362">
        <v>180475</v>
      </c>
      <c r="C366" s="362"/>
      <c r="D366" s="362" t="s">
        <v>1037</v>
      </c>
      <c r="E366" s="362" t="s">
        <v>952</v>
      </c>
      <c r="F366" s="378">
        <v>2605132151</v>
      </c>
      <c r="G366" s="362" t="s">
        <v>953</v>
      </c>
      <c r="H366" s="362" t="s">
        <v>399</v>
      </c>
      <c r="I366" s="362"/>
    </row>
    <row r="367" spans="1:9" ht="15.75" customHeight="1">
      <c r="A367" s="340" t="s">
        <v>758</v>
      </c>
      <c r="B367" s="340">
        <v>180475</v>
      </c>
      <c r="C367" s="340"/>
      <c r="D367" s="340" t="s">
        <v>954</v>
      </c>
      <c r="E367" s="340" t="s">
        <v>952</v>
      </c>
      <c r="F367" s="341"/>
      <c r="G367" s="340" t="s">
        <v>953</v>
      </c>
      <c r="H367" s="340"/>
      <c r="I367" s="340"/>
    </row>
    <row r="368" spans="1:9" ht="15.75" customHeight="1">
      <c r="A368" s="344" t="s">
        <v>758</v>
      </c>
      <c r="B368" s="340">
        <v>180475</v>
      </c>
      <c r="C368" s="340"/>
      <c r="D368" s="340" t="s">
        <v>1037</v>
      </c>
      <c r="E368" s="340" t="s">
        <v>879</v>
      </c>
      <c r="F368" s="370"/>
      <c r="G368" s="340" t="s">
        <v>953</v>
      </c>
      <c r="H368" s="340"/>
      <c r="I368" s="340"/>
    </row>
    <row r="369" spans="1:9" s="364" customFormat="1">
      <c r="A369" s="340" t="s">
        <v>764</v>
      </c>
      <c r="B369" s="362">
        <v>180481</v>
      </c>
      <c r="C369" s="362"/>
      <c r="D369" s="362" t="s">
        <v>951</v>
      </c>
      <c r="E369" s="362" t="s">
        <v>952</v>
      </c>
      <c r="F369" s="5">
        <v>2605127654</v>
      </c>
      <c r="G369" s="362" t="s">
        <v>953</v>
      </c>
      <c r="H369" s="362"/>
      <c r="I369" s="362"/>
    </row>
    <row r="370" spans="1:9">
      <c r="A370" s="340" t="s">
        <v>764</v>
      </c>
      <c r="B370" s="340">
        <v>180481</v>
      </c>
      <c r="C370" s="340"/>
      <c r="D370" s="340" t="s">
        <v>954</v>
      </c>
      <c r="E370" s="340" t="s">
        <v>952</v>
      </c>
      <c r="F370" s="345">
        <v>2605128296</v>
      </c>
      <c r="G370" s="340" t="s">
        <v>953</v>
      </c>
      <c r="H370" s="340"/>
      <c r="I370" s="340"/>
    </row>
    <row r="371" spans="1:9">
      <c r="A371" s="340" t="s">
        <v>764</v>
      </c>
      <c r="B371" s="340">
        <v>180481</v>
      </c>
      <c r="C371" s="340"/>
      <c r="D371" s="340" t="s">
        <v>951</v>
      </c>
      <c r="E371" s="340" t="s">
        <v>879</v>
      </c>
      <c r="F371" s="370" t="s">
        <v>1081</v>
      </c>
      <c r="G371" s="340" t="s">
        <v>953</v>
      </c>
      <c r="H371" s="340"/>
      <c r="I371" s="340"/>
    </row>
    <row r="372" spans="1:9" s="364" customFormat="1">
      <c r="A372" s="362" t="s">
        <v>770</v>
      </c>
      <c r="B372" s="362">
        <v>180496</v>
      </c>
      <c r="C372" s="362"/>
      <c r="D372" s="362" t="s">
        <v>1037</v>
      </c>
      <c r="E372" s="362" t="s">
        <v>952</v>
      </c>
      <c r="F372" s="5"/>
      <c r="G372" s="362" t="s">
        <v>953</v>
      </c>
      <c r="H372" s="362"/>
      <c r="I372" s="362"/>
    </row>
    <row r="373" spans="1:9">
      <c r="A373" s="340" t="s">
        <v>770</v>
      </c>
      <c r="B373" s="340">
        <v>180496</v>
      </c>
      <c r="C373" s="340"/>
      <c r="D373" s="340" t="s">
        <v>954</v>
      </c>
      <c r="E373" s="340" t="s">
        <v>952</v>
      </c>
      <c r="F373" s="5"/>
      <c r="G373" s="362" t="s">
        <v>953</v>
      </c>
      <c r="H373" s="340"/>
      <c r="I373" s="340"/>
    </row>
    <row r="374" spans="1:9">
      <c r="A374" s="344" t="s">
        <v>770</v>
      </c>
      <c r="B374" s="340">
        <v>180496</v>
      </c>
      <c r="C374" s="340"/>
      <c r="D374" s="340" t="s">
        <v>1037</v>
      </c>
      <c r="E374" s="340" t="s">
        <v>879</v>
      </c>
      <c r="F374" s="370"/>
      <c r="G374" s="362" t="s">
        <v>953</v>
      </c>
      <c r="H374" s="340"/>
      <c r="I374" s="340"/>
    </row>
    <row r="375" spans="1:9" s="364" customFormat="1">
      <c r="A375" s="340" t="s">
        <v>772</v>
      </c>
      <c r="B375" s="362">
        <v>180497</v>
      </c>
      <c r="C375" s="362"/>
      <c r="D375" s="362" t="s">
        <v>1037</v>
      </c>
      <c r="E375" s="362" t="s">
        <v>952</v>
      </c>
      <c r="F375" s="327">
        <v>2605128791</v>
      </c>
      <c r="G375" s="375" t="s">
        <v>953</v>
      </c>
      <c r="H375" s="362"/>
      <c r="I375" s="362"/>
    </row>
    <row r="376" spans="1:9">
      <c r="A376" s="340" t="s">
        <v>772</v>
      </c>
      <c r="B376" s="340">
        <v>180497</v>
      </c>
      <c r="C376" s="340"/>
      <c r="D376" s="340" t="s">
        <v>954</v>
      </c>
      <c r="E376" s="340" t="s">
        <v>952</v>
      </c>
      <c r="F376" s="374">
        <v>2605131067</v>
      </c>
      <c r="G376" s="340" t="s">
        <v>953</v>
      </c>
      <c r="H376" s="340"/>
      <c r="I376" s="340"/>
    </row>
    <row r="377" spans="1:9">
      <c r="A377" s="340" t="s">
        <v>772</v>
      </c>
      <c r="B377" s="340">
        <v>180497</v>
      </c>
      <c r="C377" s="340"/>
      <c r="D377" s="340" t="s">
        <v>951</v>
      </c>
      <c r="E377" s="340" t="s">
        <v>879</v>
      </c>
      <c r="F377" s="370" t="s">
        <v>1082</v>
      </c>
      <c r="G377" s="340" t="s">
        <v>953</v>
      </c>
      <c r="H377" s="340"/>
      <c r="I377" s="340"/>
    </row>
    <row r="378" spans="1:9" s="364" customFormat="1">
      <c r="A378" s="362" t="s">
        <v>778</v>
      </c>
      <c r="B378" s="362">
        <v>180498</v>
      </c>
      <c r="C378" s="362"/>
      <c r="D378" s="362" t="s">
        <v>1037</v>
      </c>
      <c r="E378" s="362" t="s">
        <v>952</v>
      </c>
      <c r="F378" s="5"/>
      <c r="G378" s="362" t="s">
        <v>953</v>
      </c>
      <c r="H378" s="362"/>
      <c r="I378" s="362"/>
    </row>
    <row r="379" spans="1:9">
      <c r="A379" s="340" t="s">
        <v>778</v>
      </c>
      <c r="B379" s="340">
        <v>180498</v>
      </c>
      <c r="C379" s="340"/>
      <c r="D379" s="340" t="s">
        <v>954</v>
      </c>
      <c r="E379" s="340" t="s">
        <v>952</v>
      </c>
      <c r="F379" s="343"/>
      <c r="G379" s="340" t="s">
        <v>953</v>
      </c>
      <c r="H379" s="340"/>
      <c r="I379" s="340"/>
    </row>
    <row r="380" spans="1:9">
      <c r="A380" s="344" t="s">
        <v>778</v>
      </c>
      <c r="B380" s="340">
        <v>180498</v>
      </c>
      <c r="C380" s="340"/>
      <c r="D380" s="340" t="s">
        <v>1037</v>
      </c>
      <c r="E380" s="340" t="s">
        <v>879</v>
      </c>
      <c r="F380" s="343"/>
      <c r="G380" s="340" t="s">
        <v>953</v>
      </c>
      <c r="H380" s="340"/>
      <c r="I380" s="340"/>
    </row>
    <row r="381" spans="1:9" s="364" customFormat="1">
      <c r="A381" s="340" t="s">
        <v>784</v>
      </c>
      <c r="B381" s="362">
        <v>180500</v>
      </c>
      <c r="C381" s="362"/>
      <c r="D381" s="362" t="s">
        <v>1037</v>
      </c>
      <c r="E381" s="362" t="s">
        <v>952</v>
      </c>
      <c r="F381" s="5"/>
      <c r="G381" s="362" t="s">
        <v>953</v>
      </c>
      <c r="H381" s="362"/>
      <c r="I381" s="362"/>
    </row>
    <row r="382" spans="1:9">
      <c r="A382" s="340" t="s">
        <v>784</v>
      </c>
      <c r="B382" s="340">
        <v>180500</v>
      </c>
      <c r="C382" s="340"/>
      <c r="D382" s="340" t="s">
        <v>954</v>
      </c>
      <c r="E382" s="340" t="s">
        <v>952</v>
      </c>
      <c r="F382" s="5"/>
      <c r="G382" s="340" t="s">
        <v>953</v>
      </c>
      <c r="H382" s="340"/>
      <c r="I382" s="340"/>
    </row>
    <row r="383" spans="1:9">
      <c r="A383" s="340" t="s">
        <v>784</v>
      </c>
      <c r="B383" s="340">
        <v>180500</v>
      </c>
      <c r="C383" s="340"/>
      <c r="D383" s="340" t="s">
        <v>1037</v>
      </c>
      <c r="E383" s="340" t="s">
        <v>879</v>
      </c>
      <c r="F383" s="370"/>
      <c r="G383" s="340" t="s">
        <v>953</v>
      </c>
      <c r="H383" s="340"/>
      <c r="I383" s="340"/>
    </row>
    <row r="384" spans="1:9" s="364" customFormat="1">
      <c r="A384" s="362" t="s">
        <v>790</v>
      </c>
      <c r="B384" s="362">
        <v>180502</v>
      </c>
      <c r="C384" s="362"/>
      <c r="D384" s="362" t="s">
        <v>1037</v>
      </c>
      <c r="E384" s="362" t="s">
        <v>952</v>
      </c>
      <c r="F384" s="56">
        <v>2605130464</v>
      </c>
      <c r="G384" s="362" t="s">
        <v>953</v>
      </c>
      <c r="H384" s="362"/>
      <c r="I384" s="362"/>
    </row>
    <row r="385" spans="1:9">
      <c r="A385" s="340" t="s">
        <v>790</v>
      </c>
      <c r="B385" s="340">
        <v>180502</v>
      </c>
      <c r="C385" s="340"/>
      <c r="D385" s="340" t="s">
        <v>954</v>
      </c>
      <c r="E385" s="340" t="s">
        <v>952</v>
      </c>
      <c r="F385" s="377">
        <v>2605130648</v>
      </c>
      <c r="G385" s="362" t="s">
        <v>953</v>
      </c>
      <c r="H385" s="340"/>
      <c r="I385" s="340"/>
    </row>
    <row r="386" spans="1:9">
      <c r="A386" s="344" t="s">
        <v>790</v>
      </c>
      <c r="B386" s="340">
        <v>180502</v>
      </c>
      <c r="C386" s="340"/>
      <c r="D386" s="340" t="s">
        <v>1037</v>
      </c>
      <c r="E386" s="340" t="s">
        <v>879</v>
      </c>
      <c r="F386" s="331" t="s">
        <v>1083</v>
      </c>
      <c r="G386" s="362" t="s">
        <v>953</v>
      </c>
      <c r="H386" s="340"/>
      <c r="I386" s="340"/>
    </row>
    <row r="387" spans="1:9" s="364" customFormat="1">
      <c r="A387" s="340" t="s">
        <v>794</v>
      </c>
      <c r="B387" s="362">
        <v>180503</v>
      </c>
      <c r="C387" s="362"/>
      <c r="D387" s="362" t="s">
        <v>1037</v>
      </c>
      <c r="E387" s="362" t="s">
        <v>952</v>
      </c>
      <c r="F387" s="56">
        <v>2605128897</v>
      </c>
      <c r="G387" s="362" t="s">
        <v>953</v>
      </c>
      <c r="H387" s="362"/>
      <c r="I387" s="362"/>
    </row>
    <row r="388" spans="1:9">
      <c r="A388" s="340" t="s">
        <v>794</v>
      </c>
      <c r="B388" s="340">
        <v>180503</v>
      </c>
      <c r="C388" s="340"/>
      <c r="D388" s="340" t="s">
        <v>954</v>
      </c>
      <c r="E388" s="340" t="s">
        <v>952</v>
      </c>
      <c r="F388" s="374">
        <v>2605131119</v>
      </c>
      <c r="G388" s="340" t="s">
        <v>953</v>
      </c>
      <c r="H388" s="340"/>
      <c r="I388" s="340"/>
    </row>
    <row r="389" spans="1:9">
      <c r="A389" s="340" t="s">
        <v>794</v>
      </c>
      <c r="B389" s="340">
        <v>180503</v>
      </c>
      <c r="C389" s="340"/>
      <c r="D389" s="340" t="s">
        <v>1037</v>
      </c>
      <c r="E389" s="340" t="s">
        <v>879</v>
      </c>
      <c r="F389" s="5" t="s">
        <v>1084</v>
      </c>
      <c r="G389" s="340" t="s">
        <v>953</v>
      </c>
      <c r="H389" s="340"/>
      <c r="I389" s="340"/>
    </row>
    <row r="390" spans="1:9" s="364" customFormat="1">
      <c r="A390" s="362" t="s">
        <v>796</v>
      </c>
      <c r="B390" s="362">
        <v>180512</v>
      </c>
      <c r="C390" s="362"/>
      <c r="D390" s="362" t="s">
        <v>1037</v>
      </c>
      <c r="E390" s="362" t="s">
        <v>952</v>
      </c>
      <c r="F390" s="56">
        <v>2605127727</v>
      </c>
      <c r="G390" s="362" t="s">
        <v>953</v>
      </c>
      <c r="H390" s="362"/>
      <c r="I390" s="362"/>
    </row>
    <row r="391" spans="1:9">
      <c r="A391" s="340" t="s">
        <v>796</v>
      </c>
      <c r="B391" s="340">
        <v>180512</v>
      </c>
      <c r="C391" s="340"/>
      <c r="D391" s="340" t="s">
        <v>954</v>
      </c>
      <c r="E391" s="340" t="s">
        <v>952</v>
      </c>
      <c r="F391" s="2">
        <v>2605130670</v>
      </c>
      <c r="G391" s="340" t="s">
        <v>953</v>
      </c>
      <c r="H391" s="340"/>
      <c r="I391" s="340"/>
    </row>
    <row r="392" spans="1:9">
      <c r="A392" s="340" t="s">
        <v>796</v>
      </c>
      <c r="B392" s="340">
        <v>180512</v>
      </c>
      <c r="C392" s="340"/>
      <c r="D392" s="340" t="s">
        <v>951</v>
      </c>
      <c r="E392" s="340" t="s">
        <v>879</v>
      </c>
      <c r="F392" s="5" t="s">
        <v>1085</v>
      </c>
      <c r="G392" s="340" t="s">
        <v>953</v>
      </c>
      <c r="H392" s="340"/>
      <c r="I392" s="340"/>
    </row>
    <row r="393" spans="1:9" s="364" customFormat="1" ht="15.75" customHeight="1">
      <c r="A393" s="362" t="s">
        <v>801</v>
      </c>
      <c r="B393" s="363">
        <v>180522</v>
      </c>
      <c r="C393" s="362"/>
      <c r="D393" s="362" t="s">
        <v>951</v>
      </c>
      <c r="E393" s="362" t="s">
        <v>952</v>
      </c>
      <c r="F393" s="2"/>
      <c r="G393" s="362" t="s">
        <v>953</v>
      </c>
      <c r="H393" s="362"/>
      <c r="I393" s="362"/>
    </row>
    <row r="394" spans="1:9" ht="15.75" customHeight="1">
      <c r="A394" s="340" t="s">
        <v>1086</v>
      </c>
      <c r="B394" s="354">
        <v>180522</v>
      </c>
      <c r="C394" s="340"/>
      <c r="D394" s="340" t="s">
        <v>954</v>
      </c>
      <c r="E394" s="340" t="s">
        <v>952</v>
      </c>
      <c r="G394" s="340" t="s">
        <v>953</v>
      </c>
      <c r="H394" s="340"/>
      <c r="I394" s="340"/>
    </row>
    <row r="395" spans="1:9" ht="15.75" customHeight="1">
      <c r="A395" s="340" t="s">
        <v>1087</v>
      </c>
      <c r="B395" s="354">
        <v>180522</v>
      </c>
      <c r="C395" s="340"/>
      <c r="D395" s="340" t="s">
        <v>951</v>
      </c>
      <c r="E395" s="340" t="s">
        <v>879</v>
      </c>
      <c r="F395" s="12"/>
      <c r="G395" s="340" t="s">
        <v>953</v>
      </c>
      <c r="H395" s="340"/>
      <c r="I395" s="340"/>
    </row>
    <row r="396" spans="1:9" s="364" customFormat="1">
      <c r="A396" s="365" t="s">
        <v>807</v>
      </c>
      <c r="B396" s="363">
        <v>180523</v>
      </c>
      <c r="C396" s="362"/>
      <c r="D396" s="362" t="s">
        <v>951</v>
      </c>
      <c r="E396" s="362" t="s">
        <v>952</v>
      </c>
      <c r="F396" s="379">
        <v>2605131592</v>
      </c>
      <c r="G396" s="362" t="s">
        <v>953</v>
      </c>
      <c r="H396" s="366" t="s">
        <v>399</v>
      </c>
      <c r="I396" s="362"/>
    </row>
    <row r="397" spans="1:9">
      <c r="A397" s="355" t="s">
        <v>807</v>
      </c>
      <c r="B397" s="354">
        <v>180523</v>
      </c>
      <c r="C397" s="340"/>
      <c r="D397" s="340" t="s">
        <v>954</v>
      </c>
      <c r="E397" s="340" t="s">
        <v>952</v>
      </c>
      <c r="G397" s="340" t="s">
        <v>953</v>
      </c>
      <c r="H397" s="340"/>
      <c r="I397" s="340"/>
    </row>
    <row r="398" spans="1:9" s="369" customFormat="1">
      <c r="A398" s="368" t="s">
        <v>807</v>
      </c>
      <c r="B398" s="367">
        <v>180523</v>
      </c>
      <c r="C398" s="344"/>
      <c r="D398" s="344" t="s">
        <v>951</v>
      </c>
      <c r="E398" s="344" t="s">
        <v>879</v>
      </c>
      <c r="F398" s="56" t="s">
        <v>1088</v>
      </c>
      <c r="G398" s="344" t="s">
        <v>953</v>
      </c>
      <c r="H398" s="344"/>
      <c r="I398" s="344"/>
    </row>
    <row r="399" spans="1:9">
      <c r="A399" s="355" t="s">
        <v>813</v>
      </c>
      <c r="B399" s="354">
        <v>180525</v>
      </c>
      <c r="C399" s="340"/>
      <c r="D399" s="340" t="s">
        <v>951</v>
      </c>
      <c r="E399" s="340" t="s">
        <v>952</v>
      </c>
      <c r="F399" s="47"/>
      <c r="G399" s="340" t="s">
        <v>953</v>
      </c>
      <c r="H399" s="340"/>
      <c r="I399" s="340"/>
    </row>
    <row r="400" spans="1:9">
      <c r="A400" s="355" t="s">
        <v>813</v>
      </c>
      <c r="B400" s="354">
        <v>180525</v>
      </c>
      <c r="C400" s="340"/>
      <c r="D400" s="340" t="s">
        <v>954</v>
      </c>
      <c r="E400" s="340" t="s">
        <v>952</v>
      </c>
      <c r="G400" s="340" t="s">
        <v>953</v>
      </c>
      <c r="H400" s="340"/>
      <c r="I400" s="340"/>
    </row>
    <row r="401" spans="1:9">
      <c r="A401" s="355" t="s">
        <v>813</v>
      </c>
      <c r="B401" s="354">
        <v>180525</v>
      </c>
      <c r="C401" s="340"/>
      <c r="D401" s="340" t="s">
        <v>951</v>
      </c>
      <c r="E401" s="340" t="s">
        <v>879</v>
      </c>
      <c r="F401" s="12"/>
      <c r="G401" s="340" t="s">
        <v>953</v>
      </c>
      <c r="H401" s="340"/>
      <c r="I401" s="340"/>
    </row>
    <row r="402" spans="1:9" s="364" customFormat="1">
      <c r="A402" s="365" t="s">
        <v>819</v>
      </c>
      <c r="B402" s="363">
        <v>180526</v>
      </c>
      <c r="C402" s="362"/>
      <c r="D402" s="362" t="s">
        <v>1037</v>
      </c>
      <c r="E402" s="362" t="s">
        <v>952</v>
      </c>
      <c r="F402" s="2"/>
      <c r="G402" s="362" t="s">
        <v>953</v>
      </c>
      <c r="H402" s="362"/>
      <c r="I402" s="362"/>
    </row>
    <row r="403" spans="1:9">
      <c r="A403" s="355" t="s">
        <v>819</v>
      </c>
      <c r="B403" s="354">
        <v>180526</v>
      </c>
      <c r="C403" s="340"/>
      <c r="D403" s="340" t="s">
        <v>954</v>
      </c>
      <c r="E403" s="340" t="s">
        <v>952</v>
      </c>
      <c r="G403" s="340" t="s">
        <v>953</v>
      </c>
      <c r="H403" s="340"/>
      <c r="I403" s="340"/>
    </row>
    <row r="404" spans="1:9">
      <c r="A404" s="368" t="s">
        <v>819</v>
      </c>
      <c r="B404" s="354">
        <v>180526</v>
      </c>
      <c r="C404" s="340"/>
      <c r="D404" s="340" t="s">
        <v>1037</v>
      </c>
      <c r="E404" s="340" t="s">
        <v>879</v>
      </c>
      <c r="F404" s="12"/>
      <c r="G404" s="340" t="s">
        <v>953</v>
      </c>
      <c r="H404" s="340"/>
      <c r="I404" s="340"/>
    </row>
    <row r="405" spans="1:9" s="364" customFormat="1">
      <c r="A405" s="355" t="s">
        <v>826</v>
      </c>
      <c r="B405" s="363">
        <v>180536</v>
      </c>
      <c r="C405" s="362"/>
      <c r="D405" s="362" t="s">
        <v>951</v>
      </c>
      <c r="E405" s="362" t="s">
        <v>952</v>
      </c>
      <c r="F405" s="2"/>
      <c r="G405" s="362" t="s">
        <v>953</v>
      </c>
      <c r="H405" s="362"/>
      <c r="I405" s="362"/>
    </row>
    <row r="406" spans="1:9">
      <c r="A406" s="355" t="s">
        <v>826</v>
      </c>
      <c r="B406" s="354">
        <v>180536</v>
      </c>
      <c r="C406" s="340"/>
      <c r="D406" s="340" t="s">
        <v>954</v>
      </c>
      <c r="E406" s="340" t="s">
        <v>952</v>
      </c>
      <c r="G406" s="340" t="s">
        <v>953</v>
      </c>
      <c r="H406" s="340"/>
      <c r="I406" s="340"/>
    </row>
    <row r="407" spans="1:9">
      <c r="A407" s="355" t="s">
        <v>826</v>
      </c>
      <c r="B407" s="354">
        <v>180536</v>
      </c>
      <c r="C407" s="340"/>
      <c r="D407" s="340" t="s">
        <v>1037</v>
      </c>
      <c r="E407" s="340" t="s">
        <v>879</v>
      </c>
      <c r="F407" s="12"/>
      <c r="G407" s="340" t="s">
        <v>953</v>
      </c>
      <c r="H407" s="340"/>
      <c r="I407" s="340"/>
    </row>
    <row r="408" spans="1:9" s="364" customFormat="1">
      <c r="A408" s="365" t="s">
        <v>832</v>
      </c>
      <c r="B408" s="363">
        <v>180541</v>
      </c>
      <c r="C408" s="362"/>
      <c r="D408" s="362" t="s">
        <v>1037</v>
      </c>
      <c r="E408" s="362" t="s">
        <v>952</v>
      </c>
      <c r="F408" s="379">
        <v>2605132075</v>
      </c>
      <c r="G408" s="362" t="s">
        <v>953</v>
      </c>
      <c r="H408" s="362" t="s">
        <v>52</v>
      </c>
      <c r="I408" s="362"/>
    </row>
    <row r="409" spans="1:9">
      <c r="A409" s="355" t="s">
        <v>832</v>
      </c>
      <c r="B409" s="354">
        <v>180541</v>
      </c>
      <c r="C409" s="340"/>
      <c r="D409" s="340" t="s">
        <v>954</v>
      </c>
      <c r="E409" s="340" t="s">
        <v>952</v>
      </c>
      <c r="G409" s="340" t="s">
        <v>953</v>
      </c>
      <c r="H409" s="340"/>
      <c r="I409" s="340"/>
    </row>
    <row r="410" spans="1:9">
      <c r="A410" s="355" t="s">
        <v>832</v>
      </c>
      <c r="B410" s="354">
        <v>180541</v>
      </c>
      <c r="C410" s="340"/>
      <c r="D410" s="340" t="s">
        <v>1037</v>
      </c>
      <c r="E410" s="340" t="s">
        <v>879</v>
      </c>
      <c r="F410" s="331" t="s">
        <v>1089</v>
      </c>
      <c r="G410" s="340" t="s">
        <v>953</v>
      </c>
      <c r="H410" s="340"/>
      <c r="I410" s="340"/>
    </row>
    <row r="411" spans="1:9" s="364" customFormat="1">
      <c r="A411" s="365" t="s">
        <v>839</v>
      </c>
      <c r="B411" s="363">
        <v>180544</v>
      </c>
      <c r="C411" s="362"/>
      <c r="D411" s="362" t="s">
        <v>951</v>
      </c>
      <c r="E411" s="362" t="s">
        <v>952</v>
      </c>
      <c r="F411" s="379">
        <v>2605131931</v>
      </c>
      <c r="G411" s="362" t="s">
        <v>953</v>
      </c>
      <c r="H411" s="362" t="s">
        <v>52</v>
      </c>
      <c r="I411" s="362"/>
    </row>
    <row r="412" spans="1:9">
      <c r="A412" s="355" t="s">
        <v>839</v>
      </c>
      <c r="B412" s="354">
        <v>180544</v>
      </c>
      <c r="C412" s="340"/>
      <c r="D412" s="340" t="s">
        <v>954</v>
      </c>
      <c r="E412" s="340" t="s">
        <v>952</v>
      </c>
      <c r="G412" s="340" t="s">
        <v>953</v>
      </c>
      <c r="H412" s="340"/>
      <c r="I412" s="340"/>
    </row>
    <row r="413" spans="1:9">
      <c r="A413" s="355" t="s">
        <v>839</v>
      </c>
      <c r="B413" s="354">
        <v>180544</v>
      </c>
      <c r="C413" s="340"/>
      <c r="D413" s="340" t="s">
        <v>1037</v>
      </c>
      <c r="E413" s="340" t="s">
        <v>879</v>
      </c>
      <c r="F413" s="485" t="s">
        <v>1090</v>
      </c>
      <c r="G413" s="340" t="s">
        <v>953</v>
      </c>
      <c r="H413" s="340"/>
      <c r="I413" s="340"/>
    </row>
    <row r="414" spans="1:9" s="364" customFormat="1">
      <c r="A414" s="365" t="s">
        <v>841</v>
      </c>
      <c r="B414" s="363">
        <v>180545</v>
      </c>
      <c r="C414" s="362"/>
      <c r="D414" s="362" t="s">
        <v>1037</v>
      </c>
      <c r="E414" s="362" t="s">
        <v>952</v>
      </c>
      <c r="F414" s="2"/>
      <c r="G414" s="362" t="s">
        <v>953</v>
      </c>
      <c r="H414" s="362"/>
      <c r="I414" s="362"/>
    </row>
    <row r="415" spans="1:9">
      <c r="A415" s="355" t="s">
        <v>841</v>
      </c>
      <c r="B415" s="354">
        <v>180545</v>
      </c>
      <c r="C415" s="340"/>
      <c r="D415" s="340" t="s">
        <v>954</v>
      </c>
      <c r="E415" s="340" t="s">
        <v>952</v>
      </c>
      <c r="G415" s="340" t="s">
        <v>953</v>
      </c>
      <c r="H415" s="340"/>
      <c r="I415" s="340"/>
    </row>
    <row r="416" spans="1:9">
      <c r="A416" s="355" t="s">
        <v>841</v>
      </c>
      <c r="B416" s="354">
        <v>180545</v>
      </c>
      <c r="C416" s="340"/>
      <c r="D416" s="340" t="s">
        <v>1037</v>
      </c>
      <c r="E416" s="340" t="s">
        <v>879</v>
      </c>
      <c r="F416" s="12"/>
      <c r="G416" s="340" t="s">
        <v>953</v>
      </c>
      <c r="H416" s="340"/>
      <c r="I416" s="340"/>
    </row>
    <row r="417" spans="1:9">
      <c r="A417" s="365" t="s">
        <v>843</v>
      </c>
      <c r="B417" s="363">
        <v>180547</v>
      </c>
      <c r="C417" s="362"/>
      <c r="D417" s="362" t="s">
        <v>951</v>
      </c>
      <c r="E417" s="362" t="s">
        <v>952</v>
      </c>
      <c r="G417" s="362" t="s">
        <v>953</v>
      </c>
      <c r="H417" s="362"/>
      <c r="I417" s="362"/>
    </row>
    <row r="418" spans="1:9">
      <c r="A418" s="355" t="s">
        <v>843</v>
      </c>
      <c r="B418" s="354">
        <v>180547</v>
      </c>
      <c r="C418" s="340"/>
      <c r="D418" s="340" t="s">
        <v>954</v>
      </c>
      <c r="E418" s="340" t="s">
        <v>952</v>
      </c>
      <c r="G418" s="340" t="s">
        <v>953</v>
      </c>
      <c r="H418" s="340"/>
      <c r="I418" s="340"/>
    </row>
    <row r="419" spans="1:9">
      <c r="A419" s="355" t="s">
        <v>843</v>
      </c>
      <c r="B419" s="354">
        <v>180547</v>
      </c>
      <c r="C419" s="340"/>
      <c r="D419" s="340" t="s">
        <v>1037</v>
      </c>
      <c r="E419" s="340" t="s">
        <v>879</v>
      </c>
      <c r="F419" s="12"/>
      <c r="G419" s="340" t="s">
        <v>953</v>
      </c>
      <c r="H419" s="340"/>
      <c r="I419" s="340"/>
    </row>
    <row r="420" spans="1:9" s="364" customFormat="1">
      <c r="A420" s="365" t="s">
        <v>845</v>
      </c>
      <c r="B420" s="363">
        <v>180549</v>
      </c>
      <c r="C420" s="362"/>
      <c r="D420" s="362" t="s">
        <v>1037</v>
      </c>
      <c r="E420" s="362" t="s">
        <v>952</v>
      </c>
      <c r="F420" s="2"/>
      <c r="G420" s="362" t="s">
        <v>953</v>
      </c>
      <c r="H420" s="362"/>
      <c r="I420" s="362"/>
    </row>
    <row r="421" spans="1:9">
      <c r="A421" s="355" t="s">
        <v>845</v>
      </c>
      <c r="B421" s="354">
        <v>180549</v>
      </c>
      <c r="C421" s="340"/>
      <c r="D421" s="340" t="s">
        <v>954</v>
      </c>
      <c r="E421" s="340" t="s">
        <v>952</v>
      </c>
      <c r="G421" s="340" t="s">
        <v>953</v>
      </c>
      <c r="H421" s="340"/>
      <c r="I421" s="340"/>
    </row>
    <row r="422" spans="1:9">
      <c r="A422" s="368" t="s">
        <v>845</v>
      </c>
      <c r="B422" s="354">
        <v>180549</v>
      </c>
      <c r="C422" s="340"/>
      <c r="D422" s="340" t="s">
        <v>1037</v>
      </c>
      <c r="E422" s="340" t="s">
        <v>879</v>
      </c>
      <c r="F422" s="12"/>
      <c r="G422" s="340" t="s">
        <v>953</v>
      </c>
      <c r="H422" s="340"/>
      <c r="I422" s="340"/>
    </row>
    <row r="423" spans="1:9" s="364" customFormat="1">
      <c r="A423" s="355" t="s">
        <v>847</v>
      </c>
      <c r="B423" s="363">
        <v>180550</v>
      </c>
      <c r="C423" s="362"/>
      <c r="D423" s="362" t="s">
        <v>951</v>
      </c>
      <c r="E423" s="362" t="s">
        <v>952</v>
      </c>
      <c r="F423" s="379">
        <v>2605132366</v>
      </c>
      <c r="G423" s="362" t="s">
        <v>953</v>
      </c>
      <c r="H423" s="362"/>
      <c r="I423" s="362"/>
    </row>
    <row r="424" spans="1:9">
      <c r="A424" s="355" t="s">
        <v>847</v>
      </c>
      <c r="B424" s="354">
        <v>180550</v>
      </c>
      <c r="C424" s="340"/>
      <c r="D424" s="340" t="s">
        <v>954</v>
      </c>
      <c r="E424" s="340" t="s">
        <v>952</v>
      </c>
      <c r="G424" s="340" t="s">
        <v>953</v>
      </c>
      <c r="H424" s="340"/>
      <c r="I424" s="340"/>
    </row>
    <row r="425" spans="1:9">
      <c r="A425" s="355" t="s">
        <v>847</v>
      </c>
      <c r="B425" s="354">
        <v>180550</v>
      </c>
      <c r="C425" s="340"/>
      <c r="D425" s="340" t="s">
        <v>1037</v>
      </c>
      <c r="E425" s="340" t="s">
        <v>879</v>
      </c>
      <c r="F425" s="370" t="s">
        <v>1091</v>
      </c>
      <c r="G425" s="340" t="s">
        <v>953</v>
      </c>
      <c r="H425" s="340"/>
      <c r="I425" s="340"/>
    </row>
    <row r="426" spans="1:9" s="364" customFormat="1">
      <c r="A426" s="365" t="s">
        <v>849</v>
      </c>
      <c r="B426" s="363">
        <v>180551</v>
      </c>
      <c r="C426" s="362"/>
      <c r="D426" s="362" t="s">
        <v>1037</v>
      </c>
      <c r="E426" s="362" t="s">
        <v>952</v>
      </c>
      <c r="F426" s="2"/>
      <c r="G426" s="362" t="s">
        <v>953</v>
      </c>
      <c r="H426" s="362"/>
      <c r="I426" s="362"/>
    </row>
    <row r="427" spans="1:9">
      <c r="A427" s="355" t="s">
        <v>849</v>
      </c>
      <c r="B427" s="354">
        <v>180551</v>
      </c>
      <c r="C427" s="340"/>
      <c r="D427" s="340" t="s">
        <v>954</v>
      </c>
      <c r="E427" s="340" t="s">
        <v>952</v>
      </c>
      <c r="G427" s="340" t="s">
        <v>953</v>
      </c>
      <c r="H427" s="340"/>
      <c r="I427" s="340"/>
    </row>
    <row r="428" spans="1:9">
      <c r="A428" s="368" t="s">
        <v>849</v>
      </c>
      <c r="B428" s="354">
        <v>180551</v>
      </c>
      <c r="C428" s="340"/>
      <c r="D428" s="340" t="s">
        <v>1037</v>
      </c>
      <c r="E428" s="340" t="s">
        <v>879</v>
      </c>
      <c r="F428" s="12"/>
      <c r="G428" s="340" t="s">
        <v>953</v>
      </c>
      <c r="H428" s="340"/>
      <c r="I428" s="340"/>
    </row>
    <row r="429" spans="1:9" s="364" customFormat="1">
      <c r="A429" s="355" t="s">
        <v>851</v>
      </c>
      <c r="B429" s="363">
        <v>180552</v>
      </c>
      <c r="C429" s="362"/>
      <c r="D429" s="362" t="s">
        <v>951</v>
      </c>
      <c r="E429" s="362" t="s">
        <v>952</v>
      </c>
      <c r="F429" s="2"/>
      <c r="G429" s="362" t="s">
        <v>953</v>
      </c>
      <c r="H429" s="362"/>
      <c r="I429" s="362"/>
    </row>
    <row r="430" spans="1:9">
      <c r="A430" s="355" t="s">
        <v>851</v>
      </c>
      <c r="B430" s="354">
        <v>180552</v>
      </c>
      <c r="C430" s="340"/>
      <c r="D430" s="340" t="s">
        <v>954</v>
      </c>
      <c r="E430" s="340" t="s">
        <v>952</v>
      </c>
      <c r="G430" s="340" t="s">
        <v>953</v>
      </c>
      <c r="H430" s="340"/>
      <c r="I430" s="340"/>
    </row>
    <row r="431" spans="1:9">
      <c r="A431" s="355" t="s">
        <v>851</v>
      </c>
      <c r="B431" s="367">
        <v>180552</v>
      </c>
      <c r="C431" s="340"/>
      <c r="D431" s="340" t="s">
        <v>951</v>
      </c>
      <c r="E431" s="340" t="s">
        <v>879</v>
      </c>
      <c r="F431" s="12"/>
      <c r="G431" s="340" t="s">
        <v>953</v>
      </c>
      <c r="H431" s="340"/>
      <c r="I431" s="340"/>
    </row>
    <row r="432" spans="1:9" s="364" customFormat="1">
      <c r="A432" s="365" t="s">
        <v>853</v>
      </c>
      <c r="B432" s="354">
        <v>180553</v>
      </c>
      <c r="C432" s="362"/>
      <c r="D432" s="362" t="s">
        <v>951</v>
      </c>
      <c r="E432" s="362" t="s">
        <v>952</v>
      </c>
      <c r="F432" s="2"/>
      <c r="G432" s="362" t="s">
        <v>953</v>
      </c>
      <c r="H432" s="362"/>
      <c r="I432" s="362"/>
    </row>
    <row r="433" spans="1:9">
      <c r="A433" s="355" t="s">
        <v>853</v>
      </c>
      <c r="B433" s="354">
        <v>180553</v>
      </c>
      <c r="C433" s="340"/>
      <c r="D433" s="340" t="s">
        <v>954</v>
      </c>
      <c r="E433" s="340" t="s">
        <v>952</v>
      </c>
      <c r="G433" s="340" t="s">
        <v>953</v>
      </c>
      <c r="H433" s="340"/>
      <c r="I433" s="340"/>
    </row>
    <row r="434" spans="1:9">
      <c r="A434" s="355" t="s">
        <v>853</v>
      </c>
      <c r="B434" s="354">
        <v>180553</v>
      </c>
      <c r="C434" s="340"/>
      <c r="D434" s="340" t="s">
        <v>951</v>
      </c>
      <c r="E434" s="340" t="s">
        <v>879</v>
      </c>
      <c r="F434" s="12"/>
      <c r="G434" s="340" t="s">
        <v>953</v>
      </c>
      <c r="H434" s="340"/>
      <c r="I434" s="340"/>
    </row>
    <row r="435" spans="1:9" s="364" customFormat="1">
      <c r="A435" s="372" t="s">
        <v>855</v>
      </c>
      <c r="B435" s="364">
        <v>180561</v>
      </c>
      <c r="C435" s="362"/>
      <c r="D435" s="362" t="s">
        <v>1037</v>
      </c>
      <c r="E435" s="362" t="s">
        <v>952</v>
      </c>
      <c r="F435" s="2"/>
      <c r="G435" s="362" t="s">
        <v>953</v>
      </c>
      <c r="H435" s="362"/>
      <c r="I435" s="362"/>
    </row>
    <row r="436" spans="1:9">
      <c r="A436" s="357" t="s">
        <v>855</v>
      </c>
      <c r="B436">
        <v>180561</v>
      </c>
      <c r="C436" s="340"/>
      <c r="D436" s="340" t="s">
        <v>954</v>
      </c>
      <c r="E436" s="340" t="s">
        <v>952</v>
      </c>
      <c r="G436" s="340" t="s">
        <v>953</v>
      </c>
      <c r="H436" s="340"/>
      <c r="I436" s="340"/>
    </row>
    <row r="437" spans="1:9" s="369" customFormat="1">
      <c r="A437" s="373" t="s">
        <v>855</v>
      </c>
      <c r="B437" s="369">
        <v>180561</v>
      </c>
      <c r="C437" s="344"/>
      <c r="D437" s="344" t="s">
        <v>1037</v>
      </c>
      <c r="E437" s="344" t="s">
        <v>879</v>
      </c>
      <c r="F437" s="2"/>
      <c r="G437" s="344" t="s">
        <v>953</v>
      </c>
      <c r="H437" s="344"/>
      <c r="I437" s="344"/>
    </row>
    <row r="438" spans="1:9">
      <c r="A438" s="357"/>
      <c r="C438" s="340"/>
      <c r="D438" s="340"/>
      <c r="E438" s="340"/>
      <c r="F438" s="47"/>
      <c r="G438" s="340"/>
      <c r="H438" s="340"/>
      <c r="I438" s="340"/>
    </row>
    <row r="439" spans="1:9">
      <c r="A439" s="355"/>
      <c r="B439" s="340"/>
      <c r="C439" s="340"/>
      <c r="D439" s="340"/>
      <c r="E439" s="340"/>
      <c r="G439" s="340"/>
      <c r="H439" s="340"/>
      <c r="I439" s="340"/>
    </row>
    <row r="440" spans="1:9">
      <c r="A440" s="355"/>
      <c r="B440" s="340"/>
      <c r="C440" s="340"/>
      <c r="D440" s="340"/>
      <c r="E440" s="340"/>
      <c r="G440" s="340"/>
      <c r="H440" s="340"/>
      <c r="I440" s="340"/>
    </row>
    <row r="441" spans="1:9">
      <c r="A441" s="357"/>
      <c r="C441" s="340"/>
      <c r="D441" s="340"/>
      <c r="E441" s="340"/>
      <c r="G441" s="340"/>
      <c r="H441" s="340"/>
      <c r="I441" s="340"/>
    </row>
  </sheetData>
  <conditionalFormatting sqref="D1:D1048576">
    <cfRule type="containsText" dxfId="15" priority="4" operator="containsText" text="CDA">
      <formula>NOT(ISERROR(SEARCH("CDA",D1)))</formula>
    </cfRule>
  </conditionalFormatting>
  <conditionalFormatting sqref="E1:E1048576">
    <cfRule type="containsText" dxfId="14" priority="3" operator="containsText" text="SAG">
      <formula>NOT(ISERROR(SEARCH("SAG",E1)))</formula>
    </cfRule>
  </conditionalFormatting>
  <conditionalFormatting sqref="E1:E1048576">
    <cfRule type="containsText" dxfId="13" priority="2" operator="containsText" text="SEREMI">
      <formula>NOT(ISERROR(SEARCH("SEREMI",E1)))</formula>
    </cfRule>
  </conditionalFormatting>
  <conditionalFormatting sqref="D1:D1048576">
    <cfRule type="containsText" dxfId="12" priority="1" operator="containsText" text="UYD">
      <formula>NOT(ISERROR(SEARCH("UYD",D1)))</formula>
    </cfRule>
  </conditionalFormatting>
  <hyperlinks>
    <hyperlink ref="F2" r:id="rId1" display="2605113227" xr:uid="{925123FB-06AC-40A2-B47A-3B29B3024520}"/>
    <hyperlink ref="F3" r:id="rId2" display="2605114532" xr:uid="{CF3B3C56-4A43-463F-831D-90E1319C292E}"/>
    <hyperlink ref="F4" r:id="rId3" xr:uid="{F645FC10-4C96-4BC5-9A38-286C2F4D5CD5}"/>
    <hyperlink ref="F6" r:id="rId4" display="2605101385" xr:uid="{0607D0A0-6961-4962-A3D9-1E785CBD4C0A}"/>
    <hyperlink ref="F7" r:id="rId5" display="2605109992" xr:uid="{9FAADBCE-22DF-4C55-B13B-6630BED9827D}"/>
    <hyperlink ref="F8" r:id="rId6" xr:uid="{1E39DBDF-BEC8-4267-AA96-D09221F0ECBE}"/>
    <hyperlink ref="F9" r:id="rId7" display="2605106362" xr:uid="{4CA28F79-0C4E-42FA-BAFA-0284A1D2D8AB}"/>
    <hyperlink ref="F10" r:id="rId8" display="2605107634" xr:uid="{F7ED502E-2592-43C9-9B08-4DD35EB3217E}"/>
    <hyperlink ref="F11" r:id="rId9" xr:uid="{F162AF36-0EAA-47E0-9133-515A21389382}"/>
    <hyperlink ref="F12" r:id="rId10" display="260595504" xr:uid="{DC73E56B-768B-4EAA-81C9-982BE7848895}"/>
    <hyperlink ref="F13" r:id="rId11" display="260597318" xr:uid="{83C4A1BD-D3D2-4E3D-BBAE-8EA8948B6723}"/>
    <hyperlink ref="F14" r:id="rId12" xr:uid="{183976CC-3FFA-40E0-9E09-1E5D8EF81E6F}"/>
    <hyperlink ref="F15" r:id="rId13" display="260598254" xr:uid="{CEA4C988-6050-4B0C-9456-4367908F379F}"/>
    <hyperlink ref="F16" r:id="rId14" display="260599583" xr:uid="{187EA10C-5F75-477B-AEAE-866E7A51D9DD}"/>
    <hyperlink ref="F17" r:id="rId15" xr:uid="{FB38BE39-2C2C-4F0C-A3C3-FF740925B3EC}"/>
    <hyperlink ref="F18" r:id="rId16" display="2605101685" xr:uid="{DE4F747A-D24D-4CA4-98BD-B2DDA3BC88CC}"/>
    <hyperlink ref="F19" r:id="rId17" display="2605107573" xr:uid="{89698C1B-3377-4931-85FF-911A4BD904C7}"/>
    <hyperlink ref="F20" r:id="rId18" xr:uid="{0EB05FD1-0EC1-491A-8D3E-638486B004FA}"/>
    <hyperlink ref="F21" r:id="rId19" display="2605101914" xr:uid="{036A2D3E-38D2-4439-B9A2-1858FAAEC4C5}"/>
    <hyperlink ref="F22" r:id="rId20" display="2605102768" xr:uid="{01C11A76-98BF-427C-90F2-2B085C1BF70C}"/>
    <hyperlink ref="F23" r:id="rId21" xr:uid="{E97E9E34-0941-4590-8F64-B028B1CD809F}"/>
    <hyperlink ref="F24" r:id="rId22" display="2605100691" xr:uid="{9E7F4EBF-2E2F-49C6-8E57-DE159370EFAE}"/>
    <hyperlink ref="F25" r:id="rId23" display="2605101997" xr:uid="{05CF4194-C2C3-4D06-A82F-DA3BE46AEE57}"/>
    <hyperlink ref="F26" r:id="rId24" xr:uid="{F99624A1-6D27-419B-80C5-82875EB1D1F8}"/>
    <hyperlink ref="F27" r:id="rId25" display="2605101437" xr:uid="{0B50751B-E435-4058-AEB4-8FEBEAEC4FC6}"/>
    <hyperlink ref="F28" r:id="rId26" display="2605101999" xr:uid="{C53F8ABE-8184-40D9-9AD7-676DBE6912B7}"/>
    <hyperlink ref="F29" r:id="rId27" xr:uid="{EC4D9ECD-703C-4249-A269-A206A7D6700A}"/>
    <hyperlink ref="F30" r:id="rId28" display="2605106858" xr:uid="{8A293817-927E-4B1C-89E2-57B7175B4337}"/>
    <hyperlink ref="F31" r:id="rId29" display="2605107743" xr:uid="{8EF19732-9179-4BC2-9335-EF8C0E6428EE}"/>
    <hyperlink ref="F32" r:id="rId30" xr:uid="{ACA33A14-1CB3-4A7B-B40F-E390853221F5}"/>
    <hyperlink ref="F33" r:id="rId31" display="2605100503" xr:uid="{C276A358-DF58-45BF-9D92-89763B197429}"/>
    <hyperlink ref="F34" r:id="rId32" display="2605102001" xr:uid="{C630BB54-AC60-4EEE-BAF4-9C2BE6621B5F}"/>
    <hyperlink ref="F35" r:id="rId33" xr:uid="{3EE921CA-E04F-47EF-96E8-B9C0F2218EAD}"/>
    <hyperlink ref="F36" r:id="rId34" display="2605106749" xr:uid="{CEF3267C-5857-4684-A943-2F681C6BFA33}"/>
    <hyperlink ref="F37" r:id="rId35" display="2605107710" xr:uid="{8EFD709D-2365-48D7-8C20-B8622FD5D83B}"/>
    <hyperlink ref="F38" r:id="rId36" xr:uid="{DD4AD7E2-AE8B-4178-A7CD-D24D4DCB93D2}"/>
    <hyperlink ref="F39" r:id="rId37" display="2605104506" xr:uid="{FCD8906D-8BB2-439E-AB90-1CFCD106DDEB}"/>
    <hyperlink ref="F40" r:id="rId38" display="2605105058" xr:uid="{0372C3E4-4D62-4646-A8BD-CE3A4E8F6803}"/>
    <hyperlink ref="F41" r:id="rId39" xr:uid="{35826033-441F-4597-A176-97C94177BDA0}"/>
    <hyperlink ref="F42" r:id="rId40" display="2605103079" xr:uid="{094F02B1-0DA6-4CCE-8B62-D618C0FC17E0}"/>
    <hyperlink ref="F43" r:id="rId41" display="2605105078" xr:uid="{6113964E-F22B-4D63-9FC2-C4D3D575F836}"/>
    <hyperlink ref="F44" r:id="rId42" xr:uid="{73509CB8-1EDF-41A3-96E8-F71928493419}"/>
    <hyperlink ref="F45" r:id="rId43" display="2605103668" xr:uid="{4AF7D086-7A91-4F0E-A491-971105D50F3A}"/>
    <hyperlink ref="F46" r:id="rId44" display="2605105134" xr:uid="{5F89BFEA-219C-44E5-B4E5-2552F3805DC2}"/>
    <hyperlink ref="F47" r:id="rId45" xr:uid="{F977BB49-CD32-4069-8739-62526FE17B09}"/>
    <hyperlink ref="F48" r:id="rId46" display="2605102035" xr:uid="{1149AEF8-9490-4058-81E3-620EE93B93B5}"/>
    <hyperlink ref="F49" r:id="rId47" display="2605102626" xr:uid="{5BE1FC1F-1F54-4A93-9A02-EDED0B1C1363}"/>
    <hyperlink ref="F50" r:id="rId48" xr:uid="{B9ADA3BD-7078-4EA1-AA65-B62147B1CA1F}"/>
    <hyperlink ref="F51" r:id="rId49" display="2605103273" xr:uid="{6EDB29EE-89CE-4EA7-9FFB-3B4CE682F0EA}"/>
    <hyperlink ref="F52" r:id="rId50" display="2605104792" xr:uid="{3EFEE769-981C-4446-99A6-C83BCDEFC60D}"/>
    <hyperlink ref="F53" r:id="rId51" xr:uid="{576F62A2-426C-4B52-83E3-1D7CA8386686}"/>
    <hyperlink ref="F54" r:id="rId52" display="2605107269" xr:uid="{BE61E53C-A5A0-462F-A073-31F2CB8E3DAC}"/>
    <hyperlink ref="F55" r:id="rId53" display="2605110378" xr:uid="{7101BFB1-AAB8-429B-BAE4-7E7C45AC31E5}"/>
    <hyperlink ref="F56" r:id="rId54" xr:uid="{52AEA61B-0BC3-42D6-8138-61409DB8B078}"/>
    <hyperlink ref="F57" r:id="rId55" display="2605107217" xr:uid="{4EE51739-822E-47AE-8510-58942D6B8789}"/>
    <hyperlink ref="F58" r:id="rId56" display="2605110317" xr:uid="{7FED7193-E016-4A0E-A4DC-1EA4C53D93B1}"/>
    <hyperlink ref="F59" r:id="rId57" xr:uid="{D5F479F8-E206-4AC0-B086-2E8F2210513F}"/>
    <hyperlink ref="F60" r:id="rId58" display="2605107322" xr:uid="{3CA9FB09-1DA2-47AA-AE1A-CEEE3DE4EF6A}"/>
    <hyperlink ref="F61" r:id="rId59" display="2605110277" xr:uid="{C790DCB8-4D4F-44A3-A085-6887C4692411}"/>
    <hyperlink ref="F62" r:id="rId60" xr:uid="{489E022B-B61E-4A2F-AEE5-71A9B922DB14}"/>
    <hyperlink ref="F63" r:id="rId61" display="2605103977" xr:uid="{144BBFF2-1790-4620-BA0C-4FE93DA1F564}"/>
    <hyperlink ref="F64" r:id="rId62" display="2605104765" xr:uid="{1B8D13B6-57B1-4CBC-8CAB-6AD812078E3F}"/>
    <hyperlink ref="F65" r:id="rId63" xr:uid="{6D37FA76-A01F-417C-81C3-6DE895F5EC0B}"/>
    <hyperlink ref="F66" r:id="rId64" display="2605108712" xr:uid="{E9751DC0-E470-4477-8B66-7BA4BDE0440C}"/>
    <hyperlink ref="F67" r:id="rId65" display="2605110144" xr:uid="{B1783E4D-1826-4F6E-A756-F9FD3EDCA6DE}"/>
    <hyperlink ref="F68" r:id="rId66" xr:uid="{AE815F21-AD4F-4FC1-B214-E9EEB6218638}"/>
    <hyperlink ref="F69" r:id="rId67" display="2605109923" xr:uid="{2DD1931B-A39D-4BD8-AB1A-962ACA2B147B}"/>
    <hyperlink ref="F70" r:id="rId68" display="2605112548" xr:uid="{28E22733-581F-4F6C-BE95-8637AC9579BA}"/>
    <hyperlink ref="F71" r:id="rId69" xr:uid="{2C54DAC0-9AC1-4B50-A15B-7BDA4E22AC15}"/>
    <hyperlink ref="F72" r:id="rId70" display="2605106196" xr:uid="{CDDAE739-7484-40A7-B86C-C348672C7150}"/>
    <hyperlink ref="F73" r:id="rId71" display="2605107984" xr:uid="{EA872E03-CD0D-4614-A13A-FC28D637778F}"/>
    <hyperlink ref="F74" r:id="rId72" xr:uid="{D49C2EEC-8131-404C-8C94-024C7DC4D0AC}"/>
    <hyperlink ref="F75" r:id="rId73" display="2605109152" xr:uid="{7BB98BED-3C73-4C5E-A79D-8A2301EBEB12}"/>
    <hyperlink ref="F76" r:id="rId74" display="2605110090" xr:uid="{51EB4773-69F4-44F3-B780-F0A5D178FCEF}"/>
    <hyperlink ref="F77" r:id="rId75" xr:uid="{D6CADE61-2690-4599-A60D-514295C23665}"/>
    <hyperlink ref="F78" r:id="rId76" display="2605109255" xr:uid="{63EF2525-268B-4F94-938D-94AB990463FC}"/>
    <hyperlink ref="F79" r:id="rId77" display="2605110037" xr:uid="{29A262C5-298E-49DE-8141-3E32685AEDEC}"/>
    <hyperlink ref="F80" r:id="rId78" xr:uid="{ACE4FC29-027E-4DD2-BE2C-D8F448FA415F}"/>
    <hyperlink ref="F81" r:id="rId79" display="2605109265" xr:uid="{E7E65234-DF42-425E-9E2C-E9DEC482CB42}"/>
    <hyperlink ref="F82" r:id="rId80" display="2605110562" xr:uid="{DB6A41C5-7693-4E65-AB22-0E098EF38686}"/>
    <hyperlink ref="F83" r:id="rId81" xr:uid="{26D0E639-8F45-488C-AFBC-AC84B0438BA2}"/>
    <hyperlink ref="F84" r:id="rId82" display="2605105649" xr:uid="{31B3E329-C06C-4CE2-B765-0EFB79512CB8}"/>
    <hyperlink ref="F85" r:id="rId83" display="2605107389" xr:uid="{2043D996-1373-47AD-ACFB-EFBE7BDA3B49}"/>
    <hyperlink ref="F86" r:id="rId84" xr:uid="{3017E008-BCB8-4AC3-BACE-1DB479E59218}"/>
    <hyperlink ref="F87" r:id="rId85" display="2605109941" xr:uid="{2827D9FA-91D6-431C-9CEB-6C1973F5EC82}"/>
    <hyperlink ref="F88" r:id="rId86" display="2605112533" xr:uid="{8D9436F8-E7A8-4964-9A94-6BBB55434D3D}"/>
    <hyperlink ref="F89" r:id="rId87" xr:uid="{D8DEC2BA-C61D-4280-A36F-EC3FA53E3A69}"/>
    <hyperlink ref="F90" r:id="rId88" display="2605105906" xr:uid="{44F02981-54CF-4EE6-ABA4-631219D5E881}"/>
    <hyperlink ref="F91" r:id="rId89" display="2605107383" xr:uid="{9CECC2B7-CCAC-4111-AA1B-51DEE27B24A7}"/>
    <hyperlink ref="F92" r:id="rId90" xr:uid="{C4B81EAD-4826-49A9-971A-1D0596C24A77}"/>
    <hyperlink ref="F93" r:id="rId91" display="2605109424" xr:uid="{7AD11840-5FF2-44A3-99F8-6C9C5A0FA338}"/>
    <hyperlink ref="F94" r:id="rId92" display="2605110377" xr:uid="{5C50481F-1AF9-48CB-A9CC-4A2075E12941}"/>
    <hyperlink ref="F95" r:id="rId93" xr:uid="{2A8771EC-3451-4BC9-9C32-B9A99FF308C1}"/>
    <hyperlink ref="F96" r:id="rId94" display="2605111544" xr:uid="{B805C9B6-CE5F-4D96-923E-6FF5C5235A90}"/>
    <hyperlink ref="F97" r:id="rId95" display="2605112433" xr:uid="{384E70DB-E288-41B8-99EC-EF3C3A88AFD3}"/>
    <hyperlink ref="F98" r:id="rId96" xr:uid="{4D853F6C-0817-4B12-B537-9801E63C3849}"/>
    <hyperlink ref="F99" r:id="rId97" display="2605108064" xr:uid="{B3DFE5EF-B55F-409C-B808-8A42A6BB33B2}"/>
    <hyperlink ref="F100" r:id="rId98" display="2605109863" xr:uid="{168931A6-8BE6-4AC1-8CA1-27D3D2B0EA32}"/>
    <hyperlink ref="F101" r:id="rId99" xr:uid="{554530C7-C9AC-41EB-A684-B4E2D905625B}"/>
    <hyperlink ref="F102" r:id="rId100" display="2605109685" xr:uid="{B53E631A-C097-4655-936C-81EA63DA6F88}"/>
    <hyperlink ref="F103" r:id="rId101" display="2605110139" xr:uid="{99DD89C2-4D1E-490A-B459-3A35D1FC8626}"/>
    <hyperlink ref="F104" r:id="rId102" xr:uid="{6717EB50-9022-4257-8183-5C987A592C7A}"/>
    <hyperlink ref="F105" r:id="rId103" display="2605109639" xr:uid="{28A77F71-9099-4CAC-8A3B-D82C209CA307}"/>
    <hyperlink ref="F107" r:id="rId104" xr:uid="{B91A1608-4E8A-427E-A481-5BD745143719}"/>
    <hyperlink ref="F108" r:id="rId105" display="2605111953" xr:uid="{5D6131EC-2039-4571-975A-B60C5994E85C}"/>
    <hyperlink ref="F109" r:id="rId106" display="2605112430" xr:uid="{2BBFA7B6-0590-47E2-BC53-4702CBC100BD}"/>
    <hyperlink ref="F110" r:id="rId107" xr:uid="{8CFC8E17-8805-480D-A4CF-579993828C39}"/>
    <hyperlink ref="F111" r:id="rId108" display="2605110760" xr:uid="{3AE6F478-4B1A-46CC-B305-C90E425CCA96}"/>
    <hyperlink ref="F112" r:id="rId109" display="2605112514" xr:uid="{F2E8C073-1E56-4875-ABE5-60E56FC2C221}"/>
    <hyperlink ref="F113" r:id="rId110" xr:uid="{542DB805-6BF4-43E1-825F-EB168D1A7A79}"/>
    <hyperlink ref="F114" r:id="rId111" display="2605108147" xr:uid="{2E27C889-3778-4556-9075-3A054AF12492}"/>
    <hyperlink ref="F115" r:id="rId112" display="2605109858" xr:uid="{00901718-2AD7-45DB-AFCC-FAFBA0ABF5F5}"/>
    <hyperlink ref="F116" r:id="rId113" xr:uid="{7B09BF5A-33D1-4321-A65F-581F510D1313}"/>
    <hyperlink ref="F117" r:id="rId114" display="2605109742" xr:uid="{B117BA26-09BD-437F-A959-07904FECACAE}"/>
    <hyperlink ref="F119" r:id="rId115" xr:uid="{1EE87133-86E4-4D9A-8DE0-63A8C1E35C8D}"/>
    <hyperlink ref="F120" r:id="rId116" display="2605108514" xr:uid="{24E78D9A-44B3-4CBC-BCC1-CF838CE2371C}"/>
    <hyperlink ref="F121" r:id="rId117" display="2605109851" xr:uid="{D5E95C89-517F-4996-8065-48D10F314373}"/>
    <hyperlink ref="F123" r:id="rId118" display="2605109732" xr:uid="{0EC83866-2E10-4483-A58D-9FB1E3E62E5E}"/>
    <hyperlink ref="F124" r:id="rId119" display="2605110161" xr:uid="{B2362A6C-AC60-4826-BE1D-07E35E9262B3}"/>
    <hyperlink ref="F125" r:id="rId120" xr:uid="{960C8D95-20BF-41F0-9B52-8888AD7C0D86}"/>
    <hyperlink ref="F126" r:id="rId121" display="2605113276" xr:uid="{7EEC7D01-8BE1-4279-AF67-807BD6D9B6E1}"/>
    <hyperlink ref="F127" r:id="rId122" display="2605114534" xr:uid="{5FDA50F2-596D-40AA-A2AA-2D7AC66A3BE4}"/>
    <hyperlink ref="F128" r:id="rId123" xr:uid="{3A3FD31A-B482-4B68-A652-82A57DBE16D8}"/>
    <hyperlink ref="F129" r:id="rId124" display="2605113362" xr:uid="{6ADDA9BE-5555-424E-9BBD-287EA503EF31}"/>
    <hyperlink ref="F130" r:id="rId125" display="2605114515" xr:uid="{8D272397-46AE-4BB8-92B1-A852A6ED15FA}"/>
    <hyperlink ref="F131" r:id="rId126" xr:uid="{CF8BFBC5-BE4D-4891-8BDB-DB529603A1DC}"/>
    <hyperlink ref="F132" r:id="rId127" display="2605108328" xr:uid="{CD07B9F8-C902-402D-8CE4-89BDE2570978}"/>
    <hyperlink ref="F133" r:id="rId128" display="2605109841" xr:uid="{700F9E95-FD9D-4B28-85F7-A096BD6A81C4}"/>
    <hyperlink ref="F134" r:id="rId129" xr:uid="{6148E173-D3E8-462C-BD99-5EE8898AA390}"/>
    <hyperlink ref="F135" r:id="rId130" display="2605109779" xr:uid="{D63418D0-28FD-4768-8500-17AA3932B3D5}"/>
    <hyperlink ref="F136" r:id="rId131" display="2605112451" xr:uid="{4AA22DC0-2B4E-4842-8EA9-4BB46C0D73D4}"/>
    <hyperlink ref="F137" r:id="rId132" xr:uid="{C1F73A37-9266-4B30-AA80-7C7D57CD8FE1}"/>
    <hyperlink ref="F138" r:id="rId133" display="2605108680" xr:uid="{01D1AB2A-DD72-429F-B520-ADDC8B3B0DD0}"/>
    <hyperlink ref="F139" r:id="rId134" display="2605110346" xr:uid="{AE50BF64-7075-4D2B-83D5-6C2DD68DE032}"/>
    <hyperlink ref="F140" r:id="rId135" xr:uid="{F649791C-01A6-4400-B781-CF44C823F6B8}"/>
    <hyperlink ref="F141" r:id="rId136" display="2605113395" xr:uid="{11399769-37DD-4EFD-8784-9B78937BBEFE}"/>
    <hyperlink ref="F142" r:id="rId137" display="2605114518" xr:uid="{FC6D7C9D-0D4F-4A78-B128-90346E8C75BB}"/>
    <hyperlink ref="F143" r:id="rId138" xr:uid="{83FC5DBD-FAE6-4502-BC78-29071466334F}"/>
    <hyperlink ref="F144" r:id="rId139" display="2605110890" xr:uid="{3027B7DC-079E-4731-81C3-B365A807FED6}"/>
    <hyperlink ref="F145" r:id="rId140" display="2605112505" xr:uid="{71AB46EC-F3E2-42F5-A695-3D59BD384D91}"/>
    <hyperlink ref="F146" r:id="rId141" xr:uid="{3A28683D-A839-4E45-813C-7FEADA5B2110}"/>
    <hyperlink ref="F147" r:id="rId142" display="2605113776" xr:uid="{1100EEAE-DF14-4FB2-B4D0-5560F5CEDE3B}"/>
    <hyperlink ref="F148" r:id="rId143" display="2605114358" xr:uid="{8F239356-295B-4682-BB20-43CE74742322}"/>
    <hyperlink ref="F149" r:id="rId144" xr:uid="{DEFD9833-8B23-4D0B-A85C-8389799BD9FE}"/>
    <hyperlink ref="F150" r:id="rId145" display="2605113989" xr:uid="{54F2EDC9-A8D0-4888-B49D-04A27230A382}"/>
    <hyperlink ref="F151" r:id="rId146" display="2605114359" xr:uid="{E4FB58EA-0EAB-4301-A03B-FA1837756A3D}"/>
    <hyperlink ref="F152" r:id="rId147" xr:uid="{96AAC63E-8715-4149-9FA8-4B8D7E9D38EC}"/>
    <hyperlink ref="F153" r:id="rId148" display="2605114628" xr:uid="{B18E4DDB-2C59-42C7-A189-9814CB91B3F9}"/>
    <hyperlink ref="F155" r:id="rId149" xr:uid="{8E6D9607-472D-41A3-9EF4-771B5790FC83}"/>
    <hyperlink ref="F156" r:id="rId150" display="2605111955" xr:uid="{219DF574-24C4-452D-9674-F00C4FCE9623}"/>
    <hyperlink ref="F157" r:id="rId151" display="2605112639" xr:uid="{781BC572-4559-438B-B1AF-812477D572E4}"/>
    <hyperlink ref="F158" r:id="rId152" xr:uid="{D5793EF5-CA65-482C-9ED1-FFCC4F3FB1DC}"/>
    <hyperlink ref="F159" r:id="rId153" display="2605111677" xr:uid="{031DC1F0-4649-4381-9577-4BDAAE0D76B5}"/>
    <hyperlink ref="F160" r:id="rId154" display="2605112425" xr:uid="{B45E41E4-AF5D-49B3-A9ED-2A83C2AF0FCB}"/>
    <hyperlink ref="F161" r:id="rId155" xr:uid="{3B443DC6-9372-4958-A511-876EFB146A27}"/>
    <hyperlink ref="F162" r:id="rId156" display="2605113022" xr:uid="{8C0D078E-E733-4AB7-BD34-4638C01C8266}"/>
    <hyperlink ref="F163" r:id="rId157" display="2605114351" xr:uid="{41D2DC98-3B91-4E7F-8540-F5D8295F27B7}"/>
    <hyperlink ref="F164" r:id="rId158" xr:uid="{469EEACA-606B-44C7-A7B0-3584C35F9486}"/>
    <hyperlink ref="F165" r:id="rId159" display="2605114146" xr:uid="{2471730F-0272-48B6-933A-48DA825EAF72}"/>
    <hyperlink ref="F166" r:id="rId160" display="2605117769" xr:uid="{F5125BC6-DEDA-418B-A4F4-DD498C80DC3B}"/>
    <hyperlink ref="F167" r:id="rId161" xr:uid="{4EDF37A6-E994-4E15-964B-E2628DCC34A2}"/>
    <hyperlink ref="F168" r:id="rId162" display="2605112925" xr:uid="{C938FBD6-DCF6-40FE-A6B9-20B5D99DD11E}"/>
    <hyperlink ref="F169" r:id="rId163" display="2605114353" xr:uid="{F87F103E-FE07-4EF0-BDB5-BC183C4CF640}"/>
    <hyperlink ref="F170" r:id="rId164" xr:uid="{33784FAD-A1C2-473D-84D1-9F98FD1F180A}"/>
    <hyperlink ref="F171" r:id="rId165" display="2605115963" xr:uid="{974A76FB-5D74-4658-95B2-21EFC36CA341}"/>
    <hyperlink ref="F173" r:id="rId166" xr:uid="{A1EC9A74-9A8D-43AC-A1BA-CE3B9C46C4D3}"/>
    <hyperlink ref="F174" r:id="rId167" display="2605116837" xr:uid="{DC1F8CC4-2B82-47C2-AC3B-D23FF74E4E76}"/>
    <hyperlink ref="F175" r:id="rId168" display="2605117897" xr:uid="{6A2065D9-C6ED-4201-A7F7-7117CDA21209}"/>
    <hyperlink ref="F176" r:id="rId169" xr:uid="{E376BA3E-8C63-4EE8-A740-F7D1D91EA294}"/>
    <hyperlink ref="F177" r:id="rId170" display="2605115511" xr:uid="{04B76692-AA39-4B17-8AD3-2FB566F576AD}"/>
    <hyperlink ref="F178" r:id="rId171" display="2605123254" xr:uid="{F934AC89-507E-42ED-BF9C-D36FE6B7E1DF}"/>
    <hyperlink ref="F179" r:id="rId172" xr:uid="{FF9A9891-789A-4DE3-BCDC-25308F583C39}"/>
    <hyperlink ref="F180" r:id="rId173" display="2605117066" xr:uid="{4E9188F8-8762-495A-947A-21DD5D6C16D2}"/>
    <hyperlink ref="F182" r:id="rId174" xr:uid="{BC39A7A6-F38F-4086-BA4B-5017DE99A6D4}"/>
    <hyperlink ref="F183" r:id="rId175" display="2605118034" xr:uid="{F0478684-1B2A-4C71-85A1-8D8BADE6A1E9}"/>
    <hyperlink ref="F185" r:id="rId176" xr:uid="{96CAF3D0-0D34-403D-9D11-7828360BE27E}"/>
    <hyperlink ref="F186" r:id="rId177" display="2605115713" xr:uid="{F132C275-D8B7-4E96-A0C2-CAB75D44BCF0}"/>
    <hyperlink ref="F188" r:id="rId178" xr:uid="{BF19F1CF-5DAE-4E0A-ABF6-2B15729965B4}"/>
    <hyperlink ref="F189" r:id="rId179" display="2605117336" xr:uid="{B5B8EE78-3C7B-4736-9A03-4CDB9F57CE6B}"/>
    <hyperlink ref="F191" r:id="rId180" xr:uid="{325BACBC-2BEF-4A4D-87E5-EF67823BABD5}"/>
    <hyperlink ref="F192" r:id="rId181" display="2605116674" xr:uid="{77A3503D-2583-4C42-A9D8-EF42DC1F9372}"/>
    <hyperlink ref="F194" r:id="rId182" xr:uid="{033D024A-5BFA-4F7A-BA84-ED43381EB88F}"/>
    <hyperlink ref="F195" r:id="rId183" display="2605116951" xr:uid="{741FEB40-4F5B-4B78-8C86-DB129D33188A}"/>
    <hyperlink ref="F197" r:id="rId184" xr:uid="{7430DFEC-C4AD-41C2-BDF5-6527B2A946C3}"/>
    <hyperlink ref="F198" r:id="rId185" display="2605119647" xr:uid="{F38BBB0E-2005-41E3-8070-50A13ADF38FA}"/>
    <hyperlink ref="F200" r:id="rId186" xr:uid="{A888A16F-1D45-4565-A5B1-A0F3A95D275E}"/>
    <hyperlink ref="F201" r:id="rId187" display="2605118330" xr:uid="{16729C80-C590-45F4-A39D-652D9622198D}"/>
    <hyperlink ref="F203" r:id="rId188" xr:uid="{B7D486F0-B724-4963-840F-9C91E5B5BD3E}"/>
    <hyperlink ref="F204" r:id="rId189" display="2605117369" xr:uid="{6131E06F-88FF-4791-A66B-457CB023BE99}"/>
    <hyperlink ref="F206" r:id="rId190" xr:uid="{98D7DB47-66AD-4E16-AEDD-3ABB2833FD6C}"/>
    <hyperlink ref="F207" r:id="rId191" display="2605116934" xr:uid="{7ACB6A41-36B1-48E4-BE93-9E0E4C6BDC05}"/>
    <hyperlink ref="F208" r:id="rId192" display="2605125477" xr:uid="{BE68A7CB-7F1D-4C33-BD51-DA67A7E54DD8}"/>
    <hyperlink ref="F209" r:id="rId193" xr:uid="{75E04216-4C1A-4C5F-9D31-2FE205BCB934}"/>
    <hyperlink ref="F210" r:id="rId194" display="2605117104" xr:uid="{025FC7F8-BB65-4CC8-8AB5-70859E051D89}"/>
    <hyperlink ref="F212" r:id="rId195" xr:uid="{9A353658-0240-4987-8CDE-8F0BC2AB1DA9}"/>
    <hyperlink ref="F213" r:id="rId196" display="2605119861" xr:uid="{FC623ADF-41A8-4D4C-A80D-E057C6DD2B6B}"/>
    <hyperlink ref="F215" r:id="rId197" xr:uid="{25DC0076-110C-4EA0-AA03-1E34175E0205}"/>
    <hyperlink ref="F216" r:id="rId198" display="2605118527" xr:uid="{04EF3E7F-759E-4BCE-A51B-05D5802F95B1}"/>
    <hyperlink ref="F218" r:id="rId199" xr:uid="{5B9AF754-9A4A-418F-B9FA-2DC38C836B06}"/>
    <hyperlink ref="F219" r:id="rId200" display="2605121781" xr:uid="{C99201CF-791D-4E25-8037-AEB2E2B48F73}"/>
    <hyperlink ref="F220" r:id="rId201" display="2605125611" xr:uid="{102955DD-123E-4503-8D9E-7CEC9E870E5A}"/>
    <hyperlink ref="F221" r:id="rId202" xr:uid="{16721CEE-1AAC-4ACB-83CC-86C173B61A40}"/>
    <hyperlink ref="F222" r:id="rId203" display="2605118861" xr:uid="{849E2647-B496-4B2D-A55B-C151B7D5EC8B}"/>
    <hyperlink ref="F223" r:id="rId204" display="2605120536" xr:uid="{69ED5199-5CF9-4890-8FAE-3FEB5678B307}"/>
    <hyperlink ref="F224" r:id="rId205" xr:uid="{8EBDE225-8E4A-473B-94C2-2DA98662A225}"/>
    <hyperlink ref="F225" r:id="rId206" display="2605119244" xr:uid="{8A7D587E-B009-4DBF-8B0B-DD03D9088FE7}"/>
    <hyperlink ref="F226" r:id="rId207" display="2605120402" xr:uid="{962607CE-310D-4074-AA1E-FE08ACFC4BA4}"/>
    <hyperlink ref="F227" r:id="rId208" xr:uid="{817C74F2-038A-4B14-A537-C7174C36D59C}"/>
    <hyperlink ref="F228" r:id="rId209" display="2605119955" xr:uid="{1273B0DB-5E7B-447A-B369-DABD2205AADF}"/>
    <hyperlink ref="F230" r:id="rId210" xr:uid="{B3CB79FD-FC20-4422-A9B4-EE80910A1134}"/>
    <hyperlink ref="F233" r:id="rId211" xr:uid="{DF4CA00F-1F20-470B-BB5C-F94EFD91F6C3}"/>
    <hyperlink ref="F231" r:id="rId212" display="2605120001" xr:uid="{3F83EB1A-E1AF-4CFA-9F94-C37B1F704E46}"/>
    <hyperlink ref="F234" r:id="rId213" display="2605118942" xr:uid="{AA5D8FFB-3D68-4216-B4D9-5065F2A882A9}"/>
    <hyperlink ref="F235" r:id="rId214" display="2605120305" xr:uid="{B7F5F74C-EAC2-4012-ADB6-37FB82214DC6}"/>
    <hyperlink ref="F236" r:id="rId215" xr:uid="{8C69FBE8-A60B-4FF3-B87D-2556116768C0}"/>
    <hyperlink ref="F237" r:id="rId216" display="2605118967" xr:uid="{AE5C6222-AF67-4769-8D42-D924790694D0}"/>
    <hyperlink ref="F238" r:id="rId217" display="2605120420" xr:uid="{F382F64D-0F0C-40F1-929F-12ABB27BEBF8}"/>
    <hyperlink ref="F239" r:id="rId218" xr:uid="{D31E1F4C-FB25-4E2B-BAB4-14F70A31E143}"/>
    <hyperlink ref="F240" r:id="rId219" display="2605120555" xr:uid="{694A3275-F4E2-4869-83EF-973217CD2D38}"/>
    <hyperlink ref="F242" r:id="rId220" xr:uid="{D11F28CF-E731-469C-B052-EB9F9CA92549}"/>
    <hyperlink ref="F243" r:id="rId221" display="2605120568" xr:uid="{3DA0AC15-E350-4B89-BCA1-95CE979DE2E3}"/>
    <hyperlink ref="F245" r:id="rId222" xr:uid="{7F1B0B74-34C6-4E16-9DD1-867C5A8D3FE5}"/>
    <hyperlink ref="F246" r:id="rId223" display="2605120044" xr:uid="{6D7F3918-C1D2-48C3-B31D-0FE9ACC411C1}"/>
    <hyperlink ref="F249" r:id="rId224" display="2605120769" xr:uid="{BB042FC6-64B5-4749-9C70-1CA20BC86D29}"/>
    <hyperlink ref="F250" r:id="rId225" display="2605122963" xr:uid="{9D069B62-ADDF-498D-BD37-A2D01DA804CC}"/>
    <hyperlink ref="F251" r:id="rId226" xr:uid="{F931CA03-7730-4A2F-A37F-01918B3D89B4}"/>
    <hyperlink ref="F252" r:id="rId227" display="2605121478" xr:uid="{6EEC7FAF-BE4E-412B-AE12-9689D5286006}"/>
    <hyperlink ref="F253" r:id="rId228" display="2605122911" xr:uid="{E18E24F4-9146-4ED0-92C4-9C24F7CF2DE3}"/>
    <hyperlink ref="F254" r:id="rId229" xr:uid="{E9D1927B-AD74-4B4A-AECD-AEFF0F7A3405}"/>
    <hyperlink ref="F255" r:id="rId230" display="2605125296" xr:uid="{BD833DB6-0761-4C66-AA86-DBBF9E0AC313}"/>
    <hyperlink ref="F257" r:id="rId231" xr:uid="{5C9094B4-3EA9-4EAD-8FF8-976D4B86D87F}"/>
    <hyperlink ref="F258" r:id="rId232" display="2605122382" xr:uid="{982502F9-8685-4900-A508-726F1BACF692}"/>
    <hyperlink ref="F260" r:id="rId233" xr:uid="{0848CBFD-9D33-4A83-AB75-F38BBF8EAE3D}"/>
    <hyperlink ref="F261" r:id="rId234" display="2605122451" xr:uid="{248CEB5E-D0A1-4400-BDE1-D2ED109FA4F2}"/>
    <hyperlink ref="F263" r:id="rId235" xr:uid="{46C9B47E-0D86-437D-8061-C40231E53A67}"/>
    <hyperlink ref="F264" r:id="rId236" display="2605125301" xr:uid="{A5737E98-D953-4BFE-B386-43E087A470FE}"/>
    <hyperlink ref="F266" r:id="rId237" xr:uid="{6478231A-BC0C-47CC-BB3F-CD3104547AD5}"/>
    <hyperlink ref="F267" r:id="rId238" display="2605123608" xr:uid="{7EA32CB2-D6C6-44B7-A7D2-4DC15BCFB9A1}"/>
    <hyperlink ref="F269" r:id="rId239" xr:uid="{ADC9ADEB-E0C4-4892-AEF6-F3D0CEE123FB}"/>
    <hyperlink ref="F270" r:id="rId240" display="2605121569" xr:uid="{E4EB314F-4FA5-4CAD-B6D5-FD70819E0C39}"/>
    <hyperlink ref="F272" r:id="rId241" xr:uid="{11073C37-363F-4A27-BA38-2C6AFA828B71}"/>
    <hyperlink ref="F273" r:id="rId242" display="2605123199" xr:uid="{5D93782C-6F97-426C-8A95-AD49DF3FB616}"/>
    <hyperlink ref="F275" r:id="rId243" xr:uid="{EB3686F7-A464-46A1-84B5-A023C8079687}"/>
    <hyperlink ref="F276" r:id="rId244" display="2605125312" xr:uid="{7D8452B9-5830-4B1D-9932-8C54DAF2FD3D}"/>
    <hyperlink ref="F278" r:id="rId245" xr:uid="{E4B04CD7-F52D-41C7-95C1-E80AC034BFC2}"/>
    <hyperlink ref="F279" r:id="rId246" display="2605123531" xr:uid="{C50F49C5-289B-4294-BB96-FE9F97BAD6B7}"/>
    <hyperlink ref="F281" r:id="rId247" xr:uid="{390C77E6-CA74-44DE-AEB1-B557C37CBF83}"/>
    <hyperlink ref="F282" r:id="rId248" display="2605124864" xr:uid="{A87D81C1-59F7-4406-B9B6-8B9523275CAF}"/>
    <hyperlink ref="F284" r:id="rId249" xr:uid="{6F85229C-1E53-4DD6-A3E4-57F2A8CEAA22}"/>
    <hyperlink ref="F285" r:id="rId250" display="2605124553" xr:uid="{3D22AD79-67B5-4ECB-83D2-0926B6642A21}"/>
    <hyperlink ref="F287" r:id="rId251" xr:uid="{35B0904A-F970-41BC-B6BE-499E9A3482D0}"/>
    <hyperlink ref="F288" r:id="rId252" display="2605127196" xr:uid="{34EABF50-A8F1-46F3-AD92-66AA6525C717}"/>
    <hyperlink ref="F290" r:id="rId253" xr:uid="{21F46602-BABE-4600-B5E2-826705C689E6}"/>
    <hyperlink ref="F291" r:id="rId254" display="2605123208" xr:uid="{8E8FC181-E5C6-49B5-BCE1-B26D4700FC5D}"/>
    <hyperlink ref="F293" r:id="rId255" xr:uid="{AB324B8A-C1F9-4259-A729-33D7C7E92B0D}"/>
    <hyperlink ref="F294" r:id="rId256" display="2605125079" xr:uid="{2E02892F-EC8A-4BE8-BB2D-948B28463A90}"/>
    <hyperlink ref="F296" r:id="rId257" xr:uid="{D8195768-D7C3-4760-94EF-6A0954A2270D}"/>
    <hyperlink ref="F297" r:id="rId258" display="2605124012" xr:uid="{6642F05C-D140-42E1-BD3E-0A0A6F5400F2}"/>
    <hyperlink ref="F299" r:id="rId259" xr:uid="{839BDD27-2D0D-4B07-9479-A3AA119E5B18}"/>
    <hyperlink ref="F300" r:id="rId260" display="2605127558" xr:uid="{937567B1-52C6-4608-A8C6-F8553F8E6573}"/>
    <hyperlink ref="F302" r:id="rId261" xr:uid="{5A6EDBC5-9976-44C0-8DCD-731439FEE2A0}"/>
    <hyperlink ref="F303" r:id="rId262" display="2605124992" xr:uid="{1E467AF6-D27D-4A40-A05B-61E261DCA6BC}"/>
    <hyperlink ref="F305" r:id="rId263" xr:uid="{7B0FE963-7095-42C5-9523-06259FDD14A6}"/>
    <hyperlink ref="F306" r:id="rId264" display="2605125152" xr:uid="{600C9096-406B-4AAC-8E68-08E7B782AE42}"/>
    <hyperlink ref="F308" r:id="rId265" xr:uid="{C0BCB432-C855-4D65-BD41-AD9FD3B7E8F7}"/>
    <hyperlink ref="F309" r:id="rId266" display="2605127560" xr:uid="{141DFABB-7F85-4427-BC95-372739B77126}"/>
    <hyperlink ref="F311" r:id="rId267" xr:uid="{0195F917-5E51-4ACB-8553-DE1DFC7D247E}"/>
    <hyperlink ref="F312" r:id="rId268" display="2605126039" xr:uid="{A0759CB6-7F4F-4D94-9E05-D9B95E705FE8}"/>
    <hyperlink ref="F314" r:id="rId269" xr:uid="{0DCAF71E-0C5F-4CCB-9E58-2905731F3F7C}"/>
    <hyperlink ref="F317" r:id="rId270" xr:uid="{F1A11D14-11FC-4A8B-83B8-8CB6736F2A56}"/>
    <hyperlink ref="F315" r:id="rId271" display="2605125430" xr:uid="{5BD9D43C-EBD5-4E2E-B0D8-74490CE0CB78}"/>
    <hyperlink ref="F318" r:id="rId272" display="2605125143" xr:uid="{3FC8475A-8190-4233-9C8F-EFAED453A226}"/>
    <hyperlink ref="F320" r:id="rId273" xr:uid="{295F4D27-B27F-4C83-9A17-E4DA74E04B30}"/>
    <hyperlink ref="F321" r:id="rId274" display="2605126060" xr:uid="{6E4E208F-9AD8-478A-8FE8-667CF15BACC6}"/>
    <hyperlink ref="F323" r:id="rId275" xr:uid="{6FE75629-FF67-47B9-A72B-8C1E60B848B7}"/>
    <hyperlink ref="F330" r:id="rId276" display="2605126161" xr:uid="{A1786728-4631-467E-B5C1-74F9A108C2B0}"/>
    <hyperlink ref="F332" r:id="rId277" xr:uid="{0C1CA5AF-A4D7-4CCA-B0E0-6D9101DD902D}"/>
    <hyperlink ref="F333" r:id="rId278" display="2605126884" xr:uid="{B5813A46-B433-4A04-9493-61F6CBBF743B}"/>
    <hyperlink ref="F335" r:id="rId279" xr:uid="{8FBEE9B4-A1CE-4203-B93D-032B33F79FB9}"/>
    <hyperlink ref="F336" r:id="rId280" display="2605127561" xr:uid="{6380E7AC-5C2C-48B3-8611-008248B094FA}"/>
    <hyperlink ref="F338" r:id="rId281" xr:uid="{0D696659-35D5-497F-B8D3-B21D6FAA63C7}"/>
    <hyperlink ref="F339" r:id="rId282" display="2605127669" xr:uid="{40EFE328-A2C5-4336-9E1E-FE06BFFF95CE}"/>
    <hyperlink ref="F341" r:id="rId283" xr:uid="{329254AB-6974-42E4-8971-6182E388A5BA}"/>
    <hyperlink ref="F342" r:id="rId284" display="2605126627" xr:uid="{10611392-B692-48A0-AF99-1D3668C48646}"/>
    <hyperlink ref="F344" r:id="rId285" xr:uid="{BEB6EC55-2FA1-4B3D-ACB4-66C3F1E90C44}"/>
    <hyperlink ref="F348" r:id="rId286" display="2605127563" xr:uid="{5446934C-E6D3-4C71-A71B-93323126D880}"/>
    <hyperlink ref="F350" r:id="rId287" xr:uid="{282C8FAB-294C-415B-98CE-82BB2C092BE0}"/>
    <hyperlink ref="F353" r:id="rId288" xr:uid="{F205FEC1-C43E-4204-BA09-0A2AD65C3235}"/>
    <hyperlink ref="F354" r:id="rId289" display="2605126952" xr:uid="{31F574A8-9B39-49D7-8D10-B05D51DA08B2}"/>
    <hyperlink ref="F356" r:id="rId290" xr:uid="{21CABB98-B042-4BD8-8750-8D4BA9420898}"/>
    <hyperlink ref="F357" r:id="rId291" display="2605127649" xr:uid="{B2CCD7EC-14B3-4490-8DFB-3656D003227D}"/>
    <hyperlink ref="F359" r:id="rId292" xr:uid="{E4AAF3CA-B328-4E51-9CFE-4E3B0A3626DE}"/>
    <hyperlink ref="F363" r:id="rId293" display="2605127293" xr:uid="{662FA620-8E5E-4156-B27B-FD09418E575A}"/>
    <hyperlink ref="F365" r:id="rId294" xr:uid="{47D78CD8-E987-4EE3-BE8F-848EF51850B4}"/>
    <hyperlink ref="F369" r:id="rId295" display="2605127654" xr:uid="{140718C9-8FF0-464F-9C83-96CBAF252A73}"/>
    <hyperlink ref="F371" r:id="rId296" xr:uid="{FCBD0CDF-AA1B-4458-B7A5-140C098D6FBA}"/>
    <hyperlink ref="F377" r:id="rId297" xr:uid="{97E08A08-AE47-4902-A99B-41138F2A2B6B}"/>
    <hyperlink ref="F389" r:id="rId298" xr:uid="{8A1DF946-DD9C-4B1E-9387-CFA6DB3FCC57}"/>
    <hyperlink ref="F392" r:id="rId299" xr:uid="{07AA8954-70D3-43F7-BDC6-7F6E2640C29B}"/>
    <hyperlink ref="F324" r:id="rId300" display="2605129127" xr:uid="{72E7144E-02E7-4771-B4FA-69BB39E9F5EA}"/>
    <hyperlink ref="F327" r:id="rId301" display="2605129274" xr:uid="{493362EE-A93D-4B06-A089-C3F597B3DCBE}"/>
    <hyperlink ref="F345" r:id="rId302" display="2605130145" xr:uid="{EBFECA68-BD9C-4C04-8F69-4738B880D928}"/>
    <hyperlink ref="F351" r:id="rId303" display="2605128458" xr:uid="{A11A2B65-FBED-4CF5-9060-7C9D6477BADE}"/>
    <hyperlink ref="F360" r:id="rId304" display="2605129781" xr:uid="{041C4130-4A3A-4622-BB09-F65272D5A431}"/>
    <hyperlink ref="F387" r:id="rId305" display="2605128897" xr:uid="{AC4FEBB4-A16E-4D0E-B513-C60AF46032A7}"/>
    <hyperlink ref="F390" r:id="rId306" display="2605127727" xr:uid="{0F7B6992-FF1A-4554-8CFA-D5075F7C0C96}"/>
    <hyperlink ref="F375" r:id="rId307" display="2605128791" xr:uid="{68FDAB99-5911-4E60-B963-C4626FB7E82A}"/>
    <hyperlink ref="F398" r:id="rId308" xr:uid="{08956473-3CF8-47A3-810C-750CA14A50BE}"/>
    <hyperlink ref="F384" r:id="rId309" display="2605130464" xr:uid="{3334B185-FBDD-42ED-9A99-D26EB4680788}"/>
    <hyperlink ref="F347" r:id="rId310" xr:uid="{7AD35CA4-6431-4DF7-8827-76526D1ECEFE}"/>
    <hyperlink ref="F362" r:id="rId311" xr:uid="{F84E2F52-4C14-4BCF-BBBB-F985319DB1DF}"/>
    <hyperlink ref="F386" r:id="rId312" xr:uid="{7E0A913C-4435-4727-85D7-7121912087D4}"/>
    <hyperlink ref="F410" r:id="rId313" xr:uid="{302D2150-9225-4433-BED4-BB2D857DB491}"/>
    <hyperlink ref="F248" r:id="rId314" xr:uid="{58753F6B-8A4F-40AF-B4E0-90F5D6F3AC9D}"/>
    <hyperlink ref="F122" r:id="rId315" xr:uid="{A516A41C-B57F-4226-B667-098087446555}"/>
    <hyperlink ref="F425" r:id="rId316" xr:uid="{2A4FC010-1D2D-45C1-AFAD-B2046A6DBE1E}"/>
  </hyperlinks>
  <pageMargins left="0.7" right="0.7" top="0.75" bottom="0.75" header="0.3" footer="0.3"/>
  <tableParts count="1">
    <tablePart r:id="rId317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898A0-50DC-4248-B4D3-1E1F1C494B94}">
  <dimension ref="A1:K10"/>
  <sheetViews>
    <sheetView workbookViewId="0">
      <selection activeCell="E5" sqref="E5"/>
    </sheetView>
  </sheetViews>
  <sheetFormatPr defaultRowHeight="15"/>
  <cols>
    <col min="1" max="1" width="23.5703125" customWidth="1"/>
    <col min="2" max="5" width="23.42578125" customWidth="1"/>
    <col min="6" max="6" width="38.42578125" customWidth="1"/>
    <col min="7" max="7" width="23.28515625" customWidth="1"/>
    <col min="8" max="8" width="35.42578125" customWidth="1"/>
    <col min="9" max="9" width="26.42578125" customWidth="1"/>
    <col min="10" max="10" width="19.5703125" customWidth="1"/>
    <col min="11" max="11" width="58.140625" customWidth="1"/>
  </cols>
  <sheetData>
    <row r="1" spans="1:11">
      <c r="A1" s="31" t="s">
        <v>1092</v>
      </c>
      <c r="B1" s="31" t="s">
        <v>1093</v>
      </c>
      <c r="C1" s="31" t="s">
        <v>10</v>
      </c>
      <c r="D1" s="31" t="s">
        <v>1094</v>
      </c>
      <c r="E1" s="31" t="s">
        <v>945</v>
      </c>
      <c r="F1" s="31"/>
      <c r="G1" s="31" t="s">
        <v>1095</v>
      </c>
      <c r="I1" t="s">
        <v>1096</v>
      </c>
      <c r="J1" t="s">
        <v>1097</v>
      </c>
      <c r="K1" t="s">
        <v>1098</v>
      </c>
    </row>
    <row r="2" spans="1:11">
      <c r="A2" t="s">
        <v>1099</v>
      </c>
      <c r="B2" t="s">
        <v>385</v>
      </c>
      <c r="C2" t="s">
        <v>54</v>
      </c>
      <c r="D2" t="s">
        <v>1100</v>
      </c>
      <c r="E2" t="s">
        <v>1037</v>
      </c>
      <c r="F2" t="s">
        <v>1101</v>
      </c>
      <c r="G2" t="s">
        <v>52</v>
      </c>
      <c r="H2" t="s">
        <v>1102</v>
      </c>
      <c r="I2" t="s">
        <v>1103</v>
      </c>
      <c r="J2" s="3" t="s">
        <v>48</v>
      </c>
      <c r="K2" t="s">
        <v>1104</v>
      </c>
    </row>
    <row r="3" spans="1:11">
      <c r="A3" s="31" t="s">
        <v>1105</v>
      </c>
      <c r="B3" t="s">
        <v>595</v>
      </c>
      <c r="C3" t="s">
        <v>40</v>
      </c>
      <c r="D3" t="s">
        <v>42</v>
      </c>
      <c r="E3" t="s">
        <v>954</v>
      </c>
      <c r="F3" t="s">
        <v>1106</v>
      </c>
      <c r="G3" t="s">
        <v>1107</v>
      </c>
      <c r="H3" t="s">
        <v>1108</v>
      </c>
      <c r="I3" t="s">
        <v>1109</v>
      </c>
      <c r="J3" s="3" t="s">
        <v>60</v>
      </c>
      <c r="K3" t="s">
        <v>1110</v>
      </c>
    </row>
    <row r="4" spans="1:11">
      <c r="A4" t="s">
        <v>1111</v>
      </c>
      <c r="B4" t="s">
        <v>392</v>
      </c>
      <c r="C4" t="s">
        <v>1112</v>
      </c>
      <c r="D4" t="s">
        <v>889</v>
      </c>
      <c r="E4" t="s">
        <v>880</v>
      </c>
      <c r="F4" t="s">
        <v>1113</v>
      </c>
      <c r="H4" t="s">
        <v>1114</v>
      </c>
      <c r="I4" t="s">
        <v>1115</v>
      </c>
      <c r="J4" s="3" t="s">
        <v>68</v>
      </c>
      <c r="K4" t="s">
        <v>1116</v>
      </c>
    </row>
    <row r="5" spans="1:11">
      <c r="B5" t="s">
        <v>1117</v>
      </c>
      <c r="F5" t="s">
        <v>1118</v>
      </c>
      <c r="J5" s="3" t="s">
        <v>88</v>
      </c>
      <c r="K5" t="s">
        <v>1119</v>
      </c>
    </row>
    <row r="6" spans="1:11">
      <c r="B6" t="s">
        <v>35</v>
      </c>
      <c r="J6" s="3" t="s">
        <v>148</v>
      </c>
      <c r="K6" t="s">
        <v>1120</v>
      </c>
    </row>
    <row r="7" spans="1:11">
      <c r="J7" s="2" t="s">
        <v>252</v>
      </c>
      <c r="K7" t="s">
        <v>1119</v>
      </c>
    </row>
    <row r="8" spans="1:11">
      <c r="J8" s="2" t="s">
        <v>299</v>
      </c>
      <c r="K8" t="s">
        <v>1121</v>
      </c>
    </row>
    <row r="9" spans="1:11">
      <c r="J9" s="2" t="s">
        <v>306</v>
      </c>
      <c r="K9" t="s">
        <v>1122</v>
      </c>
    </row>
    <row r="10" spans="1:11">
      <c r="J10" s="2" t="s">
        <v>371</v>
      </c>
      <c r="K10" t="s">
        <v>1123</v>
      </c>
    </row>
  </sheetData>
  <dataValidations count="1">
    <dataValidation type="list" allowBlank="1" showInputMessage="1" showErrorMessage="1" sqref="A3:A4 B2" xr:uid="{08504AB6-1943-4CDB-9966-7845C91C5653}">
      <formula1>$A$3:$A$4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762AEE074382F459D1866064B8447D4" ma:contentTypeVersion="3" ma:contentTypeDescription="Crear nuevo documento." ma:contentTypeScope="" ma:versionID="fbcb6eca3569625aa3da17f0ecd31501">
  <xsd:schema xmlns:xsd="http://www.w3.org/2001/XMLSchema" xmlns:xs="http://www.w3.org/2001/XMLSchema" xmlns:p="http://schemas.microsoft.com/office/2006/metadata/properties" xmlns:ns2="4662f0e3-f4c4-4931-8e76-960ae722852f" targetNamespace="http://schemas.microsoft.com/office/2006/metadata/properties" ma:root="true" ma:fieldsID="63821c1fe76ba995fd6cb1d2c442ca7a" ns2:_="">
    <xsd:import namespace="4662f0e3-f4c4-4931-8e76-960ae722852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62f0e3-f4c4-4931-8e76-960ae722852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83E6228-D059-4D4A-9844-9FB7E4EC7682}"/>
</file>

<file path=customXml/itemProps2.xml><?xml version="1.0" encoding="utf-8"?>
<ds:datastoreItem xmlns:ds="http://schemas.openxmlformats.org/officeDocument/2006/customXml" ds:itemID="{695864D4-4D75-4318-98FB-08B4DB48CFF6}"/>
</file>

<file path=customXml/itemProps3.xml><?xml version="1.0" encoding="utf-8"?>
<ds:datastoreItem xmlns:ds="http://schemas.openxmlformats.org/officeDocument/2006/customXml" ds:itemID="{9733FB95-B7F1-4430-9D8C-98621A69FCF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Pablo Pirazzoli</dc:creator>
  <cp:keywords/>
  <dc:description/>
  <cp:lastModifiedBy/>
  <cp:revision/>
  <dcterms:created xsi:type="dcterms:W3CDTF">2026-03-04T12:39:48Z</dcterms:created>
  <dcterms:modified xsi:type="dcterms:W3CDTF">2026-03-18T01:00:32Z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0x0101004762AEE074382F459D1866064B8447D4</vt:lpwstr>
  </property>
</Properties>
</file>