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e\zz_ale_cosas\otras_personas\Pirazzoli\pirazzoli-demo\excels\"/>
    </mc:Choice>
  </mc:AlternateContent>
  <xr:revisionPtr revIDLastSave="0" documentId="13_ncr:1_{5CFE47B2-72E0-4627-AA15-1B4DDB4C663A}" xr6:coauthVersionLast="47" xr6:coauthVersionMax="47" xr10:uidLastSave="{00000000-0000-0000-0000-000000000000}"/>
  <bookViews>
    <workbookView xWindow="28680" yWindow="-120" windowWidth="29040" windowHeight="15720" xr2:uid="{7618C72B-C967-4346-827E-EFA46EAC6289}"/>
  </bookViews>
  <sheets>
    <sheet name="IMPO TERR" sheetId="1" r:id="rId1"/>
    <sheet name="IMPO MAR" sheetId="5" r:id="rId2"/>
    <sheet name="Hoja1" sheetId="7" r:id="rId3"/>
    <sheet name="IMPO AEREA" sheetId="6" r:id="rId4"/>
    <sheet name="Matriz datos" sheetId="2" r:id="rId5"/>
  </sheets>
  <definedNames>
    <definedName name="_xlnm._FilterDatabase" localSheetId="1" hidden="1">'IMPO MAR'!$B$1:$AP$143</definedName>
    <definedName name="_xlnm._FilterDatabase" localSheetId="0" hidden="1">'IMPO TERR'!$A$1:$AL$225</definedName>
    <definedName name="CARGA">'Matriz datos'!$B$2:$B$9</definedName>
    <definedName name="cliente">'Matriz datos'!$J$2:$J$11</definedName>
    <definedName name="INSTRUCCIONES">'Matriz datos'!$G$2:$G$3</definedName>
    <definedName name="TIPO_CARGA">'Matriz datos'!$C$2:$C$4</definedName>
    <definedName name="TIPO_OPERACION">'Matriz datos'!$D$2:$D$4</definedName>
    <definedName name="TIPO_TRAMITE">'Matriz datos'!$E$2:$E$4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29" i="1" l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191" i="1"/>
  <c r="U192" i="1"/>
  <c r="U193" i="1"/>
  <c r="U194" i="1"/>
  <c r="U195" i="1"/>
  <c r="U196" i="1"/>
  <c r="U197" i="1"/>
  <c r="U175" i="1"/>
  <c r="U176" i="1"/>
  <c r="U177" i="1"/>
  <c r="U178" i="1"/>
  <c r="U179" i="1"/>
  <c r="U180" i="1"/>
  <c r="U181" i="1"/>
  <c r="U182" i="1"/>
  <c r="U183" i="1"/>
  <c r="U184" i="1"/>
  <c r="U186" i="1"/>
  <c r="U187" i="1"/>
  <c r="U188" i="1"/>
  <c r="U189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7" i="1"/>
  <c r="U158" i="1"/>
  <c r="U159" i="1"/>
  <c r="U160" i="1"/>
  <c r="U162" i="1"/>
  <c r="U163" i="1"/>
  <c r="U164" i="1"/>
  <c r="U166" i="1"/>
  <c r="U167" i="1"/>
  <c r="U168" i="1"/>
  <c r="U169" i="1"/>
  <c r="U171" i="1"/>
  <c r="U172" i="1"/>
  <c r="U173" i="1"/>
  <c r="U174" i="1"/>
  <c r="U129" i="1"/>
  <c r="U130" i="1"/>
  <c r="U131" i="1"/>
  <c r="U132" i="1"/>
  <c r="U133" i="1"/>
  <c r="U134" i="1"/>
  <c r="U135" i="1"/>
  <c r="U136" i="1"/>
  <c r="U137" i="1"/>
  <c r="U52" i="1"/>
  <c r="U126" i="1"/>
  <c r="U127" i="1"/>
  <c r="U128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4" i="1"/>
  <c r="U115" i="1"/>
  <c r="U116" i="1"/>
  <c r="U117" i="1"/>
  <c r="U118" i="1"/>
  <c r="U119" i="1"/>
  <c r="U121" i="1"/>
  <c r="U122" i="1"/>
  <c r="U123" i="1"/>
  <c r="U124" i="1"/>
  <c r="U125" i="1"/>
  <c r="U89" i="1"/>
  <c r="U90" i="1"/>
  <c r="U91" i="1"/>
  <c r="U92" i="1"/>
  <c r="U93" i="1"/>
  <c r="U94" i="1"/>
  <c r="U95" i="1"/>
  <c r="U96" i="1"/>
  <c r="U97" i="1"/>
  <c r="U99" i="1"/>
  <c r="U100" i="1"/>
  <c r="U87" i="1"/>
  <c r="U88" i="1"/>
  <c r="U84" i="1"/>
  <c r="U85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4" i="1"/>
  <c r="U55" i="1"/>
  <c r="U56" i="1"/>
  <c r="U57" i="1"/>
  <c r="U58" i="1"/>
  <c r="U59" i="1"/>
  <c r="U60" i="1"/>
  <c r="U61" i="1"/>
  <c r="U62" i="1"/>
  <c r="U64" i="1"/>
  <c r="U65" i="1"/>
  <c r="U66" i="1"/>
  <c r="U68" i="1"/>
  <c r="U69" i="1"/>
  <c r="U70" i="1"/>
  <c r="U71" i="1"/>
  <c r="U72" i="1"/>
  <c r="U73" i="1"/>
  <c r="U74" i="1"/>
  <c r="U75" i="1"/>
  <c r="U77" i="1"/>
  <c r="U78" i="1"/>
  <c r="U79" i="1"/>
  <c r="U80" i="1"/>
  <c r="U81" i="1"/>
  <c r="U82" i="1"/>
  <c r="U83" i="1"/>
  <c r="U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Pirazzoli</author>
    <author>Melanie Morales</author>
  </authors>
  <commentList>
    <comment ref="F1" authorId="0" shapeId="0" xr:uid="{4486442B-EA0D-43B2-B302-9853CBB26A8F}">
      <text>
        <r>
          <rPr>
            <sz val="11"/>
            <color theme="1"/>
            <rFont val="Calibri"/>
            <family val="2"/>
            <scheme val="minor"/>
          </rPr>
          <t xml:space="preserve">Pablo Pirazzoli:
OK / CON OBSERVACIONES
</t>
        </r>
      </text>
    </comment>
    <comment ref="AG1" authorId="1" shapeId="0" xr:uid="{A75F987F-16DB-4305-B3F5-81AC82E0098F}">
      <text>
        <r>
          <rPr>
            <sz val="11"/>
            <color theme="1"/>
            <rFont val="Calibri"/>
            <family val="2"/>
            <scheme val="minor"/>
          </rPr>
          <t xml:space="preserve">Melanie Morales:
Fecha de papeleta entrega </t>
        </r>
      </text>
    </comment>
    <comment ref="AH1" authorId="1" shapeId="0" xr:uid="{E01D56ED-45BA-42BF-A424-662D755042AE}">
      <text>
        <r>
          <rPr>
            <sz val="11"/>
            <color theme="1"/>
            <rFont val="Calibri"/>
            <family val="2"/>
            <scheme val="minor"/>
          </rPr>
          <t xml:space="preserve">Melanie Morales:
Salida de ptla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Melanie Morales</author>
    <author>Pablo Pirazzoli</author>
  </authors>
  <commentList>
    <comment ref="AJ1" authorId="0" shapeId="0" xr:uid="{2CE31E20-46EF-4AD6-81AF-39E1AEEAE1E9}">
      <text>
        <r>
          <rPr>
            <sz val="11"/>
            <color theme="1"/>
            <rFont val="Calibri"/>
            <family val="2"/>
            <scheme val="minor"/>
          </rPr>
          <t xml:space="preserve">Melanie Morales:
Fecha de papeleta entrega </t>
        </r>
      </text>
    </comment>
    <comment ref="AK1" authorId="0" shapeId="0" xr:uid="{9D34628D-D13B-4A42-849D-58F20A33CB50}">
      <text>
        <r>
          <rPr>
            <sz val="11"/>
            <color theme="1"/>
            <rFont val="Calibri"/>
            <family val="2"/>
            <scheme val="minor"/>
          </rPr>
          <t xml:space="preserve">Melanie Morales:
Salida de ptla </t>
        </r>
      </text>
    </comment>
    <comment ref="AM1" authorId="1" shapeId="0" xr:uid="{32B45A47-FB1B-4949-93AB-3585AC4ABE5C}">
      <text>
        <r>
          <rPr>
            <sz val="11"/>
            <color theme="1"/>
            <rFont val="Calibri"/>
            <family val="2"/>
            <scheme val="minor"/>
          </rPr>
          <t xml:space="preserve">Pablo Pirazzoli:
estado finalizado. datos fijos fila. CIERRE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Melanie Morales</author>
    <author>Pablo Pirazzoli</author>
  </authors>
  <commentList>
    <comment ref="AE1" authorId="0" shapeId="0" xr:uid="{4FBF4001-5C9F-455D-B954-E75FEF8D31C1}">
      <text>
        <r>
          <rPr>
            <sz val="11"/>
            <color theme="1"/>
            <rFont val="Calibri"/>
            <family val="2"/>
            <scheme val="minor"/>
          </rPr>
          <t xml:space="preserve">Melanie Morales:
Fecha de papeleta entrega </t>
        </r>
      </text>
    </comment>
    <comment ref="AF1" authorId="0" shapeId="0" xr:uid="{162EDA1F-493D-42F9-BC8E-88466A5DF0C0}">
      <text>
        <r>
          <rPr>
            <sz val="11"/>
            <color theme="1"/>
            <rFont val="Calibri"/>
            <family val="2"/>
            <scheme val="minor"/>
          </rPr>
          <t xml:space="preserve">Melanie Morales:
Salida de ptla </t>
        </r>
      </text>
    </comment>
    <comment ref="AH1" authorId="1" shapeId="0" xr:uid="{B909D461-21AF-4140-B36A-51ADA9C0C4CC}">
      <text>
        <r>
          <rPr>
            <sz val="11"/>
            <color theme="1"/>
            <rFont val="Calibri"/>
            <family val="2"/>
            <scheme val="minor"/>
          </rPr>
          <t xml:space="preserve">Pablo Pirazzoli:
estado finalizado. datos fijos fila. CIERRE
</t>
        </r>
      </text>
    </comment>
  </commentList>
</comments>
</file>

<file path=xl/sharedStrings.xml><?xml version="1.0" encoding="utf-8"?>
<sst xmlns="http://schemas.openxmlformats.org/spreadsheetml/2006/main" count="4309" uniqueCount="2051">
  <si>
    <t>Referencia cliente.</t>
  </si>
  <si>
    <t>Número de despacho.</t>
  </si>
  <si>
    <t>ESTADO DE LA CARGA</t>
  </si>
  <si>
    <t>INSTRUCCIÓN de DESCARGA</t>
  </si>
  <si>
    <t>Recepción de documentación (FECHA)</t>
  </si>
  <si>
    <t xml:space="preserve">CONDICION DOCUMENTAL </t>
  </si>
  <si>
    <t>Observaciones</t>
  </si>
  <si>
    <t>Fecha: MODIFICACION SOLICITADA</t>
  </si>
  <si>
    <t>CORRECCIONES RECEPCIONADAS</t>
  </si>
  <si>
    <t>FACTURA COMERCIAL</t>
  </si>
  <si>
    <t>TIPO CARGA</t>
  </si>
  <si>
    <t>Origen de la carga.</t>
  </si>
  <si>
    <t>Tipo operacion</t>
  </si>
  <si>
    <t>Paso aduanero (cuando corresponda).</t>
  </si>
  <si>
    <t>CONOCIMIENTO EMBARQUE / CRT</t>
  </si>
  <si>
    <t>MIC</t>
  </si>
  <si>
    <t>EMPRESA DE TRANSPORTE</t>
  </si>
  <si>
    <t>Patente del camión (TRACTO)</t>
  </si>
  <si>
    <t>Patente del camión (REMOLQUE)</t>
  </si>
  <si>
    <t>CLIENTE FINAL</t>
  </si>
  <si>
    <t>Dirección de descarga. DESTINO GD</t>
  </si>
  <si>
    <t>Nombre chofer</t>
  </si>
  <si>
    <t>N° IDENTIFICACION</t>
  </si>
  <si>
    <t>CDA SAG</t>
  </si>
  <si>
    <t>IIPA</t>
  </si>
  <si>
    <t>CDA SEREMI</t>
  </si>
  <si>
    <t>UYD SEREMI</t>
  </si>
  <si>
    <t>Fecha de ingreso ALMACENISTA</t>
  </si>
  <si>
    <t>FECHA PAPELETA INGRESO</t>
  </si>
  <si>
    <t>Fecha de aceptacion DIN</t>
  </si>
  <si>
    <t>DIN</t>
  </si>
  <si>
    <t xml:space="preserve">COMPROBANTE PAGO TGR </t>
  </si>
  <si>
    <t>Fecha de presentación de documentos.( DESPACHO)</t>
  </si>
  <si>
    <t>Fecha de liberación.( SALIDA DE ALMACEN)</t>
  </si>
  <si>
    <t>SELLO AGA</t>
  </si>
  <si>
    <t>REMESA</t>
  </si>
  <si>
    <t>T/C DOLAR legalizacion</t>
  </si>
  <si>
    <t>T/C liberacion carga</t>
  </si>
  <si>
    <t xml:space="preserve">O/87250-6 </t>
  </si>
  <si>
    <t>LIBERADO</t>
  </si>
  <si>
    <t>EMITIDA</t>
  </si>
  <si>
    <t xml:space="preserve">ok </t>
  </si>
  <si>
    <t>Solo envio de doctos draft</t>
  </si>
  <si>
    <t>05/03/2026 09:35 hrs</t>
  </si>
  <si>
    <t>ENFRIADA</t>
  </si>
  <si>
    <t>Brasil</t>
  </si>
  <si>
    <t>TERRESTRE</t>
  </si>
  <si>
    <t xml:space="preserve">Los Andes </t>
  </si>
  <si>
    <t>BR547044923</t>
  </si>
  <si>
    <t>MARVEL</t>
  </si>
  <si>
    <t>SWY2C62</t>
  </si>
  <si>
    <t>RYP8I48</t>
  </si>
  <si>
    <t xml:space="preserve">ALMAFRIGO </t>
  </si>
  <si>
    <t xml:space="preserve"> FABRICIO ESTEVAO DA CRUZ</t>
  </si>
  <si>
    <t xml:space="preserve">  CPF: 445.947.978-81</t>
  </si>
  <si>
    <t>0520260012446CDA</t>
  </si>
  <si>
    <t>0520260018764IIPA</t>
  </si>
  <si>
    <t xml:space="preserve">CN 6526-1 </t>
  </si>
  <si>
    <t>PENDIENTE</t>
  </si>
  <si>
    <t>En espera de resolucion de bodega (minerva)</t>
  </si>
  <si>
    <t>CONGELADA</t>
  </si>
  <si>
    <t>Paraguay</t>
  </si>
  <si>
    <t>PY23TMA1134</t>
  </si>
  <si>
    <t>TRANSMA</t>
  </si>
  <si>
    <t>AALJ416</t>
  </si>
  <si>
    <t>AALJ421</t>
  </si>
  <si>
    <t>CIAL</t>
  </si>
  <si>
    <t>JUAN PABLO MORINIGO</t>
  </si>
  <si>
    <t>CI: 3564133</t>
  </si>
  <si>
    <t>0520260011071CDA</t>
  </si>
  <si>
    <t>0520260017940IIPA</t>
  </si>
  <si>
    <t>SO/6370-22</t>
  </si>
  <si>
    <t>DOCS ORIGINALES PENDIENTES</t>
  </si>
  <si>
    <t>BR547044933</t>
  </si>
  <si>
    <t>RXM4D24</t>
  </si>
  <si>
    <t>RLL3F14</t>
  </si>
  <si>
    <t>WALMART</t>
  </si>
  <si>
    <t>MARCOS ANTONIO DO CARMO</t>
  </si>
  <si>
    <t>CPF: 068.976.759-54</t>
  </si>
  <si>
    <t>0520260011763CDA</t>
  </si>
  <si>
    <t>0520260017950IIPA</t>
  </si>
  <si>
    <t xml:space="preserve">SO/6370-23 </t>
  </si>
  <si>
    <t>BR547044931</t>
  </si>
  <si>
    <t>RXY9C34</t>
  </si>
  <si>
    <t>RXW9H24</t>
  </si>
  <si>
    <t xml:space="preserve"> IVAN DOS SANTOS</t>
  </si>
  <si>
    <t>CPF: 096.316.418-05</t>
  </si>
  <si>
    <t>0520260010619CDA</t>
  </si>
  <si>
    <t>0520260018425IIPA</t>
  </si>
  <si>
    <t>SO/6370-26</t>
  </si>
  <si>
    <t>BR547044941</t>
  </si>
  <si>
    <t>QJG8563</t>
  </si>
  <si>
    <t>SXW7I81</t>
  </si>
  <si>
    <t xml:space="preserve">WESLEM DO NASCIMENTO </t>
  </si>
  <si>
    <t>CPF: 042.438.270-95</t>
  </si>
  <si>
    <t>0520260010919CDA</t>
  </si>
  <si>
    <t>0520260017584IIPA</t>
  </si>
  <si>
    <t>CN 25221</t>
  </si>
  <si>
    <t>2026PYSANJOSE044</t>
  </si>
  <si>
    <t>SAN JOSE</t>
  </si>
  <si>
    <t>TISJ001</t>
  </si>
  <si>
    <t>TISJ004</t>
  </si>
  <si>
    <t>ICESTAR</t>
  </si>
  <si>
    <t>HUGO ARIEL MORINIGO</t>
  </si>
  <si>
    <t>CI: 5.497.180</t>
  </si>
  <si>
    <t>0520260011333CDA</t>
  </si>
  <si>
    <t>0520260017640IIPA</t>
  </si>
  <si>
    <t>SO/6360-28</t>
  </si>
  <si>
    <t>BR547044939</t>
  </si>
  <si>
    <t>RXQ0G36</t>
  </si>
  <si>
    <t>RYK0I89</t>
  </si>
  <si>
    <t>EEDISON JORGE NUNES</t>
  </si>
  <si>
    <t>CPF: 035.606.250-33</t>
  </si>
  <si>
    <t>0520260011336CDA</t>
  </si>
  <si>
    <t>0520260018429IIPA</t>
  </si>
  <si>
    <t>SO/6360-25</t>
  </si>
  <si>
    <t xml:space="preserve">C.O. ERROR </t>
  </si>
  <si>
    <t>BR547044872</t>
  </si>
  <si>
    <t>TDX0H19</t>
  </si>
  <si>
    <t>SXM2B63</t>
  </si>
  <si>
    <t>ANDRE LUIZ DE AQUINO SOARES</t>
  </si>
  <si>
    <t>CPF: 932.708.872-72</t>
  </si>
  <si>
    <t>0520260011220CDA</t>
  </si>
  <si>
    <t>0520260017649IIPA</t>
  </si>
  <si>
    <t xml:space="preserve">SO/6356-4 </t>
  </si>
  <si>
    <t>BR453909363</t>
  </si>
  <si>
    <t>BRILHANTE</t>
  </si>
  <si>
    <t>RHG9B61</t>
  </si>
  <si>
    <t>RLA8I71</t>
  </si>
  <si>
    <t>LUCAS PAULO MAIA QUEIROZ DA SILVA</t>
  </si>
  <si>
    <t>CPF: 903.000.332-4</t>
  </si>
  <si>
    <t>0520260011285CDA</t>
  </si>
  <si>
    <t>0520260018513IIPA</t>
  </si>
  <si>
    <t xml:space="preserve">O/87304-3 </t>
  </si>
  <si>
    <t>BR261615121</t>
  </si>
  <si>
    <t>BELMAT</t>
  </si>
  <si>
    <t>GHG7D55</t>
  </si>
  <si>
    <t>RLB4D02</t>
  </si>
  <si>
    <t>MARCELO DINIZ</t>
  </si>
  <si>
    <t>0520260011841CDA</t>
  </si>
  <si>
    <t>0520260019347IIPA</t>
  </si>
  <si>
    <t xml:space="preserve"> SO/6356-5 </t>
  </si>
  <si>
    <t xml:space="preserve">EMITIDA </t>
  </si>
  <si>
    <t>BR168811718</t>
  </si>
  <si>
    <t>RLB6G92</t>
  </si>
  <si>
    <t>MFV6036</t>
  </si>
  <si>
    <t xml:space="preserve"> HENRIQUE CORREIA</t>
  </si>
  <si>
    <t>CPF: 225.355.138-46</t>
  </si>
  <si>
    <t>0520260011208CDA</t>
  </si>
  <si>
    <t>0520260018794IIPA</t>
  </si>
  <si>
    <t>09-03-2026 </t>
  </si>
  <si>
    <t>CN 6357-10</t>
  </si>
  <si>
    <t>2026PYSANJOSE049</t>
  </si>
  <si>
    <t>LJWL11</t>
  </si>
  <si>
    <t>KDHS40</t>
  </si>
  <si>
    <t>REINALDO COLMAN</t>
  </si>
  <si>
    <t>28.142.153-0</t>
  </si>
  <si>
    <t>0520260011782CDA</t>
  </si>
  <si>
    <t>0520260017968IIPA</t>
  </si>
  <si>
    <t>CN 6358-10</t>
  </si>
  <si>
    <t>26PYFOODS314</t>
  </si>
  <si>
    <t>FRIGOMERC</t>
  </si>
  <si>
    <t>AAAE804</t>
  </si>
  <si>
    <t>AAAE476</t>
  </si>
  <si>
    <t>PEDRO EMILIO CACERES</t>
  </si>
  <si>
    <t>CI 4.183.555</t>
  </si>
  <si>
    <t>0520260011535CDA</t>
  </si>
  <si>
    <t>0520260018254IIPA</t>
  </si>
  <si>
    <t>CN 6359-8</t>
  </si>
  <si>
    <t>PYLG066/2026</t>
  </si>
  <si>
    <t>LUCERY</t>
  </si>
  <si>
    <t>AAGN977</t>
  </si>
  <si>
    <t>AAAE634</t>
  </si>
  <si>
    <t>DERLIS HERMOSA FLORENTIN</t>
  </si>
  <si>
    <t>CI 2.889..378</t>
  </si>
  <si>
    <t>0520260011407CDA</t>
  </si>
  <si>
    <t>0520260017775IIPA</t>
  </si>
  <si>
    <t xml:space="preserve">SO/6354-43 </t>
  </si>
  <si>
    <t>C.O. VALIDAR</t>
  </si>
  <si>
    <t>BR547044989</t>
  </si>
  <si>
    <t>JBG8A84</t>
  </si>
  <si>
    <t>RYM5E22</t>
  </si>
  <si>
    <t>LUCAS MARINGOLO</t>
  </si>
  <si>
    <t>0520260011476CDA</t>
  </si>
  <si>
    <t>0520260018502IIPA</t>
  </si>
  <si>
    <t xml:space="preserve">SO/6354-37 </t>
  </si>
  <si>
    <t>BR547044911</t>
  </si>
  <si>
    <t>RYB8I87</t>
  </si>
  <si>
    <t xml:space="preserve"> ALESSANDRO VIEIRA</t>
  </si>
  <si>
    <t>39.742.349-77</t>
  </si>
  <si>
    <t>0520260011359CDA</t>
  </si>
  <si>
    <t>0520260018718IIPA</t>
  </si>
  <si>
    <t>CN 25320-6</t>
  </si>
  <si>
    <t>PYLG070/2026</t>
  </si>
  <si>
    <t>AAHI130</t>
  </si>
  <si>
    <t>AAKB750</t>
  </si>
  <si>
    <t>RAMIREZ</t>
  </si>
  <si>
    <t>LORENZO MARECOS</t>
  </si>
  <si>
    <t>0520260011416CDA</t>
  </si>
  <si>
    <t>0520260018430IIPA</t>
  </si>
  <si>
    <t xml:space="preserve">SO/6354-41 </t>
  </si>
  <si>
    <t>BR547044956</t>
  </si>
  <si>
    <t>RYX9E71</t>
  </si>
  <si>
    <t>RYP2J71</t>
  </si>
  <si>
    <t>ARLINDO DA SILVA</t>
  </si>
  <si>
    <t>CPF 013.075.065-42</t>
  </si>
  <si>
    <t>0520260011864CDA</t>
  </si>
  <si>
    <t>0520260018359IIPA</t>
  </si>
  <si>
    <t>O/87315-2</t>
  </si>
  <si>
    <t>BR547044967</t>
  </si>
  <si>
    <t>RXT9I23</t>
  </si>
  <si>
    <t>RXO5E92</t>
  </si>
  <si>
    <t>MATHEUS HENRIQUE</t>
  </si>
  <si>
    <t>CPF  466.739.518-42</t>
  </si>
  <si>
    <t>0520260011897CDA</t>
  </si>
  <si>
    <t>0520260018420IIPA</t>
  </si>
  <si>
    <t xml:space="preserve">O/87568 </t>
  </si>
  <si>
    <t>BR698100492</t>
  </si>
  <si>
    <t>VIZZOTTO</t>
  </si>
  <si>
    <t>RYC0I37</t>
  </si>
  <si>
    <t>RLI0I42</t>
  </si>
  <si>
    <t>TIRZA MARINUZE DE LARA</t>
  </si>
  <si>
    <t>CPF 067.225.439-51</t>
  </si>
  <si>
    <t>0520260011917CDA</t>
  </si>
  <si>
    <t>0520260018423IIPA</t>
  </si>
  <si>
    <t xml:space="preserve">CN 6360-30 </t>
  </si>
  <si>
    <t>PYLG072/2026</t>
  </si>
  <si>
    <t>AAIE199</t>
  </si>
  <si>
    <t>AAMA137</t>
  </si>
  <si>
    <t>FERNANDO ACOSTA AGUILAR</t>
  </si>
  <si>
    <t>CI 3.532.558</t>
  </si>
  <si>
    <t>0520260011516CDA</t>
  </si>
  <si>
    <t>0520260018850IIPA</t>
  </si>
  <si>
    <t>08-03-2026 </t>
  </si>
  <si>
    <t>SO/6397-2P</t>
  </si>
  <si>
    <t>GUIA MOD.DESTINO (RUTA 5 SUR N 2786 KM252-PLANTA 3, TALCA)</t>
  </si>
  <si>
    <t>BR707400447</t>
  </si>
  <si>
    <t>MF</t>
  </si>
  <si>
    <t>SQA4B99</t>
  </si>
  <si>
    <t>SPZ5D39</t>
  </si>
  <si>
    <t>Ruta 5 Sur N 2786 KM 252-Planta 3, Talca</t>
  </si>
  <si>
    <t xml:space="preserve"> JACSON DOUGLAS LOCH</t>
  </si>
  <si>
    <t xml:space="preserve">CPF 044.818.939-90 </t>
  </si>
  <si>
    <t>0520260011946CDA</t>
  </si>
  <si>
    <t>0520260018771IIPA</t>
  </si>
  <si>
    <t xml:space="preserve"> SO/6456-3 </t>
  </si>
  <si>
    <t>BR512203456</t>
  </si>
  <si>
    <t>VENEZA</t>
  </si>
  <si>
    <t>RGM7C35</t>
  </si>
  <si>
    <t>QJB2B11</t>
  </si>
  <si>
    <t xml:space="preserve"> RAFAEL GERMANO</t>
  </si>
  <si>
    <t>CPF  066.643.969-98</t>
  </si>
  <si>
    <t>0520260012067CDA</t>
  </si>
  <si>
    <t>0520260018434IIPA</t>
  </si>
  <si>
    <t>SO/6354-39</t>
  </si>
  <si>
    <t>BR547044938</t>
  </si>
  <si>
    <t>SXA9J22</t>
  </si>
  <si>
    <t>SXA1F12</t>
  </si>
  <si>
    <t>MAURO MARTINS</t>
  </si>
  <si>
    <t>CPF 255.154.228-64</t>
  </si>
  <si>
    <t>0520260011881CDA</t>
  </si>
  <si>
    <t>0520260018267IIPA</t>
  </si>
  <si>
    <t>02-03-2026 </t>
  </si>
  <si>
    <t xml:space="preserve">SO/6370-27 </t>
  </si>
  <si>
    <t>BR547044995</t>
  </si>
  <si>
    <t>RLI5A86</t>
  </si>
  <si>
    <t>RYF1C29</t>
  </si>
  <si>
    <t xml:space="preserve"> STEVAO GARCIA</t>
  </si>
  <si>
    <t>CPF 730.604.960-72</t>
  </si>
  <si>
    <t>0520260012044CDA</t>
  </si>
  <si>
    <t>0520260018943IIPA</t>
  </si>
  <si>
    <t>SO/6354-42</t>
  </si>
  <si>
    <t>BR547044969</t>
  </si>
  <si>
    <t>QTL0655</t>
  </si>
  <si>
    <t>RYL9J02</t>
  </si>
  <si>
    <t>ROMEU DOS SANTOS</t>
  </si>
  <si>
    <t>CPF 536.104.825-91</t>
  </si>
  <si>
    <t>0520260012066CDA</t>
  </si>
  <si>
    <t>0520260018462IIPA</t>
  </si>
  <si>
    <t>SO/6331-15</t>
  </si>
  <si>
    <t>Argentina</t>
  </si>
  <si>
    <t>052024TC2026</t>
  </si>
  <si>
    <t>TRES CRUCES</t>
  </si>
  <si>
    <t>AG826IT</t>
  </si>
  <si>
    <t>AG337WM</t>
  </si>
  <si>
    <t>ESTRELA MAURICIO ALBERTO</t>
  </si>
  <si>
    <t>DNI 29.217.376</t>
  </si>
  <si>
    <t xml:space="preserve">0520260012059CDA </t>
  </si>
  <si>
    <t>0520260018004IIPA</t>
  </si>
  <si>
    <t>SO/6330-11</t>
  </si>
  <si>
    <t>052AR219400890</t>
  </si>
  <si>
    <t>RIO COLORADO</t>
  </si>
  <si>
    <t>RBTW67</t>
  </si>
  <si>
    <t>JB6491</t>
  </si>
  <si>
    <t xml:space="preserve">MARIO TASTACA </t>
  </si>
  <si>
    <t>CI 27.736874-9</t>
  </si>
  <si>
    <t>0520260011708CDA</t>
  </si>
  <si>
    <t>0520260017620IIPA</t>
  </si>
  <si>
    <t xml:space="preserve"> SO/6354-38 </t>
  </si>
  <si>
    <t>BR547044953</t>
  </si>
  <si>
    <t>RDS0192</t>
  </si>
  <si>
    <t>TPY4177</t>
  </si>
  <si>
    <t xml:space="preserve">JOAO CARLOS ALVES </t>
  </si>
  <si>
    <t>CPF: 714.674.756-53</t>
  </si>
  <si>
    <t>0520260012068CDA</t>
  </si>
  <si>
    <t>0520260019904IIPA</t>
  </si>
  <si>
    <t xml:space="preserve">O/87772-1 </t>
  </si>
  <si>
    <t>BR547044927</t>
  </si>
  <si>
    <t>RLM6H97</t>
  </si>
  <si>
    <t>QIT8604</t>
  </si>
  <si>
    <t>JOSE MAURO VIDEIRA</t>
  </si>
  <si>
    <t xml:space="preserve">CPF 283.898.578-71 </t>
  </si>
  <si>
    <t>0520260011858CDA</t>
  </si>
  <si>
    <t>0520260018501IIPA/0520260018500IIPA</t>
  </si>
  <si>
    <t xml:space="preserve">O/87772-2 </t>
  </si>
  <si>
    <t>BR547045030</t>
  </si>
  <si>
    <t>TDQ9I41</t>
  </si>
  <si>
    <t>SXV1F31</t>
  </si>
  <si>
    <t xml:space="preserve"> JOSE PAGOTTI</t>
  </si>
  <si>
    <t>CPF 108.083.478-88</t>
  </si>
  <si>
    <t>0520260012143CDA</t>
  </si>
  <si>
    <t>0520260018941IIPA/0520260018942IIPA</t>
  </si>
  <si>
    <t xml:space="preserve">SO/6360-31 </t>
  </si>
  <si>
    <t>BR547045033</t>
  </si>
  <si>
    <t>RXZ4F56</t>
  </si>
  <si>
    <t>RYC8F45</t>
  </si>
  <si>
    <t>ALEX SANDRO GARCEZ AMARO</t>
  </si>
  <si>
    <t>CPF: 012.846.590-54</t>
  </si>
  <si>
    <t>0520260012308CDA</t>
  </si>
  <si>
    <t>0520260019893IIPA</t>
  </si>
  <si>
    <t>SO/6354-45</t>
  </si>
  <si>
    <t>BR547045016</t>
  </si>
  <si>
    <t>RXY9E54</t>
  </si>
  <si>
    <t>RXK1C65</t>
  </si>
  <si>
    <t xml:space="preserve"> MARCIO DA SILVA</t>
  </si>
  <si>
    <t>CPF 256.358.608-93</t>
  </si>
  <si>
    <t>0520260011913CDA</t>
  </si>
  <si>
    <t>0520260019321IIPA</t>
  </si>
  <si>
    <t>SO/6370-29</t>
  </si>
  <si>
    <t>BR547045026</t>
  </si>
  <si>
    <t>SXI7A02</t>
  </si>
  <si>
    <t>RYW5J12</t>
  </si>
  <si>
    <t xml:space="preserve"> ELIO PEREIRA DE OLIVEIRA</t>
  </si>
  <si>
    <t>CPF  829.160-129-15</t>
  </si>
  <si>
    <t>0520260012190CDA</t>
  </si>
  <si>
    <t>0520260019259IIPA</t>
  </si>
  <si>
    <t xml:space="preserve">SO/6354-46 </t>
  </si>
  <si>
    <t>BR547045038</t>
  </si>
  <si>
    <t>RXW2G34</t>
  </si>
  <si>
    <t>SXA7D71</t>
  </si>
  <si>
    <t>GABRIEL CAMARGO FORTES</t>
  </si>
  <si>
    <t>CPF:446.710.208-66</t>
  </si>
  <si>
    <t>0520260012109CDA</t>
  </si>
  <si>
    <t>0520260020948IIPA</t>
  </si>
  <si>
    <t xml:space="preserve">CN 6360-29 </t>
  </si>
  <si>
    <t>PY23TMA1138</t>
  </si>
  <si>
    <t>ADRI003</t>
  </si>
  <si>
    <t>ADRI002</t>
  </si>
  <si>
    <t xml:space="preserve"> ALCIDES AVALOS</t>
  </si>
  <si>
    <t>CI 1.892.875</t>
  </si>
  <si>
    <t>0520260012345CDA</t>
  </si>
  <si>
    <t>0520260018836IIPA</t>
  </si>
  <si>
    <t xml:space="preserve">AR/18899-1 </t>
  </si>
  <si>
    <t>052AR219400891</t>
  </si>
  <si>
    <t>HDLX77</t>
  </si>
  <si>
    <t>HGKX36</t>
  </si>
  <si>
    <t>TOTTUS</t>
  </si>
  <si>
    <t>DANIEL PEREZ</t>
  </si>
  <si>
    <t>DNI 41.031.050</t>
  </si>
  <si>
    <t>0520260012228CDA</t>
  </si>
  <si>
    <t>0520260018428IIPA</t>
  </si>
  <si>
    <t xml:space="preserve">SO/6362-3 </t>
  </si>
  <si>
    <t>BR453909370</t>
  </si>
  <si>
    <t>RHR6J21</t>
  </si>
  <si>
    <t>RLG5E30</t>
  </si>
  <si>
    <t xml:space="preserve"> ADRIANO DE SOUZA</t>
  </si>
  <si>
    <t>CPF 440.436.603-59</t>
  </si>
  <si>
    <t>0520260011922CDA</t>
  </si>
  <si>
    <t>0520260019337IIPA</t>
  </si>
  <si>
    <t xml:space="preserve">SO/6354-44 </t>
  </si>
  <si>
    <t>BR547045035</t>
  </si>
  <si>
    <t>SYU4C97</t>
  </si>
  <si>
    <t>RYT3J70</t>
  </si>
  <si>
    <t xml:space="preserve"> AMILTON SOARES SILVA</t>
  </si>
  <si>
    <t>CPF: 075.503.384-18</t>
  </si>
  <si>
    <t>0520260012239CDA</t>
  </si>
  <si>
    <t>0520260022045IIPA</t>
  </si>
  <si>
    <t>SO/6362-1</t>
  </si>
  <si>
    <t>BR633202432</t>
  </si>
  <si>
    <t>MIRO</t>
  </si>
  <si>
    <t>SVR4A13</t>
  </si>
  <si>
    <t>SXJ3J97</t>
  </si>
  <si>
    <t xml:space="preserve"> JONATHAN EDUARTS</t>
  </si>
  <si>
    <t>CPF 096.694.049-08</t>
  </si>
  <si>
    <t>0520260011936CDA</t>
  </si>
  <si>
    <t>0520260019328IIPA</t>
  </si>
  <si>
    <t>CN 6357-8</t>
  </si>
  <si>
    <t>26PYFOODS316</t>
  </si>
  <si>
    <t>PYFOOD</t>
  </si>
  <si>
    <t>AARP790</t>
  </si>
  <si>
    <t>AAAE475</t>
  </si>
  <si>
    <t xml:space="preserve">CRESCENCIO RAMON MEZA MEZA </t>
  </si>
  <si>
    <t>CI 1.219.938</t>
  </si>
  <si>
    <t>0520260012113CDA</t>
  </si>
  <si>
    <t>0520260018426IIPA</t>
  </si>
  <si>
    <t>06-03-2026 </t>
  </si>
  <si>
    <t xml:space="preserve">SO/6456-4 </t>
  </si>
  <si>
    <t>BR453909378</t>
  </si>
  <si>
    <t>SEK6H34</t>
  </si>
  <si>
    <t>SXX0174</t>
  </si>
  <si>
    <t>LUCAS DE OLIVEIRA SOUZA</t>
  </si>
  <si>
    <t>CPF 118.782.169-10</t>
  </si>
  <si>
    <t>0520260012536CDA</t>
  </si>
  <si>
    <t>0520260019917IIPA</t>
  </si>
  <si>
    <t xml:space="preserve">SO/6356-6 </t>
  </si>
  <si>
    <t>BR453909383</t>
  </si>
  <si>
    <t>SDZ5E28</t>
  </si>
  <si>
    <t>REA1E31</t>
  </si>
  <si>
    <t>JOSENILDO FREIRE DA SILVA</t>
  </si>
  <si>
    <t>CPF 019.229.154-83</t>
  </si>
  <si>
    <t>0520260012538CDA</t>
  </si>
  <si>
    <t>0520260018936IIPA</t>
  </si>
  <si>
    <t>SO/6330-13</t>
  </si>
  <si>
    <t>052AR219400892</t>
  </si>
  <si>
    <t>HFST22</t>
  </si>
  <si>
    <t>JL7542</t>
  </si>
  <si>
    <t>SERGIO REMAUT</t>
  </si>
  <si>
    <t>CI 28.007.720-8</t>
  </si>
  <si>
    <t>0520260011930CDA</t>
  </si>
  <si>
    <t>0520260018407IIPA</t>
  </si>
  <si>
    <t>CN 25314-3</t>
  </si>
  <si>
    <t>2026PYSANJOSE053</t>
  </si>
  <si>
    <t>AAHX504</t>
  </si>
  <si>
    <t>BETO050</t>
  </si>
  <si>
    <t xml:space="preserve"> JORGE GEDEON</t>
  </si>
  <si>
    <t>0520260012240CDA</t>
  </si>
  <si>
    <t>0520260018948IIPA</t>
  </si>
  <si>
    <t xml:space="preserve">AR/18699-5 </t>
  </si>
  <si>
    <t>083029TC2026</t>
  </si>
  <si>
    <t>AF325OC</t>
  </si>
  <si>
    <t>AF363HN</t>
  </si>
  <si>
    <t>RENDIC</t>
  </si>
  <si>
    <t>MAYORGA MIGUEL</t>
  </si>
  <si>
    <t>DNI 25375378</t>
  </si>
  <si>
    <t>0520260011949CDA</t>
  </si>
  <si>
    <t>0520260017929IIPA</t>
  </si>
  <si>
    <t>CN 25235-2</t>
  </si>
  <si>
    <t>PYLG073/2026</t>
  </si>
  <si>
    <t>AAJK151</t>
  </si>
  <si>
    <t>AAIL683</t>
  </si>
  <si>
    <t>KARMAC</t>
  </si>
  <si>
    <t xml:space="preserve"> DAVID GALEANO</t>
  </si>
  <si>
    <t>0520260012542CDA</t>
  </si>
  <si>
    <t>0520260018871IIPA</t>
  </si>
  <si>
    <t>SO/6330-12</t>
  </si>
  <si>
    <t>05217470TKBA26</t>
  </si>
  <si>
    <t>TURKEN</t>
  </si>
  <si>
    <t>PDKT55</t>
  </si>
  <si>
    <t>KYPP95</t>
  </si>
  <si>
    <t>CORNEJO DAVID ORLANDO</t>
  </si>
  <si>
    <t>CI: 27.724.218-4</t>
  </si>
  <si>
    <t>0520260012282CDA</t>
  </si>
  <si>
    <t>0520260018418IIPA</t>
  </si>
  <si>
    <t>SO/6370-30</t>
  </si>
  <si>
    <t>BR547045046</t>
  </si>
  <si>
    <t>RYZ5B71</t>
  </si>
  <si>
    <t>TPU5H98</t>
  </si>
  <si>
    <t xml:space="preserve"> LUCIANO DE CAMPOS</t>
  </si>
  <si>
    <t>CPF: 179.279.918-90</t>
  </si>
  <si>
    <t>0520260012566CDA</t>
  </si>
  <si>
    <t>0520260018938IIPA</t>
  </si>
  <si>
    <t>SO/6362-4</t>
  </si>
  <si>
    <t>BR512203463</t>
  </si>
  <si>
    <t>SXB9E75</t>
  </si>
  <si>
    <t>SXA8C05</t>
  </si>
  <si>
    <t>IVONEI FRANCHINI</t>
  </si>
  <si>
    <t>CPF: 028.716.939-19</t>
  </si>
  <si>
    <t>0520260012574CDA</t>
  </si>
  <si>
    <t>0520260018940IIPA</t>
  </si>
  <si>
    <t xml:space="preserve">O/87315-3 </t>
  </si>
  <si>
    <t>BR261615139</t>
  </si>
  <si>
    <t>CORDENOSI</t>
  </si>
  <si>
    <t>RYB9H52</t>
  </si>
  <si>
    <t>RLH1B24</t>
  </si>
  <si>
    <t>FABIO DA SILVA ABREU CARDOSO</t>
  </si>
  <si>
    <t>CPF: 139.977.107-83</t>
  </si>
  <si>
    <t>0520260012603CDA</t>
  </si>
  <si>
    <t>0520260021539IIPA</t>
  </si>
  <si>
    <t xml:space="preserve">SO/6397-10 </t>
  </si>
  <si>
    <t>GUIA MOD.DESTINO (CAMINO STA.MARTA N2101, MAIPU)</t>
  </si>
  <si>
    <t>BR707400448</t>
  </si>
  <si>
    <t>RRX1H82</t>
  </si>
  <si>
    <t>RRT5B32</t>
  </si>
  <si>
    <t>CAMINO SANTA MARTA N2101, MAIPU</t>
  </si>
  <si>
    <t>LUIZ CARLOS RODRIGUES</t>
  </si>
  <si>
    <t>CPF: 920.555.591-68</t>
  </si>
  <si>
    <t>0520260012454CDA</t>
  </si>
  <si>
    <t>0520260018809IIPA</t>
  </si>
  <si>
    <t>SO/6369-10</t>
  </si>
  <si>
    <t>BR547044982</t>
  </si>
  <si>
    <t>RYH3D89</t>
  </si>
  <si>
    <t>RXK9A35</t>
  </si>
  <si>
    <t xml:space="preserve"> LUIZ ANTONIO DA SILVA</t>
  </si>
  <si>
    <t>CPF: 495.240.971-68</t>
  </si>
  <si>
    <t>0520260012350CDA</t>
  </si>
  <si>
    <t>0520260018956IIPA</t>
  </si>
  <si>
    <t>SO/6575-1</t>
  </si>
  <si>
    <t xml:space="preserve">Camion no fue inspeccionado ya que estaba bloqueado </t>
  </si>
  <si>
    <t>0520052026CH</t>
  </si>
  <si>
    <t>BERTA GARCIA</t>
  </si>
  <si>
    <t>HLZW91</t>
  </si>
  <si>
    <t>PWST38</t>
  </si>
  <si>
    <t xml:space="preserve"> HUGO DURE OJEDA </t>
  </si>
  <si>
    <t>CI 1.884.261</t>
  </si>
  <si>
    <t>0520260012510CDA</t>
  </si>
  <si>
    <t>0520260019230IIPA</t>
  </si>
  <si>
    <t>CN 25320-5</t>
  </si>
  <si>
    <t>PYLG074/2026</t>
  </si>
  <si>
    <t>AAIE005</t>
  </si>
  <si>
    <t>AAIE004</t>
  </si>
  <si>
    <t>ANTONIO RIOS</t>
  </si>
  <si>
    <t>0520260012580CDA</t>
  </si>
  <si>
    <t>0520260019886IIPA</t>
  </si>
  <si>
    <t>CN 25412-1</t>
  </si>
  <si>
    <t>PY23TMA1140</t>
  </si>
  <si>
    <t>AASC567</t>
  </si>
  <si>
    <t>AARP529</t>
  </si>
  <si>
    <t xml:space="preserve"> NELSON GONZALEZ</t>
  </si>
  <si>
    <t>CI: 4.926.875</t>
  </si>
  <si>
    <t>0520260012505CDA</t>
  </si>
  <si>
    <t>0520260019349IIPA</t>
  </si>
  <si>
    <t>CN 25368-2</t>
  </si>
  <si>
    <t>PYLG075/2026</t>
  </si>
  <si>
    <t>AAGN704</t>
  </si>
  <si>
    <t>AAIN016</t>
  </si>
  <si>
    <t>FRIGOZETA</t>
  </si>
  <si>
    <t>DIEGO SAMUDIO BARRIOS</t>
  </si>
  <si>
    <t>0520260012739CDA</t>
  </si>
  <si>
    <t>0520260019888IIPA</t>
  </si>
  <si>
    <t>CN 6358-13</t>
  </si>
  <si>
    <t>PYLG076/2026</t>
  </si>
  <si>
    <t>AAHI478</t>
  </si>
  <si>
    <t>AAMS803</t>
  </si>
  <si>
    <t>SERGIO RAMON OVELAR</t>
  </si>
  <si>
    <t>0520260012865CDA</t>
  </si>
  <si>
    <t>0520260019896IIPA</t>
  </si>
  <si>
    <t>SO/6397-7</t>
  </si>
  <si>
    <t>BR547045048</t>
  </si>
  <si>
    <t>RYH3B97</t>
  </si>
  <si>
    <t>RXO5F99</t>
  </si>
  <si>
    <t xml:space="preserve">SIDNEI DOS SANTOS MASCENA </t>
  </si>
  <si>
    <t>CPF: 003.174.795-71</t>
  </si>
  <si>
    <t>0520260012663CDA</t>
  </si>
  <si>
    <t>0520260020609IIPA</t>
  </si>
  <si>
    <t>SO/6354-48</t>
  </si>
  <si>
    <t>BR547046096</t>
  </si>
  <si>
    <t>RLH5195</t>
  </si>
  <si>
    <t>RAD1204</t>
  </si>
  <si>
    <t>AGLAYR VAGNER DA SILVA BENICIO</t>
  </si>
  <si>
    <t>CPF: 094.932.184-22</t>
  </si>
  <si>
    <t>0520260012881CDA</t>
  </si>
  <si>
    <t>0520260024254IIPA</t>
  </si>
  <si>
    <t>SO/6362-5</t>
  </si>
  <si>
    <t xml:space="preserve"> CAJA CON PROBLE DE ETIQUETADO  A LA ESPERA DE DESTRUCCION </t>
  </si>
  <si>
    <t>BR512203471</t>
  </si>
  <si>
    <t>RLN3177</t>
  </si>
  <si>
    <t>QIE4446</t>
  </si>
  <si>
    <t>EDUARDO FELIPE DE BRITTO</t>
  </si>
  <si>
    <t>CPF: 103.468.359-41</t>
  </si>
  <si>
    <t>0520260012979CDA</t>
  </si>
  <si>
    <t>0520260020953IIPA</t>
  </si>
  <si>
    <t>O/88092</t>
  </si>
  <si>
    <t xml:space="preserve">BR453909390 </t>
  </si>
  <si>
    <t>RHU1F29</t>
  </si>
  <si>
    <t>TBG6J04</t>
  </si>
  <si>
    <t>MERCADO FRANKLIN 888, SANTIAGO</t>
  </si>
  <si>
    <t>LEANDRO LOPES DE LIMA PEREIRA</t>
  </si>
  <si>
    <t>CPF: 088.840.269-46</t>
  </si>
  <si>
    <t>0520260012720CDA</t>
  </si>
  <si>
    <t>0520260021741IIPA</t>
  </si>
  <si>
    <t>SO/6362-2</t>
  </si>
  <si>
    <t>BR547045042</t>
  </si>
  <si>
    <t>RLJ2171</t>
  </si>
  <si>
    <t>RYF0E17</t>
  </si>
  <si>
    <t>ROBSON ROSA DO NASCIMENTO</t>
  </si>
  <si>
    <t>CPF: 194.816.998-38</t>
  </si>
  <si>
    <t>0520260012894CDA</t>
  </si>
  <si>
    <t>0520260020894IIPA</t>
  </si>
  <si>
    <t>SO/6370-32</t>
  </si>
  <si>
    <t>BR547046082</t>
  </si>
  <si>
    <t>RLK5H25</t>
  </si>
  <si>
    <t>SILVANA ADRIA</t>
  </si>
  <si>
    <t>CPF:059.254.209-26</t>
  </si>
  <si>
    <t>0520260012751CDA</t>
  </si>
  <si>
    <t>0520260021402IIPA</t>
  </si>
  <si>
    <t>SO/6350-9</t>
  </si>
  <si>
    <t>BR547046105</t>
  </si>
  <si>
    <t>RXZ3H19</t>
  </si>
  <si>
    <t>RXV7B59</t>
  </si>
  <si>
    <t xml:space="preserve">EZEQUIEL DOS SANTOS </t>
  </si>
  <si>
    <t>CPF: 004.007.569-94</t>
  </si>
  <si>
    <t>0520260012889CDA</t>
  </si>
  <si>
    <t>0520260022035IIPA</t>
  </si>
  <si>
    <t>SO/6497-1</t>
  </si>
  <si>
    <t>BR512203472</t>
  </si>
  <si>
    <t>RXY6J89</t>
  </si>
  <si>
    <t>RLH9C86</t>
  </si>
  <si>
    <t>LETICIA DE CARVALHO</t>
  </si>
  <si>
    <t>0520260013160CDA</t>
  </si>
  <si>
    <t>0520260020946IIPA</t>
  </si>
  <si>
    <t>SO/6350-5</t>
  </si>
  <si>
    <t>BR547046119</t>
  </si>
  <si>
    <t>RLN9J25</t>
  </si>
  <si>
    <t>RLM7H95</t>
  </si>
  <si>
    <t>NATANAEL DOS SANTOS FERTONANE</t>
  </si>
  <si>
    <t>CPF:038.213.502-45</t>
  </si>
  <si>
    <t>0520260013030CDA</t>
  </si>
  <si>
    <t>0520260022058IIPA</t>
  </si>
  <si>
    <t>SO/6397-8</t>
  </si>
  <si>
    <t>BR512203469</t>
  </si>
  <si>
    <t>SXK6J99</t>
  </si>
  <si>
    <t>RYN2C80</t>
  </si>
  <si>
    <t xml:space="preserve">CLAUDIO LARA DE JESUS </t>
  </si>
  <si>
    <t>CPF: 049.285.829-26</t>
  </si>
  <si>
    <t>0520260012912CDA</t>
  </si>
  <si>
    <t>0520260020952IIPA</t>
  </si>
  <si>
    <t>SO/6370-28</t>
  </si>
  <si>
    <t>CDA SALUD DEVUELTO POR FIRMADOR</t>
  </si>
  <si>
    <t>BR547045034</t>
  </si>
  <si>
    <t>RYH3E69</t>
  </si>
  <si>
    <t>SXG8173</t>
  </si>
  <si>
    <t>ROBISON JUNIOR FALCAO</t>
  </si>
  <si>
    <t>CPF: 070.468.649-00</t>
  </si>
  <si>
    <t>0520260012789CDA</t>
  </si>
  <si>
    <t>0520260020776IIPA</t>
  </si>
  <si>
    <t>CN 6357-13</t>
  </si>
  <si>
    <t>PY23TMA1141</t>
  </si>
  <si>
    <t>BRNA075</t>
  </si>
  <si>
    <t>TINI074</t>
  </si>
  <si>
    <t>LUIS BENITZ</t>
  </si>
  <si>
    <t>CI: 3.508.310</t>
  </si>
  <si>
    <t>0520260012903CDA</t>
  </si>
  <si>
    <t>0520260021305IIPA</t>
  </si>
  <si>
    <t>SO/6354-47</t>
  </si>
  <si>
    <t>BR547046065</t>
  </si>
  <si>
    <t>RXV7D73</t>
  </si>
  <si>
    <t>OJL0526</t>
  </si>
  <si>
    <t>FERNANDO SCHMITT</t>
  </si>
  <si>
    <t>CPF: 022.714.529-10</t>
  </si>
  <si>
    <t>0520260013175CDA</t>
  </si>
  <si>
    <t>0520260022040IIPA</t>
  </si>
  <si>
    <t>CN 25412-2</t>
  </si>
  <si>
    <t>PY23TMA1142</t>
  </si>
  <si>
    <t>AAVP142</t>
  </si>
  <si>
    <t>AAFR256</t>
  </si>
  <si>
    <t>JUAN CARLOS GONZALES</t>
  </si>
  <si>
    <t>CI: 4.550.729</t>
  </si>
  <si>
    <t>0520260013042CDA</t>
  </si>
  <si>
    <t>0520260021301IIPA</t>
  </si>
  <si>
    <t>SO/6397-9</t>
  </si>
  <si>
    <t xml:space="preserve"> Pendiente Factura </t>
  </si>
  <si>
    <t>BR707400452</t>
  </si>
  <si>
    <t>SPX6D65</t>
  </si>
  <si>
    <t>SPU3D81</t>
  </si>
  <si>
    <t>RENILDO DE SOUZA</t>
  </si>
  <si>
    <t>0520260013327CDA</t>
  </si>
  <si>
    <t>0520260020775IIPA</t>
  </si>
  <si>
    <t>16.740.00</t>
  </si>
  <si>
    <t>AR/18699-6</t>
  </si>
  <si>
    <t>083031TC2026</t>
  </si>
  <si>
    <t>AE443QW</t>
  </si>
  <si>
    <t>AE573JA</t>
  </si>
  <si>
    <t>CRISTIAN MARIO CALCATERRA</t>
  </si>
  <si>
    <t>DNI 24344790</t>
  </si>
  <si>
    <t>0520260012980CDA</t>
  </si>
  <si>
    <t>0520260019873IIPA</t>
  </si>
  <si>
    <t>AR/18891-1</t>
  </si>
  <si>
    <t xml:space="preserve">En espera de cert. embarque ( correcto ) </t>
  </si>
  <si>
    <t>05217474TKBA26</t>
  </si>
  <si>
    <t>26AR094328N</t>
  </si>
  <si>
    <t>LZRH39</t>
  </si>
  <si>
    <t>KYPP93</t>
  </si>
  <si>
    <t xml:space="preserve">ICESTAR (TOTTUS) </t>
  </si>
  <si>
    <t xml:space="preserve"> AV. AMERICO VESPUCIO 0350, QUILICURA</t>
  </si>
  <si>
    <t>CLAUDIO DANIEL AVILA</t>
  </si>
  <si>
    <t>CI: 28.928.820-1</t>
  </si>
  <si>
    <t>0520260013114CDA</t>
  </si>
  <si>
    <t>0520260020329IIPA</t>
  </si>
  <si>
    <t>CN 6358-12</t>
  </si>
  <si>
    <t>2026PYSANJOSE056B</t>
  </si>
  <si>
    <t>CFGY84</t>
  </si>
  <si>
    <t>GRJZ25</t>
  </si>
  <si>
    <t xml:space="preserve"> JUAN LEDEZMA</t>
  </si>
  <si>
    <t>0520260013190CDA</t>
  </si>
  <si>
    <t>0520260021127IIPA</t>
  </si>
  <si>
    <t>CN 6358-12A</t>
  </si>
  <si>
    <t>2026PYSANJOSE056A</t>
  </si>
  <si>
    <t>SO/6370-25</t>
  </si>
  <si>
    <t>BR547044942</t>
  </si>
  <si>
    <t>RXW2D34</t>
  </si>
  <si>
    <t>SXJ2B28</t>
  </si>
  <si>
    <t>MARCOS ANTONIO DA  SILVA</t>
  </si>
  <si>
    <t>CPF: 173.180.858-98</t>
  </si>
  <si>
    <t>0520260013059CDA</t>
  </si>
  <si>
    <t>0520260019875IIPA</t>
  </si>
  <si>
    <t>SO/6331-16</t>
  </si>
  <si>
    <t>052030TC2026</t>
  </si>
  <si>
    <t>AE484FV</t>
  </si>
  <si>
    <t>AE515QK</t>
  </si>
  <si>
    <t>ARIEL MUÑOZ</t>
  </si>
  <si>
    <t>DNI: 26.395.174</t>
  </si>
  <si>
    <t>0520260012984CDA</t>
  </si>
  <si>
    <t>0520260019876IIPA</t>
  </si>
  <si>
    <t>CN 6355-2P</t>
  </si>
  <si>
    <t>PY23TMA1143</t>
  </si>
  <si>
    <t>CRIS006</t>
  </si>
  <si>
    <t>CRIS008</t>
  </si>
  <si>
    <t>IVAN CESPEDES</t>
  </si>
  <si>
    <t>CI: 4.487.343</t>
  </si>
  <si>
    <t>0520260013234CDA</t>
  </si>
  <si>
    <t>0520260021403IIPA</t>
  </si>
  <si>
    <t>CN 6359-10</t>
  </si>
  <si>
    <t>26PYFOODS319</t>
  </si>
  <si>
    <t>AARP789</t>
  </si>
  <si>
    <t>AAAE809</t>
  </si>
  <si>
    <t>JOSE OMAR BAREIRO ECHAGUE</t>
  </si>
  <si>
    <t xml:space="preserve"> CI: 3.393.495</t>
  </si>
  <si>
    <t>0520260013230CDA</t>
  </si>
  <si>
    <t>0520260020951IIPA</t>
  </si>
  <si>
    <t>CN 6359-10A</t>
  </si>
  <si>
    <t>10/0372026</t>
  </si>
  <si>
    <t>26PYFOODS320</t>
  </si>
  <si>
    <t>0520260020950IIPA</t>
  </si>
  <si>
    <t>SO/6331-17</t>
  </si>
  <si>
    <t>052033TC2026</t>
  </si>
  <si>
    <t>EXPOVERDE</t>
  </si>
  <si>
    <t>AH510WF</t>
  </si>
  <si>
    <t>AH482OL</t>
  </si>
  <si>
    <t xml:space="preserve">CESAR AUGUSTO SORIA </t>
  </si>
  <si>
    <t>DNI: 29.701.819</t>
  </si>
  <si>
    <t>0520260013238CDA</t>
  </si>
  <si>
    <t>0520260020624IIPA</t>
  </si>
  <si>
    <t>SO/6330-14</t>
  </si>
  <si>
    <t>052032TC2026</t>
  </si>
  <si>
    <t>AE443QX</t>
  </si>
  <si>
    <t>AG364RE</t>
  </si>
  <si>
    <t xml:space="preserve">HUGO GASTON CORTES </t>
  </si>
  <si>
    <t>DNI 27.390.951</t>
  </si>
  <si>
    <t>0520260013300CDA</t>
  </si>
  <si>
    <t>0520260020330IIPA</t>
  </si>
  <si>
    <t>SO/6558-1</t>
  </si>
  <si>
    <t>BR707400454</t>
  </si>
  <si>
    <t>RRP4E97</t>
  </si>
  <si>
    <t>RRL1G49</t>
  </si>
  <si>
    <t xml:space="preserve"> Las Mercedes Sitio 6(Ex San Pablo Ant) N14212, Pudahuel</t>
  </si>
  <si>
    <t>JUSSARA ZAMIATOVSKI</t>
  </si>
  <si>
    <t>0520260013605CDA</t>
  </si>
  <si>
    <t>0520260022448IIPA</t>
  </si>
  <si>
    <t>19-03-2026 </t>
  </si>
  <si>
    <t>SO/6370-33</t>
  </si>
  <si>
    <t>BR547046106</t>
  </si>
  <si>
    <t>RLD7F60</t>
  </si>
  <si>
    <t>RXV8D99</t>
  </si>
  <si>
    <t xml:space="preserve">JORGINALDO DE CARVALHO SANTOS </t>
  </si>
  <si>
    <t>CPF: 050.265.945-90</t>
  </si>
  <si>
    <t>0520260013402CDA</t>
  </si>
  <si>
    <t>0520260021886IIPA</t>
  </si>
  <si>
    <t>CN 25235-1</t>
  </si>
  <si>
    <t>PY23TMA1144</t>
  </si>
  <si>
    <t>AAAU361</t>
  </si>
  <si>
    <t>AARP524</t>
  </si>
  <si>
    <t>ANTONIO RECALDE</t>
  </si>
  <si>
    <t>CI: 4.996.980</t>
  </si>
  <si>
    <t>0520260013424CDA</t>
  </si>
  <si>
    <t>0520260021410IIPA</t>
  </si>
  <si>
    <t>CN 25320-7</t>
  </si>
  <si>
    <t>26PYFOODS321</t>
  </si>
  <si>
    <t>PY FOODS</t>
  </si>
  <si>
    <t>AAAE437</t>
  </si>
  <si>
    <t>AAAE603</t>
  </si>
  <si>
    <t>DERLIS PARANDERI</t>
  </si>
  <si>
    <t>0520260013610CDA</t>
  </si>
  <si>
    <t>0520260022047IIPA</t>
  </si>
  <si>
    <t>SO/6350-6</t>
  </si>
  <si>
    <t>BR547046115</t>
  </si>
  <si>
    <t>RYE9F99</t>
  </si>
  <si>
    <t>RYF1B69</t>
  </si>
  <si>
    <t xml:space="preserve">GISLAINE APARECIDA HACK </t>
  </si>
  <si>
    <t>CPF: 050.979.269-35</t>
  </si>
  <si>
    <t>0520260013477CDA</t>
  </si>
  <si>
    <t>0520260023183IIPA</t>
  </si>
  <si>
    <t>CN 25412-3</t>
  </si>
  <si>
    <t>26PYFOODS322</t>
  </si>
  <si>
    <t>AAAE436</t>
  </si>
  <si>
    <t>AAAE477</t>
  </si>
  <si>
    <t xml:space="preserve">CRISTIAN RAUL GARCIA </t>
  </si>
  <si>
    <t>CI: 5.785.378</t>
  </si>
  <si>
    <t>0520260013309CDA</t>
  </si>
  <si>
    <t>0520260022020IIPA</t>
  </si>
  <si>
    <t>SO/6558-2</t>
  </si>
  <si>
    <t>BR707400456</t>
  </si>
  <si>
    <t>RRT1E57</t>
  </si>
  <si>
    <t>RRU8J60</t>
  </si>
  <si>
    <t>CLEITON DE OLIVEIRA MARCONES</t>
  </si>
  <si>
    <t xml:space="preserve"> CPF: 094.988.706-40</t>
  </si>
  <si>
    <t>0520260013435CDA</t>
  </si>
  <si>
    <t>0520260022444IIPA</t>
  </si>
  <si>
    <t>SO/6354-50</t>
  </si>
  <si>
    <t>BR547046137</t>
  </si>
  <si>
    <t>RVD3G89</t>
  </si>
  <si>
    <t>RYV0F08</t>
  </si>
  <si>
    <t xml:space="preserve">VALTEIR HIPOLITO DA SILVA </t>
  </si>
  <si>
    <t>CPF: 102.840.658-46</t>
  </si>
  <si>
    <t>0520260013737CDA</t>
  </si>
  <si>
    <t>0520260022651IIPA</t>
  </si>
  <si>
    <t>SO/6354-51</t>
  </si>
  <si>
    <t>BR547046126</t>
  </si>
  <si>
    <t>QJC7985</t>
  </si>
  <si>
    <t>RYEOD53</t>
  </si>
  <si>
    <t xml:space="preserve">LUCIANO DE JESUS DIAS </t>
  </si>
  <si>
    <t>CPF: 248.364.078-85</t>
  </si>
  <si>
    <t>0520260013473CDA</t>
  </si>
  <si>
    <t>0520260023178IIPA</t>
  </si>
  <si>
    <t>SO/6362-7</t>
  </si>
  <si>
    <t>BR547046103</t>
  </si>
  <si>
    <t>QTK6657</t>
  </si>
  <si>
    <t>QJX4177</t>
  </si>
  <si>
    <t>ROGER SANDRO DE SANTANA</t>
  </si>
  <si>
    <t>0520260013572CDA</t>
  </si>
  <si>
    <t>0520260021883IIPA</t>
  </si>
  <si>
    <t>SO/6362-9</t>
  </si>
  <si>
    <t>BR512203481</t>
  </si>
  <si>
    <t>RGM7C44</t>
  </si>
  <si>
    <t>RXM9F24</t>
  </si>
  <si>
    <t xml:space="preserve">FRENANDO MARTINS DA SALIVA </t>
  </si>
  <si>
    <t>CPF: 061.008.759-26</t>
  </si>
  <si>
    <t>0520260013653CDA</t>
  </si>
  <si>
    <t>0520260021959IIPA</t>
  </si>
  <si>
    <t>SO/6360-34</t>
  </si>
  <si>
    <t>BR547046132</t>
  </si>
  <si>
    <t>RYG9G47</t>
  </si>
  <si>
    <t>TPO4B59</t>
  </si>
  <si>
    <t xml:space="preserve">HELVECIO CARLOS DE OLIVEIRA JUNIOR </t>
  </si>
  <si>
    <t>CPF: 118.763.976-16</t>
  </si>
  <si>
    <t>0520260013830CDA</t>
  </si>
  <si>
    <t>0520260023200IIPA</t>
  </si>
  <si>
    <t>AR/18899-2</t>
  </si>
  <si>
    <t xml:space="preserve">SAG OBJETADO (CVI Y CERT. DE EMBARQUE NO CORRESPONDE) </t>
  </si>
  <si>
    <t>05217480TKBA26</t>
  </si>
  <si>
    <t>26AR100249D</t>
  </si>
  <si>
    <t>PDKT58</t>
  </si>
  <si>
    <t>KYPP94</t>
  </si>
  <si>
    <t xml:space="preserve"> RUIZ MARCELO NESTOR RAMON</t>
  </si>
  <si>
    <t>CI: 24.863.267-4</t>
  </si>
  <si>
    <t>0520260014178CDA</t>
  </si>
  <si>
    <t>0520260021949IIPA</t>
  </si>
  <si>
    <t>SO/6357-14</t>
  </si>
  <si>
    <t xml:space="preserve">CAMION INMOBILIZADO HASTA LA DESTRUCCION DE 3 CAJAS </t>
  </si>
  <si>
    <t>BR547046134</t>
  </si>
  <si>
    <t>RYBOC99</t>
  </si>
  <si>
    <t>RYS2F72</t>
  </si>
  <si>
    <t xml:space="preserve">DARLOU FERNANDES BATISTA </t>
  </si>
  <si>
    <t>CPF: 0209.783.370-79</t>
  </si>
  <si>
    <t>0520260013591CDA</t>
  </si>
  <si>
    <t>0520260022082IIPA</t>
  </si>
  <si>
    <t>SO/6397-11</t>
  </si>
  <si>
    <t>BR560601898</t>
  </si>
  <si>
    <t>KAIPPER CONT</t>
  </si>
  <si>
    <t>SXS9E90</t>
  </si>
  <si>
    <t>TPY9C58</t>
  </si>
  <si>
    <t xml:space="preserve">SILVONEI DOS SANTOS GONCALVES </t>
  </si>
  <si>
    <t>CPF: 420.952.120-53</t>
  </si>
  <si>
    <t>0520260013521CDA</t>
  </si>
  <si>
    <t>0520260021408IIPA</t>
  </si>
  <si>
    <t>CN 25320-8</t>
  </si>
  <si>
    <t>2026PYSANJOSE057</t>
  </si>
  <si>
    <t>TISJ007</t>
  </si>
  <si>
    <t>TISJ009</t>
  </si>
  <si>
    <t>FAVIO ESPINOZA</t>
  </si>
  <si>
    <t>CI: 2.348.296</t>
  </si>
  <si>
    <t>0520260013863CDA</t>
  </si>
  <si>
    <t>0520260021735IIPA</t>
  </si>
  <si>
    <t>CN 25403-1</t>
  </si>
  <si>
    <t>26PYFOODS323</t>
  </si>
  <si>
    <t>AAAE496</t>
  </si>
  <si>
    <t>AAAE511</t>
  </si>
  <si>
    <t>MIGUEL DAVID VARELA FERNANDEZ</t>
  </si>
  <si>
    <t>CI: 2.141.136</t>
  </si>
  <si>
    <t>0520260013582CDA</t>
  </si>
  <si>
    <t>0520260022059IIPA</t>
  </si>
  <si>
    <t>SO/6370-34</t>
  </si>
  <si>
    <t>BR547046135</t>
  </si>
  <si>
    <t>SYU4D00</t>
  </si>
  <si>
    <t>RYV2F90</t>
  </si>
  <si>
    <t>ANDERSON ANTONIO DA SILVA</t>
  </si>
  <si>
    <t>CPF: 068.583.204-07</t>
  </si>
  <si>
    <t>0520260013604CDA</t>
  </si>
  <si>
    <t>0520260022011IIPA</t>
  </si>
  <si>
    <t>SO/6370-31</t>
  </si>
  <si>
    <t xml:space="preserve">CAMION QUEDA INMOBILIZADO PRESENTA DOS CORTES QUE NO CORRESPONDE A LA ETIQUETA </t>
  </si>
  <si>
    <t>BR261615152</t>
  </si>
  <si>
    <t>CORDENONSI</t>
  </si>
  <si>
    <t>RXW7G05</t>
  </si>
  <si>
    <t>RDZ3D73</t>
  </si>
  <si>
    <t>MARCO AURELIO BEZERRA DE OLIVEIRA</t>
  </si>
  <si>
    <t>CPF: 080.746.487-29</t>
  </si>
  <si>
    <t>0520260013864CDA</t>
  </si>
  <si>
    <t>0520260022197IIPA</t>
  </si>
  <si>
    <t>CN 6359-11</t>
  </si>
  <si>
    <t>PYLG0812026</t>
  </si>
  <si>
    <t>AAIL505</t>
  </si>
  <si>
    <t>MIVA102</t>
  </si>
  <si>
    <t xml:space="preserve"> PEDRO ALVARENGA</t>
  </si>
  <si>
    <t>0520260013740CDA</t>
  </si>
  <si>
    <t>0520260021888IIPA</t>
  </si>
  <si>
    <t>CN 6359-11A</t>
  </si>
  <si>
    <t>PYLG0822026</t>
  </si>
  <si>
    <t>PEDRO ALVARENGA</t>
  </si>
  <si>
    <t>SO/6354-52</t>
  </si>
  <si>
    <t>BR547046136</t>
  </si>
  <si>
    <t>QTK6177</t>
  </si>
  <si>
    <t>TPO5H06</t>
  </si>
  <si>
    <t xml:space="preserve">MARCOS CEZAR ROFRIGUES DE LIMA </t>
  </si>
  <si>
    <t>CPF: 082.195.548-94</t>
  </si>
  <si>
    <t>0520260013597CDA</t>
  </si>
  <si>
    <t>0520260024049IIPA</t>
  </si>
  <si>
    <t>O/87304-4</t>
  </si>
  <si>
    <t>BR547046185</t>
  </si>
  <si>
    <t>FYO6H53</t>
  </si>
  <si>
    <t>RXX9D74</t>
  </si>
  <si>
    <t>NEUDI CAETANO GRICULO</t>
  </si>
  <si>
    <t>CPF:385.704.409-87</t>
  </si>
  <si>
    <t>0520260013701CDA</t>
  </si>
  <si>
    <t>0520260025055IIPA</t>
  </si>
  <si>
    <t>O/87243-1</t>
  </si>
  <si>
    <t>EN ALMACEN</t>
  </si>
  <si>
    <t>CORRECCION DE CERTIFICADO DE EMBARQUE ANTE SAG</t>
  </si>
  <si>
    <t xml:space="preserve">CERTIFICADO DE ORIGEN NO SE PUDO VALIDAR </t>
  </si>
  <si>
    <t>CERTIFICADO DE EMBARQUE: "ASADO DE TIRA"</t>
  </si>
  <si>
    <t>BR698100497</t>
  </si>
  <si>
    <t>MKJ5565</t>
  </si>
  <si>
    <t>MKT8236</t>
  </si>
  <si>
    <t>SILVINO CABRAL</t>
  </si>
  <si>
    <t>CPF: 388.375.529-04</t>
  </si>
  <si>
    <t>0520260015701CDA</t>
  </si>
  <si>
    <t>0520260025209IIPA</t>
  </si>
  <si>
    <t>O/87243-1A</t>
  </si>
  <si>
    <t>CERTIFICADO DE ORIGEN YA CORREGIDO</t>
  </si>
  <si>
    <t>BR698100496</t>
  </si>
  <si>
    <t>0520260025208IIPA/0520260025210IIPA/ 0520260025211IIPA /0520260025212IIPA</t>
  </si>
  <si>
    <t>SO/6359-12</t>
  </si>
  <si>
    <t>CDA SAG OBJETADO (CERTIFICADO DE EMBARQUE)</t>
  </si>
  <si>
    <t>BR547046133</t>
  </si>
  <si>
    <t>JBG8A65</t>
  </si>
  <si>
    <t>RYM5D42</t>
  </si>
  <si>
    <t>RAIMUNDO NONATO FERREIRA HERCULANO</t>
  </si>
  <si>
    <t>CPF: 166.040.508-40</t>
  </si>
  <si>
    <t>0520260013994CDA</t>
  </si>
  <si>
    <t>0520260024595IIPA</t>
  </si>
  <si>
    <t>SO/6354-49</t>
  </si>
  <si>
    <t>BR547046120</t>
  </si>
  <si>
    <t>RDS0G72</t>
  </si>
  <si>
    <t>RLN1C89</t>
  </si>
  <si>
    <t xml:space="preserve">JORGE LUIZ DE LIMA BARROS </t>
  </si>
  <si>
    <t>CPF: 493.381.374-49</t>
  </si>
  <si>
    <t>0520260013787CDA</t>
  </si>
  <si>
    <t>0520260024280IIPA</t>
  </si>
  <si>
    <t>O/87631-10</t>
  </si>
  <si>
    <t>BR547046101</t>
  </si>
  <si>
    <t>TDO8H21</t>
  </si>
  <si>
    <t>RYZ8170</t>
  </si>
  <si>
    <t>INTERANDINA</t>
  </si>
  <si>
    <t xml:space="preserve"> PARCELA 141B, FUNDO HIJUELA LARGA, PAINE</t>
  </si>
  <si>
    <t>JOEL CARDOSO</t>
  </si>
  <si>
    <t>0520260013868CDA</t>
  </si>
  <si>
    <t>0520260021747IIPA</t>
  </si>
  <si>
    <t>SO/6362-6</t>
  </si>
  <si>
    <t xml:space="preserve">CAMION INMOBILIZADO SE DETECTA 1 CAJA CON CONTENIDO Y ETIQUETA DIFERENTE </t>
  </si>
  <si>
    <t>BR512203480</t>
  </si>
  <si>
    <t>SXT6E17</t>
  </si>
  <si>
    <t>SXH3167</t>
  </si>
  <si>
    <t>ANDERSON LUIZ ALVES DOS SANTOS</t>
  </si>
  <si>
    <t>CPF: 029.383.289-74</t>
  </si>
  <si>
    <t>0520260013878CDA</t>
  </si>
  <si>
    <t>0520260023196IIPA</t>
  </si>
  <si>
    <t>20-03-2026 </t>
  </si>
  <si>
    <t>CN 6358-11</t>
  </si>
  <si>
    <t>2026PYSANJOSE059</t>
  </si>
  <si>
    <t>JHFW70</t>
  </si>
  <si>
    <t>GRCV65</t>
  </si>
  <si>
    <t>GABRIEL ISLA</t>
  </si>
  <si>
    <t>CI: 12686397-7</t>
  </si>
  <si>
    <t>0520260013772CDA</t>
  </si>
  <si>
    <t>0520260021971IIPA</t>
  </si>
  <si>
    <t>SO/6350-8</t>
  </si>
  <si>
    <t>EN TRANSITO</t>
  </si>
  <si>
    <t>BR547046203</t>
  </si>
  <si>
    <t>RLM1D41</t>
  </si>
  <si>
    <t>QJF2954</t>
  </si>
  <si>
    <t>WELLINGTON DA SILVA LEITE</t>
  </si>
  <si>
    <t>CPF 042.967.801-07</t>
  </si>
  <si>
    <t>0520260014263CDA</t>
  </si>
  <si>
    <t>CN 25314-4</t>
  </si>
  <si>
    <t>PYLG0832026</t>
  </si>
  <si>
    <t>GERT002</t>
  </si>
  <si>
    <t>VIGI002</t>
  </si>
  <si>
    <t>JUAN CARLOS MARECOS</t>
  </si>
  <si>
    <t xml:space="preserve"> CI 2389591</t>
  </si>
  <si>
    <t>0520260013869CDA</t>
  </si>
  <si>
    <t>0520260021902IIPA</t>
  </si>
  <si>
    <t>SO/6604-1</t>
  </si>
  <si>
    <t>0520062026CH</t>
  </si>
  <si>
    <t>26AR103606D</t>
  </si>
  <si>
    <t>JFTH78</t>
  </si>
  <si>
    <t>KDJX80</t>
  </si>
  <si>
    <t>NESTOR SAMUEL DENGEAN MARTINEZ</t>
  </si>
  <si>
    <t xml:space="preserve"> CI 5.926.181  </t>
  </si>
  <si>
    <t>0520260013916CDA</t>
  </si>
  <si>
    <t>0520260021972IIPA</t>
  </si>
  <si>
    <t>SO/6330-15</t>
  </si>
  <si>
    <t>052AR219400893</t>
  </si>
  <si>
    <t>26AR103608F</t>
  </si>
  <si>
    <t>LYBH20</t>
  </si>
  <si>
    <t xml:space="preserve"> BRAYAN DUBOY </t>
  </si>
  <si>
    <t>CI: 28.780.146-7</t>
  </si>
  <si>
    <t>0520260013809CDA</t>
  </si>
  <si>
    <t>0520260022018IIPA</t>
  </si>
  <si>
    <t>CN 25289-1</t>
  </si>
  <si>
    <t>2026PYSANJOSE061</t>
  </si>
  <si>
    <t>AANU301</t>
  </si>
  <si>
    <t>AANU328</t>
  </si>
  <si>
    <t>ARAMARK</t>
  </si>
  <si>
    <t xml:space="preserve"> GUACOLDA 2100 MODULO 19, QUILICURA</t>
  </si>
  <si>
    <t>MILCIADES FRUTOS</t>
  </si>
  <si>
    <t>CI: 811.074</t>
  </si>
  <si>
    <t>0520260014301CDA</t>
  </si>
  <si>
    <t>0520260022173IIPA</t>
  </si>
  <si>
    <t>CN 25346</t>
  </si>
  <si>
    <t>PY23TMA1146</t>
  </si>
  <si>
    <t>MMSS401</t>
  </si>
  <si>
    <t>AAPP529</t>
  </si>
  <si>
    <t xml:space="preserve">JESUS MANUEL AGUILERA </t>
  </si>
  <si>
    <t>CI: 3.501.447</t>
  </si>
  <si>
    <t>0520260013875CDA</t>
  </si>
  <si>
    <t>0520260022007IIPA</t>
  </si>
  <si>
    <t>14/03/202</t>
  </si>
  <si>
    <t xml:space="preserve"> CN 6360-32</t>
  </si>
  <si>
    <t>2026PYSANJOSE060</t>
  </si>
  <si>
    <t>HSTR29</t>
  </si>
  <si>
    <t>JL1320</t>
  </si>
  <si>
    <t>JUAN QUIÑONEZ</t>
  </si>
  <si>
    <t>CI: 2.144.096</t>
  </si>
  <si>
    <t>0520260014244CDA</t>
  </si>
  <si>
    <t>0520260022177IIPA</t>
  </si>
  <si>
    <t xml:space="preserve">          O/87773-1</t>
  </si>
  <si>
    <t>BR547046180</t>
  </si>
  <si>
    <t>JBG8A85</t>
  </si>
  <si>
    <t>RXO6B26</t>
  </si>
  <si>
    <t xml:space="preserve"> DENILSON REDED GALVAO</t>
  </si>
  <si>
    <t>0520260013851CDA</t>
  </si>
  <si>
    <t>0520260024412IIPA</t>
  </si>
  <si>
    <t>O/88198-1</t>
  </si>
  <si>
    <t>Solicitud SAG objetada por falta de nombre de fantasia en corte ALCATRA</t>
  </si>
  <si>
    <t xml:space="preserve">SAG: CORTE ALCATRA EN SOLICITUD DE VALIDACION COMO NOMBRE DE FANTASÍA </t>
  </si>
  <si>
    <t>BR547046205</t>
  </si>
  <si>
    <t>TDQ9J78</t>
  </si>
  <si>
    <t>SXO0G12</t>
  </si>
  <si>
    <t xml:space="preserve">RONIELE JOSE DA SILVA </t>
  </si>
  <si>
    <t>CPF: 993.664.365-87</t>
  </si>
  <si>
    <t>0520260015246CDA</t>
  </si>
  <si>
    <t>0520260023579IIPA</t>
  </si>
  <si>
    <t>SO/6356-7</t>
  </si>
  <si>
    <t>BR512203488</t>
  </si>
  <si>
    <t>SXK2E84</t>
  </si>
  <si>
    <t>SXS7A53</t>
  </si>
  <si>
    <t xml:space="preserve">ATENIR JOSE CONTEZINI JUNIOR </t>
  </si>
  <si>
    <t>CPF: 096.813.369-09</t>
  </si>
  <si>
    <t>0520260013876CDA</t>
  </si>
  <si>
    <t>0520260022652IIPA</t>
  </si>
  <si>
    <t>CN 25374</t>
  </si>
  <si>
    <t>PYLG0852026</t>
  </si>
  <si>
    <t>AAIL368</t>
  </si>
  <si>
    <t>AMRI117</t>
  </si>
  <si>
    <t xml:space="preserve"> LUIS MIGUEL ROMERO</t>
  </si>
  <si>
    <t>0520260014536CDA</t>
  </si>
  <si>
    <t>0520260023171IIPA</t>
  </si>
  <si>
    <t>CN 6568-1</t>
  </si>
  <si>
    <t>PY23TMA1147</t>
  </si>
  <si>
    <t>AASC568</t>
  </si>
  <si>
    <t>AALI647</t>
  </si>
  <si>
    <t>OSMAR FRNANDEZ</t>
  </si>
  <si>
    <t>CI: 1.878.782</t>
  </si>
  <si>
    <t>0520260014112CDA</t>
  </si>
  <si>
    <t>0520260023108IIPA</t>
  </si>
  <si>
    <t>CN 6360-33</t>
  </si>
  <si>
    <t>2026PYSANJOSE062</t>
  </si>
  <si>
    <t>RLLT46</t>
  </si>
  <si>
    <t>PWSF70</t>
  </si>
  <si>
    <t>JULIO COLMAN GALEANO</t>
  </si>
  <si>
    <t>CI: 5.073.059</t>
  </si>
  <si>
    <t>0520260014538CDA</t>
  </si>
  <si>
    <t>0520260022649IIPA</t>
  </si>
  <si>
    <t>CN 6357-11</t>
  </si>
  <si>
    <t>2026PYSANJOSE063</t>
  </si>
  <si>
    <t>RHFL26</t>
  </si>
  <si>
    <t>PWSC29</t>
  </si>
  <si>
    <t>CLETO ANDRES AYALA</t>
  </si>
  <si>
    <t>CI: 3.587.082</t>
  </si>
  <si>
    <t>0520260014542CDA</t>
  </si>
  <si>
    <t>0520260023169IIPA</t>
  </si>
  <si>
    <t>18/03/202</t>
  </si>
  <si>
    <t>CN 6358-16</t>
  </si>
  <si>
    <t>2026PYSANJOSE064</t>
  </si>
  <si>
    <t>TPPV22</t>
  </si>
  <si>
    <t>PXFH53</t>
  </si>
  <si>
    <t>JAVIER FIRPO</t>
  </si>
  <si>
    <t>CI 2.300.898</t>
  </si>
  <si>
    <t>0520260014326CDA</t>
  </si>
  <si>
    <t>0520260021952IIPA</t>
  </si>
  <si>
    <t>CN 6360-36</t>
  </si>
  <si>
    <t>26PYFOODS327</t>
  </si>
  <si>
    <t>AAAE516</t>
  </si>
  <si>
    <t>AAAE604</t>
  </si>
  <si>
    <t>PEDRO DE LOS SANTOS</t>
  </si>
  <si>
    <t>CI 1.858.438</t>
  </si>
  <si>
    <t>0520260014117CDA</t>
  </si>
  <si>
    <t>0520260023600IIPA</t>
  </si>
  <si>
    <t>SO/6575-2</t>
  </si>
  <si>
    <t>052AR219400894</t>
  </si>
  <si>
    <t>26AR106089L</t>
  </si>
  <si>
    <t>0520260013883CDA</t>
  </si>
  <si>
    <t>0520260021905IIPA</t>
  </si>
  <si>
    <t>O/88096</t>
  </si>
  <si>
    <t>BR453909412</t>
  </si>
  <si>
    <t>ACU1J62</t>
  </si>
  <si>
    <t>RLB9D72</t>
  </si>
  <si>
    <t>EDUARDO ZILCH MARAFIGO</t>
  </si>
  <si>
    <t>CPF:115.405.239-77</t>
  </si>
  <si>
    <t>0520260014545CDA</t>
  </si>
  <si>
    <t>0520260024393IIPA</t>
  </si>
  <si>
    <t>24-03-2026 </t>
  </si>
  <si>
    <t>SO/6350-7</t>
  </si>
  <si>
    <t>BR261615175</t>
  </si>
  <si>
    <t>SXS2H34</t>
  </si>
  <si>
    <t>SXP8F54</t>
  </si>
  <si>
    <t xml:space="preserve">ALTENIR BATISTA DA SILVA </t>
  </si>
  <si>
    <t>CPF: 036.553.169-33</t>
  </si>
  <si>
    <t>0520260014430CDA</t>
  </si>
  <si>
    <t>0520260023599IIPA</t>
  </si>
  <si>
    <t>SO/6370-36</t>
  </si>
  <si>
    <t>BR547046130</t>
  </si>
  <si>
    <t>RYG9G57</t>
  </si>
  <si>
    <t>RYG2186</t>
  </si>
  <si>
    <t>ALEXANDRE MAURICIO DOS SANTOS</t>
  </si>
  <si>
    <t>CPF:259.913.778-04</t>
  </si>
  <si>
    <t>0520260014581CDA</t>
  </si>
  <si>
    <t>0520260023172IIPA</t>
  </si>
  <si>
    <t>SO/6362-8</t>
  </si>
  <si>
    <t>CERTIFICADO DE ORIGEN  PRESENTA  PROBLEMAS DE VALIDACIÓN</t>
  </si>
  <si>
    <t>BR547046184</t>
  </si>
  <si>
    <t>RXO7A66</t>
  </si>
  <si>
    <t>TPO5116</t>
  </si>
  <si>
    <t>LUCIANO GUARIPUNA DE OLIVEIRA</t>
  </si>
  <si>
    <t>CPF:029.142.951-38</t>
  </si>
  <si>
    <t>0520260014588CDA</t>
  </si>
  <si>
    <t>0520260023181IIPA</t>
  </si>
  <si>
    <t>SO/6360-37</t>
  </si>
  <si>
    <t>BR547046260</t>
  </si>
  <si>
    <t>RYU6H51</t>
  </si>
  <si>
    <t>RYY6J50</t>
  </si>
  <si>
    <t>JULINHO KRAUS,</t>
  </si>
  <si>
    <t xml:space="preserve"> CPF: 051.754.259-51</t>
  </si>
  <si>
    <t>0520260014626CDA</t>
  </si>
  <si>
    <t>0520260023137IIPA</t>
  </si>
  <si>
    <t>SO/6604-2</t>
  </si>
  <si>
    <t>0520072026CH</t>
  </si>
  <si>
    <t>26AR108146H</t>
  </si>
  <si>
    <t>HLZW34</t>
  </si>
  <si>
    <t>JN1270</t>
  </si>
  <si>
    <t>HERMAN JACQUET</t>
  </si>
  <si>
    <t>CI 1.278.703</t>
  </si>
  <si>
    <t>0520260014437CDA</t>
  </si>
  <si>
    <t>0520260022176IIPA</t>
  </si>
  <si>
    <t>CN 25320-10</t>
  </si>
  <si>
    <t>PYLG0892026</t>
  </si>
  <si>
    <t>AASK818</t>
  </si>
  <si>
    <t>CSDR001</t>
  </si>
  <si>
    <t>JOSE VAZQUEZ</t>
  </si>
  <si>
    <t>0520260014477CDA</t>
  </si>
  <si>
    <t>0520260023145IIPA</t>
  </si>
  <si>
    <t>CN 25412-4</t>
  </si>
  <si>
    <t>2026PYSANJOSE065</t>
  </si>
  <si>
    <t>RLLT47</t>
  </si>
  <si>
    <t>PWVW46</t>
  </si>
  <si>
    <t>MILCIADES SOSA</t>
  </si>
  <si>
    <t>CI 3.728.041</t>
  </si>
  <si>
    <t>0520260014688CDA</t>
  </si>
  <si>
    <t>0520260023170IIPA</t>
  </si>
  <si>
    <t>CN 6359-13</t>
  </si>
  <si>
    <t>26PYFOODS328</t>
  </si>
  <si>
    <t>AARP791</t>
  </si>
  <si>
    <t>AARO376</t>
  </si>
  <si>
    <t xml:space="preserve">GASPAR PORFIRIO RIOS ROLON </t>
  </si>
  <si>
    <t>CI  7.209.508</t>
  </si>
  <si>
    <t>0520260014726CDA</t>
  </si>
  <si>
    <t>0520260023124IIPA</t>
  </si>
  <si>
    <t>CN 25320-9</t>
  </si>
  <si>
    <t xml:space="preserve">ERROR EN CERTIFICADO DE ORIGEN </t>
  </si>
  <si>
    <t>PYLG0872026</t>
  </si>
  <si>
    <t>AAIE772</t>
  </si>
  <si>
    <t>AAIE842</t>
  </si>
  <si>
    <t>AUGUSTO ROLON</t>
  </si>
  <si>
    <t>0520260014807CDA</t>
  </si>
  <si>
    <t>0520260023180IIPA</t>
  </si>
  <si>
    <t>CN 25412-5</t>
  </si>
  <si>
    <t>2026PYSANJOSE066</t>
  </si>
  <si>
    <t>LXJC52</t>
  </si>
  <si>
    <t>JJ6823</t>
  </si>
  <si>
    <t>YONATHAN QUIÑONEZ</t>
  </si>
  <si>
    <t xml:space="preserve"> CI 5.312.678</t>
  </si>
  <si>
    <t>0520260014485CDA</t>
  </si>
  <si>
    <t>0520260023173IIPA</t>
  </si>
  <si>
    <t>CN 25401-1</t>
  </si>
  <si>
    <t>PYLG0882026</t>
  </si>
  <si>
    <t>LOGISTICA</t>
  </si>
  <si>
    <t>AARV462</t>
  </si>
  <si>
    <t>AAFA088</t>
  </si>
  <si>
    <t xml:space="preserve"> JULIO MARECOS</t>
  </si>
  <si>
    <t>0520260014822CDA</t>
  </si>
  <si>
    <t>0520260023105IIPA</t>
  </si>
  <si>
    <t>SO/6397-13</t>
  </si>
  <si>
    <t>BR707400460</t>
  </si>
  <si>
    <t>RAN1F64</t>
  </si>
  <si>
    <t>RAS3A60</t>
  </si>
  <si>
    <t xml:space="preserve">BRUNO LUIZ CANDIOTTO </t>
  </si>
  <si>
    <t>CPF 091.255.629-32</t>
  </si>
  <si>
    <t>0520260015009CDA</t>
  </si>
  <si>
    <t>0520260023202IIPA</t>
  </si>
  <si>
    <t>CN 6357-12</t>
  </si>
  <si>
    <t xml:space="preserve">FALTA CRT </t>
  </si>
  <si>
    <t>2026PYSANJOSE067</t>
  </si>
  <si>
    <t>RHDW26</t>
  </si>
  <si>
    <t>KYPT36</t>
  </si>
  <si>
    <t>RODOLFO BARUJA</t>
  </si>
  <si>
    <t>CI 3.789.374</t>
  </si>
  <si>
    <t>0520260014853CDA</t>
  </si>
  <si>
    <t>0520260023592IIPA</t>
  </si>
  <si>
    <t>O/87671-2</t>
  </si>
  <si>
    <t>BR261615170</t>
  </si>
  <si>
    <t>RXL6F24</t>
  </si>
  <si>
    <t>RXO3H27</t>
  </si>
  <si>
    <t xml:space="preserve">OSCAR VARGAS </t>
  </si>
  <si>
    <t>CPF 821.009.340-15</t>
  </si>
  <si>
    <t>0520260014500CDA</t>
  </si>
  <si>
    <t>0520260022178IIPA</t>
  </si>
  <si>
    <t>SO/6370-40</t>
  </si>
  <si>
    <t>BR261615196</t>
  </si>
  <si>
    <t>RYR5A83</t>
  </si>
  <si>
    <t>RYP1E40</t>
  </si>
  <si>
    <t>MAURCIO MORAIS DE OLIVEIRA</t>
  </si>
  <si>
    <t>CPF 835.026.453-53</t>
  </si>
  <si>
    <t>0520260014871CDA</t>
  </si>
  <si>
    <t>0520260024410IIPA</t>
  </si>
  <si>
    <t>SO/6362-10</t>
  </si>
  <si>
    <t>BR261615185</t>
  </si>
  <si>
    <t>RYN0H36</t>
  </si>
  <si>
    <t>RXO0J73</t>
  </si>
  <si>
    <t xml:space="preserve">PAULO PENICHE DA SILVA </t>
  </si>
  <si>
    <t>CPF 041.422.308-08</t>
  </si>
  <si>
    <t>0520260015258CDA</t>
  </si>
  <si>
    <t>0520260023706IIPA</t>
  </si>
  <si>
    <t>CN 6552-1</t>
  </si>
  <si>
    <t>2026PYSANJOSE070</t>
  </si>
  <si>
    <t>RDGR20</t>
  </si>
  <si>
    <t>PWZB43</t>
  </si>
  <si>
    <t>JUAN DARIO LEDEZMA</t>
  </si>
  <si>
    <t>RUN 28.831.103-K</t>
  </si>
  <si>
    <t>0520260014864CDA</t>
  </si>
  <si>
    <t>0520260024361IIPA</t>
  </si>
  <si>
    <t>SO/6357-18</t>
  </si>
  <si>
    <t>BR547046282</t>
  </si>
  <si>
    <t>JBG8A87</t>
  </si>
  <si>
    <t>RYA4A72</t>
  </si>
  <si>
    <t>DERLI CORREA,</t>
  </si>
  <si>
    <t>CPF  659.271.250-34</t>
  </si>
  <si>
    <t>0520260014901CDA</t>
  </si>
  <si>
    <t>CN 25412-7</t>
  </si>
  <si>
    <t>26PYFOODS331</t>
  </si>
  <si>
    <t>AAAE589</t>
  </si>
  <si>
    <t>AAAE689</t>
  </si>
  <si>
    <t xml:space="preserve"> WILFRIDO MELGAREJO</t>
  </si>
  <si>
    <t>CI 1.043.606</t>
  </si>
  <si>
    <t>0520260015415CDA</t>
  </si>
  <si>
    <t>0520260024423IIPA</t>
  </si>
  <si>
    <t>CN 25412-6</t>
  </si>
  <si>
    <t>2026PYSANJOSE068</t>
  </si>
  <si>
    <t>HUGO MORINIGO</t>
  </si>
  <si>
    <t>CI 5.497.180</t>
  </si>
  <si>
    <t>0520260014976CDA</t>
  </si>
  <si>
    <t>0520260024181IIPA</t>
  </si>
  <si>
    <t>CN 6358-14</t>
  </si>
  <si>
    <t>PYLG0922026</t>
  </si>
  <si>
    <t>AAIE003</t>
  </si>
  <si>
    <t>AAIE006</t>
  </si>
  <si>
    <t xml:space="preserve"> DIEGO JAVIER ORTIZ ORTIZ</t>
  </si>
  <si>
    <t>CI 3.565.446</t>
  </si>
  <si>
    <t>0520260014877CDA</t>
  </si>
  <si>
    <t>0520260023743IIPA</t>
  </si>
  <si>
    <t>CN 25412-8</t>
  </si>
  <si>
    <t>PYLG0932026</t>
  </si>
  <si>
    <t>AHI052</t>
  </si>
  <si>
    <t>AAKB125</t>
  </si>
  <si>
    <t xml:space="preserve"> CESAR GIMENEZ</t>
  </si>
  <si>
    <t>CI 4.990.571</t>
  </si>
  <si>
    <t>0520260014934CDA</t>
  </si>
  <si>
    <t>0520260023731IIPA</t>
  </si>
  <si>
    <t>26-03-2026 </t>
  </si>
  <si>
    <t>CN 25359-1</t>
  </si>
  <si>
    <t>26PYFOODS330</t>
  </si>
  <si>
    <t>FRIOSAN</t>
  </si>
  <si>
    <t>Las Mercedes Sitio 6 ( San Pablo Ant.) N14212, Pudahuel</t>
  </si>
  <si>
    <t xml:space="preserve"> PEDRO EMILIO CACERES</t>
  </si>
  <si>
    <t>0520260015693CDA</t>
  </si>
  <si>
    <t>0520260024420IIPA</t>
  </si>
  <si>
    <t>SO/6331-18</t>
  </si>
  <si>
    <t>052AR219400896</t>
  </si>
  <si>
    <t>26AR110608D</t>
  </si>
  <si>
    <t>0520260014957CDA</t>
  </si>
  <si>
    <t>0520260023191IIPA</t>
  </si>
  <si>
    <t>23-03-2026 </t>
  </si>
  <si>
    <t>SO/6562-2</t>
  </si>
  <si>
    <t>BR707400462</t>
  </si>
  <si>
    <t>SPR2A64</t>
  </si>
  <si>
    <t>SPU3D61</t>
  </si>
  <si>
    <t>ARILTON JOSE DOS SANTOS</t>
  </si>
  <si>
    <t>CPF 055.190.179-99</t>
  </si>
  <si>
    <t>0520260014964CDA</t>
  </si>
  <si>
    <t>0520260024260IIPA</t>
  </si>
  <si>
    <t>SO/6354-57</t>
  </si>
  <si>
    <t>BR547046245</t>
  </si>
  <si>
    <t>SXB0I52</t>
  </si>
  <si>
    <t>SXD4F82</t>
  </si>
  <si>
    <t>RAFAEL DE SOUZA</t>
  </si>
  <si>
    <t>CPF 969.758.492-34</t>
  </si>
  <si>
    <t>0520260015406CDA</t>
  </si>
  <si>
    <t>0520260024589IIPA</t>
  </si>
  <si>
    <t>SO/6370-39</t>
  </si>
  <si>
    <t>BR547046285</t>
  </si>
  <si>
    <t>RXS8H53</t>
  </si>
  <si>
    <t>RXU1H13</t>
  </si>
  <si>
    <t>ANDERSON DE SOUZA</t>
  </si>
  <si>
    <t>CPF 287.089.248-99</t>
  </si>
  <si>
    <t>0520260015537CDA</t>
  </si>
  <si>
    <t>0520260024587IIPA</t>
  </si>
  <si>
    <t>SO/6397-14</t>
  </si>
  <si>
    <t>FALTA SANITARIO Y CERTIFICADO DE EMBARQUE</t>
  </si>
  <si>
    <t>BR261615169</t>
  </si>
  <si>
    <t>GEH3H63</t>
  </si>
  <si>
    <t>RYP9G03</t>
  </si>
  <si>
    <t>FRIOSAN (AGROSUPER)</t>
  </si>
  <si>
    <t>Las Mercedes Sitio 6(Ex San Pablo Ant) N14212, Pudahuel</t>
  </si>
  <si>
    <t>LEANDRO SEVERO</t>
  </si>
  <si>
    <t>CPF 956.529.900-62</t>
  </si>
  <si>
    <t>0520260016017CDA</t>
  </si>
  <si>
    <t>0520260025044IIPA</t>
  </si>
  <si>
    <t>SO/6370-41</t>
  </si>
  <si>
    <t>FALTA ORIGINALES</t>
  </si>
  <si>
    <t>BR453909418</t>
  </si>
  <si>
    <t>SEX3B55</t>
  </si>
  <si>
    <t>RLI4F42</t>
  </si>
  <si>
    <t>ROSENILDO BARBOSA</t>
  </si>
  <si>
    <t>CPF 875.055.334-87</t>
  </si>
  <si>
    <t>0520260014981CDA</t>
  </si>
  <si>
    <t>0520260024593IIPA</t>
  </si>
  <si>
    <t>SO/6357-19</t>
  </si>
  <si>
    <t>BR261615199</t>
  </si>
  <si>
    <t>GDA9C65</t>
  </si>
  <si>
    <t>QJK5845</t>
  </si>
  <si>
    <t>LUAN LUCIAN DO ESPIRITO SANTO DA SILVA</t>
  </si>
  <si>
    <t>CPF 085.581.794-17</t>
  </si>
  <si>
    <t>0520260015174CDA</t>
  </si>
  <si>
    <t>O/88233</t>
  </si>
  <si>
    <t>BR261615203</t>
  </si>
  <si>
    <t>RLK0G13</t>
  </si>
  <si>
    <t>RLO9C95</t>
  </si>
  <si>
    <t>INTERANDINA INV.OZ</t>
  </si>
  <si>
    <t>SERGO DE MOURA</t>
  </si>
  <si>
    <t>CPF 843.679.899-68</t>
  </si>
  <si>
    <t>0520260014988CDA</t>
  </si>
  <si>
    <t>O/87631-7</t>
  </si>
  <si>
    <t>BR261615188</t>
  </si>
  <si>
    <t>RYE1E91</t>
  </si>
  <si>
    <t>RYS0J13</t>
  </si>
  <si>
    <t>CALLE NUEZ S/N BARRANCAS, QDA. DE HERRERA</t>
  </si>
  <si>
    <t>JEFERSON LIMA</t>
  </si>
  <si>
    <t>CPF 025.856.449-01</t>
  </si>
  <si>
    <t>0520260015267CDA</t>
  </si>
  <si>
    <t>0520260023716IIPA</t>
  </si>
  <si>
    <t>CN 25403-2</t>
  </si>
  <si>
    <t>26PYFOODS332</t>
  </si>
  <si>
    <t>AAAE807</t>
  </si>
  <si>
    <t>AAAE602</t>
  </si>
  <si>
    <t xml:space="preserve"> CRISTHIAN CAÑETE</t>
  </si>
  <si>
    <t>CI 3.589.008</t>
  </si>
  <si>
    <t>0520260015072CDA</t>
  </si>
  <si>
    <t>0520260024565IIPA</t>
  </si>
  <si>
    <t>CN 25398</t>
  </si>
  <si>
    <t>PY23TMA1151</t>
  </si>
  <si>
    <t>AANL692</t>
  </si>
  <si>
    <t>AANL689</t>
  </si>
  <si>
    <t xml:space="preserve">ENRIQUE TORALES </t>
  </si>
  <si>
    <t>CI 4.974.025</t>
  </si>
  <si>
    <t>0520260015114CDA</t>
  </si>
  <si>
    <t>0520260024564IIPA</t>
  </si>
  <si>
    <t>CN 6359-15</t>
  </si>
  <si>
    <t>PYLG0942026</t>
  </si>
  <si>
    <t>AAGN705</t>
  </si>
  <si>
    <t>AAHB575</t>
  </si>
  <si>
    <t>ANTONIO PENAYO</t>
  </si>
  <si>
    <t>CI 5.393.140</t>
  </si>
  <si>
    <t>0520260015405CDA</t>
  </si>
  <si>
    <t>0520260024227IIPA</t>
  </si>
  <si>
    <t>SO/6370-37</t>
  </si>
  <si>
    <t>BR547046275</t>
  </si>
  <si>
    <t>RLM6J37</t>
  </si>
  <si>
    <t>RLL7G87</t>
  </si>
  <si>
    <t>SIDNEI FRANCA</t>
  </si>
  <si>
    <t>CPF 418.668.352-20</t>
  </si>
  <si>
    <t>0520260015316CDA</t>
  </si>
  <si>
    <t>AR/18899-3</t>
  </si>
  <si>
    <t>CAMION INMOBILIZADO ETIQUETAS OFICIALES INDICAN N° DIFERENTE PARA EL PAÍS</t>
  </si>
  <si>
    <t>052AR219400897</t>
  </si>
  <si>
    <t>26AR112053W</t>
  </si>
  <si>
    <t>COLORADO</t>
  </si>
  <si>
    <t>VJWL91</t>
  </si>
  <si>
    <t>JP2976</t>
  </si>
  <si>
    <t>ICESTAR (TOTTUS)</t>
  </si>
  <si>
    <t>AV. AMERICO VESPUCIO 0350, QUILICURA</t>
  </si>
  <si>
    <t>CARLOS ISLAS</t>
  </si>
  <si>
    <t>CI 9.138.502-3</t>
  </si>
  <si>
    <t>0520260015199CDA</t>
  </si>
  <si>
    <t>SO/6330-16</t>
  </si>
  <si>
    <t>05217499TKBA26</t>
  </si>
  <si>
    <t>26AR112104T</t>
  </si>
  <si>
    <t>PDKT57</t>
  </si>
  <si>
    <t>HXHG41</t>
  </si>
  <si>
    <t xml:space="preserve"> LUIS ANTONIO FUNEZ</t>
  </si>
  <si>
    <t>CI 27.096.812-0</t>
  </si>
  <si>
    <t>0520260015491CDA</t>
  </si>
  <si>
    <t>0520260024411IIPA</t>
  </si>
  <si>
    <t>SO/6356-9</t>
  </si>
  <si>
    <t>BR512203498</t>
  </si>
  <si>
    <t>QTK2129</t>
  </si>
  <si>
    <t>QTL7919</t>
  </si>
  <si>
    <t>JOSE BRASILIANO DO SANTOS</t>
  </si>
  <si>
    <t>CPF 016.160.184-70</t>
  </si>
  <si>
    <t>0520260015531CDA</t>
  </si>
  <si>
    <t>0520260024571IIPA</t>
  </si>
  <si>
    <t>SO/6370-38</t>
  </si>
  <si>
    <t>BR547046298</t>
  </si>
  <si>
    <t>RYF2H58</t>
  </si>
  <si>
    <t>SXO2I96</t>
  </si>
  <si>
    <t>SEBASTIAO DO AMARAL</t>
  </si>
  <si>
    <t>CPF 838.280.879-49</t>
  </si>
  <si>
    <t>0520260015614CDA</t>
  </si>
  <si>
    <t>0520260024575IIPA</t>
  </si>
  <si>
    <t>SO/6354-56</t>
  </si>
  <si>
    <t>BR547046257</t>
  </si>
  <si>
    <t>TDW7A91</t>
  </si>
  <si>
    <t>SXM2A23</t>
  </si>
  <si>
    <t>GILDASIO MIRANDA LIMA</t>
  </si>
  <si>
    <t>CPF 401.745.575-15</t>
  </si>
  <si>
    <t>0520260015465CDA</t>
  </si>
  <si>
    <t>0520260025034IIPA</t>
  </si>
  <si>
    <t>SO/6370-35</t>
  </si>
  <si>
    <t>BR547046202</t>
  </si>
  <si>
    <t>RXX0H34</t>
  </si>
  <si>
    <t>RXN7E99</t>
  </si>
  <si>
    <t>JEAN BOECK LIPES</t>
  </si>
  <si>
    <t>CPF 027.393.740-54</t>
  </si>
  <si>
    <t>0520260015234CDA</t>
  </si>
  <si>
    <t>0520260024566IIPA</t>
  </si>
  <si>
    <t>O/87631-8</t>
  </si>
  <si>
    <t>BR453909421</t>
  </si>
  <si>
    <t>ACU3A56</t>
  </si>
  <si>
    <t>SDR2H97</t>
  </si>
  <si>
    <t>MARCO AURELIO ORLONSKI</t>
  </si>
  <si>
    <t>CPF 071.819.359-84</t>
  </si>
  <si>
    <t>0520260014959SCD</t>
  </si>
  <si>
    <t>PEND</t>
  </si>
  <si>
    <t>SO/6558-5</t>
  </si>
  <si>
    <t>BR707400464</t>
  </si>
  <si>
    <t>RAZ9A09</t>
  </si>
  <si>
    <t>RAZ1C26</t>
  </si>
  <si>
    <t>EDER LINCOLN GIMENEZ</t>
  </si>
  <si>
    <t>CPF 630.601.-15</t>
  </si>
  <si>
    <t>0520260015540CDA</t>
  </si>
  <si>
    <t>CN 6359-14</t>
  </si>
  <si>
    <t>PYLG0952026</t>
  </si>
  <si>
    <t xml:space="preserve"> LORENZO MARECOS</t>
  </si>
  <si>
    <t>0520260015468CDA</t>
  </si>
  <si>
    <t>CN 25403-3</t>
  </si>
  <si>
    <t>26PYFOODS335</t>
  </si>
  <si>
    <t>AARP792</t>
  </si>
  <si>
    <t>AARO381</t>
  </si>
  <si>
    <t xml:space="preserve">JOHNY WALTER PAREDES ROLON </t>
  </si>
  <si>
    <t>CI 4.174.416</t>
  </si>
  <si>
    <t>0520260015625CDA</t>
  </si>
  <si>
    <t>0520260025013IIPA</t>
  </si>
  <si>
    <t>CN 6357-15</t>
  </si>
  <si>
    <t>2026PYSANJOSE071A</t>
  </si>
  <si>
    <t>AAEH011</t>
  </si>
  <si>
    <t>ANGY017</t>
  </si>
  <si>
    <t>AMARILDO GONZALEZ</t>
  </si>
  <si>
    <t>CI 2.171.833</t>
  </si>
  <si>
    <t>0520260015445CDA</t>
  </si>
  <si>
    <t>0520260024407IIPA</t>
  </si>
  <si>
    <t>CN 6357-15A</t>
  </si>
  <si>
    <t>2026PYSANJOSE071B</t>
  </si>
  <si>
    <t>0520260024408IIPA</t>
  </si>
  <si>
    <t>23/03/202</t>
  </si>
  <si>
    <t>O/87773-2</t>
  </si>
  <si>
    <t>BR547046320</t>
  </si>
  <si>
    <t>QJT1538</t>
  </si>
  <si>
    <t>RYG4G61</t>
  </si>
  <si>
    <t>LUIZ HENRIQUE GOMES COSTA</t>
  </si>
  <si>
    <t>CPF 138.224.376-62</t>
  </si>
  <si>
    <t>0520260015571CDA</t>
  </si>
  <si>
    <t>SO/6356-8</t>
  </si>
  <si>
    <t>BR560601915</t>
  </si>
  <si>
    <t>KAIPPER</t>
  </si>
  <si>
    <t>TPS5149</t>
  </si>
  <si>
    <t>SXP9G80</t>
  </si>
  <si>
    <t>AMILCAR AGUSTIN RIVERO</t>
  </si>
  <si>
    <t>CPF 717.731.631-08</t>
  </si>
  <si>
    <t>0520260015291CDA</t>
  </si>
  <si>
    <t>0520260025019IIPA</t>
  </si>
  <si>
    <t>SO/6558-3</t>
  </si>
  <si>
    <t>BR851400002</t>
  </si>
  <si>
    <t>EXPRESSO GERACAO</t>
  </si>
  <si>
    <t>TIB2189</t>
  </si>
  <si>
    <t>SMZ9F68</t>
  </si>
  <si>
    <t>JOSE AURELIO DANTAS BONIFACIO JUNIOR</t>
  </si>
  <si>
    <t>CPF 046.583.223-74</t>
  </si>
  <si>
    <t>0520260015781CDA</t>
  </si>
  <si>
    <t>0520260025033IIPA</t>
  </si>
  <si>
    <t>SO/6497-4</t>
  </si>
  <si>
    <t>BR560601907</t>
  </si>
  <si>
    <t>MMD2487</t>
  </si>
  <si>
    <t>MMH1597</t>
  </si>
  <si>
    <t>FRIMA</t>
  </si>
  <si>
    <t>RUTA 5 SUR PARCELA 206-208 LOTE RESTO 2B, PAINE</t>
  </si>
  <si>
    <t>ANTONIO DOS SANTOS</t>
  </si>
  <si>
    <t>0520260015649CDA</t>
  </si>
  <si>
    <t>27-03-2026 </t>
  </si>
  <si>
    <t>CN 6357-16</t>
  </si>
  <si>
    <t>2026PYSANJOSE073</t>
  </si>
  <si>
    <t>TIS006</t>
  </si>
  <si>
    <t>TIS008</t>
  </si>
  <si>
    <t>MIGUEL MEZA</t>
  </si>
  <si>
    <t>CI 2.243.639</t>
  </si>
  <si>
    <t>0520260015336CDA</t>
  </si>
  <si>
    <t>0520260024576IIPA</t>
  </si>
  <si>
    <t>CN 25530</t>
  </si>
  <si>
    <t>PY23TMA1154</t>
  </si>
  <si>
    <t>MARTIN</t>
  </si>
  <si>
    <t>AAVM324</t>
  </si>
  <si>
    <t>AAVA219</t>
  </si>
  <si>
    <t>FRISA</t>
  </si>
  <si>
    <t>WILLYANS CARDOZO</t>
  </si>
  <si>
    <t>CI 3.391.314</t>
  </si>
  <si>
    <t>0520260015763CDA</t>
  </si>
  <si>
    <t>0520260025061IIPA</t>
  </si>
  <si>
    <t>CN 6360-35</t>
  </si>
  <si>
    <t>PY23TMA1153</t>
  </si>
  <si>
    <t>AASM024</t>
  </si>
  <si>
    <t>CRIS005</t>
  </si>
  <si>
    <t>NERI AVALOS</t>
  </si>
  <si>
    <t>CI 3.027.395</t>
  </si>
  <si>
    <t>0520260016099CDA</t>
  </si>
  <si>
    <t>CN 6568-2</t>
  </si>
  <si>
    <t>26PYFOODS333</t>
  </si>
  <si>
    <t>AAAE517</t>
  </si>
  <si>
    <t>AAAE688</t>
  </si>
  <si>
    <t>BERNARDO VERA</t>
  </si>
  <si>
    <t>CI 3.519.767</t>
  </si>
  <si>
    <t>0520260015730CDA</t>
  </si>
  <si>
    <t>0520260024584IIPA</t>
  </si>
  <si>
    <t>CN 6358-15</t>
  </si>
  <si>
    <t>2026PYSANJOSE072</t>
  </si>
  <si>
    <t>RVFR61</t>
  </si>
  <si>
    <t>HXGW78</t>
  </si>
  <si>
    <t>AV. PDTE. EDUARDO FREI 8301, QUILICURA</t>
  </si>
  <si>
    <t>ARTURO BARRIOS</t>
  </si>
  <si>
    <t>CI 13.165.029-9</t>
  </si>
  <si>
    <t>0520260015400CDA</t>
  </si>
  <si>
    <t>SO/6331-19</t>
  </si>
  <si>
    <t>052034TC2026</t>
  </si>
  <si>
    <t>26AR115067H</t>
  </si>
  <si>
    <t xml:space="preserve"> ALBERTO MAURICIO ESTRELLA</t>
  </si>
  <si>
    <t>0520260015288CDA</t>
  </si>
  <si>
    <t>0520260023715IIPA</t>
  </si>
  <si>
    <t>AR/18891-2</t>
  </si>
  <si>
    <t>05217502TKBA26</t>
  </si>
  <si>
    <t>26AR112138D</t>
  </si>
  <si>
    <t>ORLANDO DAVID CORNEJO</t>
  </si>
  <si>
    <t>CI 27.724.218-4</t>
  </si>
  <si>
    <t>0520260016037CDA</t>
  </si>
  <si>
    <t>0520260025382IIPA</t>
  </si>
  <si>
    <t>SO/6354-53</t>
  </si>
  <si>
    <t>BR547046308</t>
  </si>
  <si>
    <t>JBD6J38</t>
  </si>
  <si>
    <t>QJY3129</t>
  </si>
  <si>
    <t>CRISTIANO RODRIGUES TAVARES</t>
  </si>
  <si>
    <t>CPF 078.366.529-63</t>
  </si>
  <si>
    <t>0520260016069CDA</t>
  </si>
  <si>
    <t>SO/6354-55</t>
  </si>
  <si>
    <t>BR547046286</t>
  </si>
  <si>
    <t>RXQ0D46</t>
  </si>
  <si>
    <t>SXP9125</t>
  </si>
  <si>
    <t>ENDERSON BORCHIS</t>
  </si>
  <si>
    <t>CPF 134.594.838.-73</t>
  </si>
  <si>
    <t>0520260015508CDA</t>
  </si>
  <si>
    <t>SO/6624-1</t>
  </si>
  <si>
    <t>BR547046328</t>
  </si>
  <si>
    <t>RYA7H49</t>
  </si>
  <si>
    <t>RXX1D29</t>
  </si>
  <si>
    <t xml:space="preserve">MANOEL BATISTA DOS SANTOS </t>
  </si>
  <si>
    <t>CPF 529.564.155-49</t>
  </si>
  <si>
    <t>0520260016356CDA</t>
  </si>
  <si>
    <t>O/88198-2</t>
  </si>
  <si>
    <t>BR453909427</t>
  </si>
  <si>
    <t>SDX2H74</t>
  </si>
  <si>
    <t>RKX7H42</t>
  </si>
  <si>
    <t xml:space="preserve">JOSE LUIZ DAMACENO </t>
  </si>
  <si>
    <t>CPF 723.986.719-68</t>
  </si>
  <si>
    <t>0520260016039CDA</t>
  </si>
  <si>
    <t>0520260025081IIPA</t>
  </si>
  <si>
    <t>O/87631-6</t>
  </si>
  <si>
    <t>BR261615213</t>
  </si>
  <si>
    <t>RXV6G05</t>
  </si>
  <si>
    <t>QIB3887</t>
  </si>
  <si>
    <t>CARNES KAR</t>
  </si>
  <si>
    <t xml:space="preserve">NERILANGELA DE FATIMA COUTINHO </t>
  </si>
  <si>
    <t>CPF 043.668.099-82</t>
  </si>
  <si>
    <t>0520260016277CDA</t>
  </si>
  <si>
    <t>SO/6558-4</t>
  </si>
  <si>
    <t>BR512203503</t>
  </si>
  <si>
    <t>TPV8H58</t>
  </si>
  <si>
    <t>TPX9108</t>
  </si>
  <si>
    <t>HEBERTON RODOLFO AVELINO RODRIGUES</t>
  </si>
  <si>
    <t>CPF 079.637.544-55</t>
  </si>
  <si>
    <t>0520260015804CDA</t>
  </si>
  <si>
    <t>O/87631-5</t>
  </si>
  <si>
    <t>BR547046327</t>
  </si>
  <si>
    <t>RYH0H49</t>
  </si>
  <si>
    <t>RYZ7G81</t>
  </si>
  <si>
    <t>FABRICIO SANTANA FRANCA</t>
  </si>
  <si>
    <t>CPF 320.422.508-99</t>
  </si>
  <si>
    <t>0520260016358CDA</t>
  </si>
  <si>
    <t>2605149574 </t>
  </si>
  <si>
    <t>SO/6568-3</t>
  </si>
  <si>
    <t>BR261615214</t>
  </si>
  <si>
    <t>SXA8G85</t>
  </si>
  <si>
    <t>RLI8D31</t>
  </si>
  <si>
    <t>CLARIVAL JUNIOR PAVLAK ANDRADE</t>
  </si>
  <si>
    <t>CPF 048.199.709-17</t>
  </si>
  <si>
    <t>SO/6568-4</t>
  </si>
  <si>
    <t>BR547046287</t>
  </si>
  <si>
    <t>RYW5F48</t>
  </si>
  <si>
    <t>RYV9E28</t>
  </si>
  <si>
    <t>MARCO ANTONIO DELGADO RIQUELME</t>
  </si>
  <si>
    <t>CPF 234.655.708-04</t>
  </si>
  <si>
    <t>0520260016166CDA</t>
  </si>
  <si>
    <t>SO/6562-3</t>
  </si>
  <si>
    <t>BR512203497</t>
  </si>
  <si>
    <t>TPQ6J15</t>
  </si>
  <si>
    <t>TPO5D65</t>
  </si>
  <si>
    <t xml:space="preserve"> WILLIAN DA SILVA </t>
  </si>
  <si>
    <t>CPF 127.554.336-71</t>
  </si>
  <si>
    <t>0520260015811CDA</t>
  </si>
  <si>
    <t>SO/6354-54</t>
  </si>
  <si>
    <t>BR547046284</t>
  </si>
  <si>
    <t>STN7J55</t>
  </si>
  <si>
    <t>RYQ2C48</t>
  </si>
  <si>
    <t>WLADI DA SILVA BTTENCOURT</t>
  </si>
  <si>
    <t>CPF 451.324.700-25</t>
  </si>
  <si>
    <t>0520260016362CDA</t>
  </si>
  <si>
    <t>CN 25412-10</t>
  </si>
  <si>
    <t>2026PYSANJOSE074</t>
  </si>
  <si>
    <t>BETO700</t>
  </si>
  <si>
    <t>BETO900</t>
  </si>
  <si>
    <t>ALEJANDRO ROLON LESME</t>
  </si>
  <si>
    <t>CI 4.847.876</t>
  </si>
  <si>
    <t>0520260016593CDA</t>
  </si>
  <si>
    <t>CN 25314-5</t>
  </si>
  <si>
    <t>2026PYSANJOSE076</t>
  </si>
  <si>
    <t>AANU306</t>
  </si>
  <si>
    <t>AANU322</t>
  </si>
  <si>
    <t>VICTOR PEREIRA</t>
  </si>
  <si>
    <t>CI 2.829.765</t>
  </si>
  <si>
    <t>0520260016294CDA</t>
  </si>
  <si>
    <t>0520260025088IIPA</t>
  </si>
  <si>
    <t>CN 6360-39</t>
  </si>
  <si>
    <t>2026PYSANJOSE077</t>
  </si>
  <si>
    <t>TISJ002</t>
  </si>
  <si>
    <t>TISJ005</t>
  </si>
  <si>
    <t>MARCOS LOPEZ</t>
  </si>
  <si>
    <t>CI 6.276.534</t>
  </si>
  <si>
    <t>0520260015817CDA</t>
  </si>
  <si>
    <t>CN 6357-20</t>
  </si>
  <si>
    <t>26PYFOODS336</t>
  </si>
  <si>
    <t xml:space="preserve">CRESCENCIO RAMON MEZA </t>
  </si>
  <si>
    <t>0520260015803CDA</t>
  </si>
  <si>
    <t>SO/6562-1</t>
  </si>
  <si>
    <t>BR512203502</t>
  </si>
  <si>
    <t>TPP4J54</t>
  </si>
  <si>
    <t>QIR2B69</t>
  </si>
  <si>
    <t>JHONATHAN PATRIC ALVES SILVA</t>
  </si>
  <si>
    <t>CPF 127.027.946-70</t>
  </si>
  <si>
    <t>0520260016190CDA</t>
  </si>
  <si>
    <t>CN 6357-17</t>
  </si>
  <si>
    <t>PY23TMA1157</t>
  </si>
  <si>
    <t>AAUE410</t>
  </si>
  <si>
    <t>AALJ422</t>
  </si>
  <si>
    <t>ANTONIO CENTURION</t>
  </si>
  <si>
    <t>CI 3.641.820</t>
  </si>
  <si>
    <t>0520260016363CDA</t>
  </si>
  <si>
    <t>SO/6552-2</t>
  </si>
  <si>
    <t>PY23TMA1158</t>
  </si>
  <si>
    <t>AAHM021</t>
  </si>
  <si>
    <t>MMSS 123</t>
  </si>
  <si>
    <t>RANCISCO MARTINEZ</t>
  </si>
  <si>
    <t>CI 5.357.515</t>
  </si>
  <si>
    <t>0520260015836CDA</t>
  </si>
  <si>
    <t>SO/6604-3</t>
  </si>
  <si>
    <t>0520082026CH</t>
  </si>
  <si>
    <t>26AR117785Z</t>
  </si>
  <si>
    <t>BHPB21</t>
  </si>
  <si>
    <t>KYLL77</t>
  </si>
  <si>
    <t>ANGEL SOSA</t>
  </si>
  <si>
    <t>CI 2.884.591</t>
  </si>
  <si>
    <t>0520260015774CDA</t>
  </si>
  <si>
    <t>SO/6604-4</t>
  </si>
  <si>
    <t>08334075TKMZA26</t>
  </si>
  <si>
    <t>26AR116894Z</t>
  </si>
  <si>
    <t>RYGY99</t>
  </si>
  <si>
    <t>JN7938</t>
  </si>
  <si>
    <t xml:space="preserve"> RICARDO J. RODRIGUEZ</t>
  </si>
  <si>
    <t>CI 25.823.225-9</t>
  </si>
  <si>
    <t>0520260016080CDA</t>
  </si>
  <si>
    <t>SO/6497-2</t>
  </si>
  <si>
    <t>BR512203485</t>
  </si>
  <si>
    <t>TPT7D39</t>
  </si>
  <si>
    <t>SXP8170</t>
  </si>
  <si>
    <t xml:space="preserve">MURIEL LAMBERT DOS SANTOS </t>
  </si>
  <si>
    <t>CPF 088.286.129-83</t>
  </si>
  <si>
    <t>0520260015863CDA</t>
  </si>
  <si>
    <t>O/88097</t>
  </si>
  <si>
    <t>BR547046338</t>
  </si>
  <si>
    <t>REB3G58</t>
  </si>
  <si>
    <t>RLE2J66</t>
  </si>
  <si>
    <t>LUIZ PAULO BOCOLI BUENO DA SILVA</t>
  </si>
  <si>
    <t>CPF 125.717.246-81</t>
  </si>
  <si>
    <t>0520260016476CDA</t>
  </si>
  <si>
    <t>SO/6362-14</t>
  </si>
  <si>
    <t>BR707400466</t>
  </si>
  <si>
    <t>SPL6G82</t>
  </si>
  <si>
    <t>SPL5F44</t>
  </si>
  <si>
    <t xml:space="preserve">REGINALDO DE FREITAS ROCHAS </t>
  </si>
  <si>
    <t>CPF 090.312.938-81</t>
  </si>
  <si>
    <t>SO/6362-11</t>
  </si>
  <si>
    <t>BR707400465</t>
  </si>
  <si>
    <t>SPZ0B53</t>
  </si>
  <si>
    <t>Spy2E27</t>
  </si>
  <si>
    <t>MARCO ANTONIO RABELO OLIVEIRA</t>
  </si>
  <si>
    <t>CPF 048.624.176-98</t>
  </si>
  <si>
    <t>0520260016536CDA</t>
  </si>
  <si>
    <t>28-03-2026 </t>
  </si>
  <si>
    <t>SO/6551-1</t>
  </si>
  <si>
    <t>BR512203504</t>
  </si>
  <si>
    <t>RXR9B14</t>
  </si>
  <si>
    <t>RXS1A84</t>
  </si>
  <si>
    <t>MARCIO CLAYTON SANTOS DE SOUZA</t>
  </si>
  <si>
    <t>CPF 511.638.452-72</t>
  </si>
  <si>
    <t>0520260015895CDA</t>
  </si>
  <si>
    <t>CN 25412-9</t>
  </si>
  <si>
    <t>2026PYSANJOSE078</t>
  </si>
  <si>
    <t>TBMT117</t>
  </si>
  <si>
    <t>TBMT217</t>
  </si>
  <si>
    <t>FRANCISCO MENDOZA</t>
  </si>
  <si>
    <t>CI 5.011.170</t>
  </si>
  <si>
    <t>CN 6552-3</t>
  </si>
  <si>
    <t>2026PYSANJOSE079</t>
  </si>
  <si>
    <t>TISJ023</t>
  </si>
  <si>
    <t>TISJ025</t>
  </si>
  <si>
    <t>EVER CAÑETE</t>
  </si>
  <si>
    <t>CI  4.145.765</t>
  </si>
  <si>
    <t>0520260016595CDA</t>
  </si>
  <si>
    <t>O/88441-2</t>
  </si>
  <si>
    <t>BR453909434</t>
  </si>
  <si>
    <t>SDZ5E24</t>
  </si>
  <si>
    <t>SXX1A24</t>
  </si>
  <si>
    <t>HALISON HEMENSON VASCONCELOS</t>
  </si>
  <si>
    <t>CPF 107.276.744-98</t>
  </si>
  <si>
    <t>CN 6526-2</t>
  </si>
  <si>
    <t>26PYFOODS337</t>
  </si>
  <si>
    <t>AARP788</t>
  </si>
  <si>
    <t>AARO375</t>
  </si>
  <si>
    <t>PEDRO ANTONIO GONZALEZ AGUILAR</t>
  </si>
  <si>
    <t>CI 3.918.123</t>
  </si>
  <si>
    <t>0520260016143CDA</t>
  </si>
  <si>
    <t>2605149550 </t>
  </si>
  <si>
    <t>CN 6360-38</t>
  </si>
  <si>
    <t>PYLG0962026</t>
  </si>
  <si>
    <t>CN 6360-38A</t>
  </si>
  <si>
    <t>PYLG0972026</t>
  </si>
  <si>
    <t>O/87952</t>
  </si>
  <si>
    <t>BR547046344</t>
  </si>
  <si>
    <t>QJG8943</t>
  </si>
  <si>
    <t>RAG6445</t>
  </si>
  <si>
    <t>RIVLAMIR DOS SANTOS</t>
  </si>
  <si>
    <t>CPF 070.248.385-07</t>
  </si>
  <si>
    <t>0520260016159CDA</t>
  </si>
  <si>
    <t>SO/6617-2</t>
  </si>
  <si>
    <t>BR547046367</t>
  </si>
  <si>
    <t>RXS8D46</t>
  </si>
  <si>
    <t>TPO5C07</t>
  </si>
  <si>
    <t>CLAUDIO MOREIRA BRITO</t>
  </si>
  <si>
    <t>CPF 137.124.228-30</t>
  </si>
  <si>
    <t>CN 6617-6</t>
  </si>
  <si>
    <t>PYLG1002026</t>
  </si>
  <si>
    <t>SO/6617-1</t>
  </si>
  <si>
    <t>BR547046381</t>
  </si>
  <si>
    <t>RXN4184</t>
  </si>
  <si>
    <t>RXP1152</t>
  </si>
  <si>
    <t>JULIO CESAR CONSTANTE SMAGAR</t>
  </si>
  <si>
    <t>CPF 061.501.489-55</t>
  </si>
  <si>
    <t>CN 25481</t>
  </si>
  <si>
    <t>PY23TMA1160</t>
  </si>
  <si>
    <t>NELSON GONZALEZ</t>
  </si>
  <si>
    <t xml:space="preserve"> CI 4.926.875</t>
  </si>
  <si>
    <t>0520260016184CDA</t>
  </si>
  <si>
    <t>SO/6558-6</t>
  </si>
  <si>
    <t>BR512203512</t>
  </si>
  <si>
    <t>RXP7E16</t>
  </si>
  <si>
    <t>RLJ4F29</t>
  </si>
  <si>
    <t xml:space="preserve">KESSY JONY DA SILVA </t>
  </si>
  <si>
    <t xml:space="preserve"> CPF 021.844.323-42</t>
  </si>
  <si>
    <t>SO/6617-5</t>
  </si>
  <si>
    <t>BR547046349</t>
  </si>
  <si>
    <t>RYBOC19</t>
  </si>
  <si>
    <t>RAE5929</t>
  </si>
  <si>
    <t>JOSIAS TADEU PENNA GOMES</t>
  </si>
  <si>
    <t>CPF 308.807.588-80</t>
  </si>
  <si>
    <t>0520260016582CDA</t>
  </si>
  <si>
    <t>SO/6562-4</t>
  </si>
  <si>
    <t>BR560601928</t>
  </si>
  <si>
    <t>SXT9A90</t>
  </si>
  <si>
    <t>TPS8A91</t>
  </si>
  <si>
    <t>VAGNER COIMBRA GASS</t>
  </si>
  <si>
    <t>CPF 941.868.390-34</t>
  </si>
  <si>
    <t>CN 25289-2</t>
  </si>
  <si>
    <t>2026PYSANJOSE080</t>
  </si>
  <si>
    <t>RJKY58</t>
  </si>
  <si>
    <t>PWSH21</t>
  </si>
  <si>
    <t>LUIS GALEANO</t>
  </si>
  <si>
    <t>CI 3.194.605</t>
  </si>
  <si>
    <t>SO/6622</t>
  </si>
  <si>
    <t>BR547046347</t>
  </si>
  <si>
    <t>RXM9G45</t>
  </si>
  <si>
    <t>RXP8B15</t>
  </si>
  <si>
    <t>GERVASIO TELES DA SILVA</t>
  </si>
  <si>
    <t>CPF 085.070.627-09</t>
  </si>
  <si>
    <t>CN 25401-2</t>
  </si>
  <si>
    <t>PY23TMA1161</t>
  </si>
  <si>
    <t>AALJ 417</t>
  </si>
  <si>
    <t>ENRI 094</t>
  </si>
  <si>
    <t>CARLOS BOBADILLA</t>
  </si>
  <si>
    <t>CI 2.637.799</t>
  </si>
  <si>
    <t>SO/6623-1</t>
  </si>
  <si>
    <t>BR547046348</t>
  </si>
  <si>
    <t>RXN4H84</t>
  </si>
  <si>
    <t>RYG7F51</t>
  </si>
  <si>
    <t>RODRIGO ARAUJO BATISTA</t>
  </si>
  <si>
    <t>CPF 041.706.662-75</t>
  </si>
  <si>
    <t>CN 6616-3</t>
  </si>
  <si>
    <t>PYLG1022026</t>
  </si>
  <si>
    <t>SO/6330-17</t>
  </si>
  <si>
    <t>052036TC2026</t>
  </si>
  <si>
    <t>MUÑOZ ARIEL</t>
  </si>
  <si>
    <t>DNI 26.395.174</t>
  </si>
  <si>
    <t>SO/6331-20</t>
  </si>
  <si>
    <t>052035TC2026</t>
  </si>
  <si>
    <t>26AR119424X</t>
  </si>
  <si>
    <t>AG826IW</t>
  </si>
  <si>
    <t>AG721CI</t>
  </si>
  <si>
    <t>PABLO BARTOLOCHINI</t>
  </si>
  <si>
    <t>DNI 30.841.944</t>
  </si>
  <si>
    <t>0520260016518CDA</t>
  </si>
  <si>
    <t>SO/6330-18</t>
  </si>
  <si>
    <t>0520092026CH</t>
  </si>
  <si>
    <t>26AR124353F</t>
  </si>
  <si>
    <t>CN 6617-7</t>
  </si>
  <si>
    <t>PYLG1062026</t>
  </si>
  <si>
    <t>SO/6356-10</t>
  </si>
  <si>
    <t>BR851400003</t>
  </si>
  <si>
    <t>CN 25412-12</t>
  </si>
  <si>
    <t>2026PYSANJOSE082</t>
  </si>
  <si>
    <t>SO/6623-2</t>
  </si>
  <si>
    <t>BR547046422</t>
  </si>
  <si>
    <t>SO/6551-2</t>
  </si>
  <si>
    <t>BR512203516</t>
  </si>
  <si>
    <t>CN 25347-1</t>
  </si>
  <si>
    <t>CN 25412-11</t>
  </si>
  <si>
    <t>PY23TMA1162</t>
  </si>
  <si>
    <t>O/87772-3</t>
  </si>
  <si>
    <t>BR547046386</t>
  </si>
  <si>
    <t>O/87631-9</t>
  </si>
  <si>
    <t>BR547046393</t>
  </si>
  <si>
    <t>SO/6497-5</t>
  </si>
  <si>
    <t>BR512203511</t>
  </si>
  <si>
    <t>SO/6624-2</t>
  </si>
  <si>
    <t>BR547046442</t>
  </si>
  <si>
    <t>CN 25359-2</t>
  </si>
  <si>
    <t>PY23TMA1164</t>
  </si>
  <si>
    <t>CN 25412-13</t>
  </si>
  <si>
    <t>2026PYSANJOSE083</t>
  </si>
  <si>
    <t>O/88441-1</t>
  </si>
  <si>
    <t>Referencia de cliente.</t>
  </si>
  <si>
    <t>ETA</t>
  </si>
  <si>
    <t>Confirmación de recepción de documentación (fecha correo)</t>
  </si>
  <si>
    <t>Indicación de si los documentos se encuentran OK o con observaciones.</t>
  </si>
  <si>
    <t>Fecha en que se solicitó modificación.</t>
  </si>
  <si>
    <t>Fecha en que se notificó.</t>
  </si>
  <si>
    <t>Fecha en que se recibieron correcciones.</t>
  </si>
  <si>
    <t>Fecha de nueva presentación, si corresponde.</t>
  </si>
  <si>
    <t>PASO ADUANERO</t>
  </si>
  <si>
    <t>factura comercial</t>
  </si>
  <si>
    <t>NAVE</t>
  </si>
  <si>
    <t>BL</t>
  </si>
  <si>
    <t>ALMACEN</t>
  </si>
  <si>
    <t xml:space="preserve">N° CONTENEDOR </t>
  </si>
  <si>
    <t>EMPRESA TRANSPORTE NACIONAL (BODEGA)</t>
  </si>
  <si>
    <t>PRONTO DESPACHO (FECHA SOLICITADO)</t>
  </si>
  <si>
    <t xml:space="preserve">Nombre chofer </t>
  </si>
  <si>
    <t>N° IDENTIFICACION CHOFER</t>
  </si>
  <si>
    <t>Resolucion Sanitaria UYD</t>
  </si>
  <si>
    <t>SAG</t>
  </si>
  <si>
    <t>Fecha de presentación de documentos.(VISACIÓN)</t>
  </si>
  <si>
    <t xml:space="preserve">Fecha de liberación - DESPACHADO </t>
  </si>
  <si>
    <t xml:space="preserve">FACTURA AGENCIA </t>
  </si>
  <si>
    <t>VALOR REMESA</t>
  </si>
  <si>
    <t>B/79127-2</t>
  </si>
  <si>
    <t>ok</t>
  </si>
  <si>
    <t>-</t>
  </si>
  <si>
    <t>SECA - DRY</t>
  </si>
  <si>
    <t>MARITIMA</t>
  </si>
  <si>
    <t>San Antonio</t>
  </si>
  <si>
    <t>DUSSELDORF EXPRESS</t>
  </si>
  <si>
    <t>CONTOPSA</t>
  </si>
  <si>
    <t>MRSU6552560</t>
  </si>
  <si>
    <t>TAVI</t>
  </si>
  <si>
    <t>NO APLICA</t>
  </si>
  <si>
    <t>San Francisco del Mostazal 12.3</t>
  </si>
  <si>
    <t>Cristian Alcaino</t>
  </si>
  <si>
    <r>
      <t> </t>
    </r>
    <r>
      <rPr>
        <sz val="11"/>
        <color theme="1"/>
        <rFont val="Calibri"/>
        <family val="2"/>
        <charset val="1"/>
      </rPr>
      <t>13340077-K</t>
    </r>
  </si>
  <si>
    <t>0520260011511CDA</t>
  </si>
  <si>
    <t>COL/7556-2</t>
  </si>
  <si>
    <t>Colombia</t>
  </si>
  <si>
    <t>Valparaiso</t>
  </si>
  <si>
    <t>ME-10756</t>
  </si>
  <si>
    <t>MATTHEW SCHULTE</t>
  </si>
  <si>
    <t>BGA0513090</t>
  </si>
  <si>
    <t>ZEAL</t>
  </si>
  <si>
    <t>SZLU5103010</t>
  </si>
  <si>
    <t>VALPOTRANS</t>
  </si>
  <si>
    <t>CENCOSUD</t>
  </si>
  <si>
    <t>SAN PABLO 11011, Pudahuel (cliente cencosud)</t>
  </si>
  <si>
    <t>0520260013509CDA</t>
  </si>
  <si>
    <t>B/79127-3</t>
  </si>
  <si>
    <t>BSIU8108703</t>
  </si>
  <si>
    <t>San Francisco de Mostazal 19.3</t>
  </si>
  <si>
    <r>
      <t>Héctor Vilchez</t>
    </r>
    <r>
      <rPr>
        <sz val="11"/>
        <color theme="1"/>
        <rFont val="Calibri"/>
        <family val="2"/>
        <scheme val="minor"/>
      </rPr>
      <t> </t>
    </r>
  </si>
  <si>
    <t>19069744-4</t>
  </si>
  <si>
    <t>0520260012370CDA</t>
  </si>
  <si>
    <t>B/79127-4</t>
  </si>
  <si>
    <t>lista de empaque</t>
  </si>
  <si>
    <t>MAERSK ACADIA</t>
  </si>
  <si>
    <t>MRKU5133782</t>
  </si>
  <si>
    <t>B/79127-5</t>
  </si>
  <si>
    <t>CAAU9115910</t>
  </si>
  <si>
    <t>B/79127-6</t>
  </si>
  <si>
    <t>MRKU5345333</t>
  </si>
  <si>
    <t>B/79127-7</t>
  </si>
  <si>
    <t>SUDU8788114</t>
  </si>
  <si>
    <t>SO/6497-3</t>
  </si>
  <si>
    <t>MNBU3476210</t>
  </si>
  <si>
    <t>AVENIDA AMERICO VESPUCIO N°0350,QUILICURA</t>
  </si>
  <si>
    <t>B/79127-8</t>
  </si>
  <si>
    <t>MALIAKOS</t>
  </si>
  <si>
    <t>MRSU5173047</t>
  </si>
  <si>
    <t>B/79127-9</t>
  </si>
  <si>
    <t>MRKU6316026</t>
  </si>
  <si>
    <t>179630 (MARITIMA)</t>
  </si>
  <si>
    <t>180128 (MARITIMA)</t>
  </si>
  <si>
    <t>180082 (MARITIMA)</t>
  </si>
  <si>
    <t>180352 (MARITIMA)</t>
  </si>
  <si>
    <t xml:space="preserve">Paso aduanero </t>
  </si>
  <si>
    <t>AWL / GUIA AEREA</t>
  </si>
  <si>
    <t>EMISOR GUIA AEREA</t>
  </si>
  <si>
    <t>S-79335</t>
  </si>
  <si>
    <t>AEREO</t>
  </si>
  <si>
    <t xml:space="preserve">METROPOLITANA </t>
  </si>
  <si>
    <t>ABSA AEROLINHAS BRASILEIRAS</t>
  </si>
  <si>
    <t xml:space="preserve"> </t>
  </si>
  <si>
    <t>1320260001388CDA</t>
  </si>
  <si>
    <t>S-79335A</t>
  </si>
  <si>
    <t>ESTADO DE OPERACION</t>
  </si>
  <si>
    <t>CARGA</t>
  </si>
  <si>
    <t>TIPO OPERACION</t>
  </si>
  <si>
    <t>TIPO TRAMITE</t>
  </si>
  <si>
    <t>INSRUCCION DESCARGA</t>
  </si>
  <si>
    <t>OBSERVACION DOCUMENTAL</t>
  </si>
  <si>
    <t>cliente</t>
  </si>
  <si>
    <t>direccion</t>
  </si>
  <si>
    <t>EN CURSO</t>
  </si>
  <si>
    <t>AEREA</t>
  </si>
  <si>
    <t xml:space="preserve">CDA </t>
  </si>
  <si>
    <t>carga en viaje a puerto</t>
  </si>
  <si>
    <t>PRESENTACIÓN SAG OBJETADA</t>
  </si>
  <si>
    <t>CORREGIR documentos</t>
  </si>
  <si>
    <t>AV. GALVARINO 8601 BGA. 11, QUILICURA</t>
  </si>
  <si>
    <t>FINALIZADA</t>
  </si>
  <si>
    <t>ARRIBADA EN PUERTO</t>
  </si>
  <si>
    <t>UYD</t>
  </si>
  <si>
    <t>carga ingresa a puerto</t>
  </si>
  <si>
    <t>GUIA DESPACHO EMITIDA</t>
  </si>
  <si>
    <t>PRESENTACIÓN SEREMI OBJETADA</t>
  </si>
  <si>
    <t>Documentos pendientes</t>
  </si>
  <si>
    <t>CAMINO SANTA MARTA 2101, MAIPU</t>
  </si>
  <si>
    <t>URGENTE</t>
  </si>
  <si>
    <t>boleta emitida/ carga ingresa a Ext Contopsa</t>
  </si>
  <si>
    <t>PRESENTACION SAG - SEREMI OBJETADA</t>
  </si>
  <si>
    <t>Documentos OK</t>
  </si>
  <si>
    <t>DESPACHADO</t>
  </si>
  <si>
    <t>espera instrucciones descarga</t>
  </si>
  <si>
    <t>AV. EL PARRON 345, LA CISTERNA</t>
  </si>
  <si>
    <t>CAMINO LO AGUIRRE SUR 537, PUDAHUEL </t>
  </si>
  <si>
    <t>CORDILLERA 451, QUILICURA</t>
  </si>
  <si>
    <t>6 ORIENTE 152-D CALETERA ORIENTE ALTURA KM 39, PAINE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</si>
</sst>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4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42424"/>
      <name val="Aptos Narrow"/>
      <charset val="1"/>
    </font>
    <font>
      <u/>
      <sz val="11"/>
      <color rgb="FF0563C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sz val="9"/>
      <color theme="1"/>
      <name val="Arial"/>
      <charset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0"/>
      <name val="Calibri"/>
      <family val="2"/>
      <scheme val="minor"/>
    </font>
    <font>
      <sz val="11"/>
      <color rgb="FFC29204"/>
      <name val="Calibri"/>
      <family val="2"/>
      <scheme val="minor"/>
    </font>
    <font>
      <b/>
      <sz val="12"/>
      <color theme="1"/>
      <name val="Calibri"/>
    </font>
    <font>
      <sz val="12"/>
      <color theme="1"/>
      <name val="Calibri"/>
    </font>
    <font>
      <sz val="12"/>
      <color theme="1"/>
      <name val="Calibri"/>
      <scheme val="minor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sz val="12"/>
      <color theme="1"/>
      <name val="Calibri"/>
      <family val="2"/>
      <scheme val="minor"/>
    </font>
    <font>
      <sz val="11"/>
      <color rgb="FF242424"/>
      <name val="Calibri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charset val="1"/>
    </font>
    <font>
      <sz val="11"/>
      <color theme="1"/>
      <name val="Calibri"/>
      <family val="2"/>
      <charset val="1"/>
    </font>
    <font>
      <sz val="10"/>
      <color theme="1"/>
      <name val="Calibri"/>
      <family val="2"/>
      <scheme val="minor"/>
    </font>
    <font>
      <b/>
      <sz val="11"/>
      <color rgb="FF242424"/>
      <name val="Aptos Narrow"/>
      <charset val="1"/>
    </font>
    <font>
      <sz val="11"/>
      <color rgb="FF000000"/>
      <name val="Calibri"/>
    </font>
    <font>
      <sz val="9"/>
      <color rgb="FF000000"/>
      <name val="System-Ui"/>
      <charset val="1"/>
    </font>
    <font>
      <u/>
      <sz val="11"/>
      <color rgb="FF000000"/>
      <name val="Calibri"/>
      <family val="2"/>
      <scheme val="minor"/>
    </font>
    <font>
      <sz val="11"/>
      <color rgb="FF000000"/>
      <name val="System-Ui"/>
      <charset val="1"/>
    </font>
    <font>
      <u/>
      <sz val="11"/>
      <color theme="10"/>
      <name val="Calibri"/>
      <scheme val="minor"/>
    </font>
    <font>
      <sz val="11"/>
      <color rgb="FF333333"/>
      <name val="Calibri"/>
      <scheme val="minor"/>
    </font>
    <font>
      <sz val="9"/>
      <color rgb="FF000000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464">
    <xf numFmtId="0" fontId="0" fillId="0" borderId="0" xfId="0"/>
    <xf numFmtId="0" fontId="9" fillId="2" borderId="3" xfId="0" applyFont="1" applyFill="1" applyBorder="1" applyAlignment="1">
      <alignment horizontal="center" vertical="center" wrapText="1"/>
    </xf>
    <xf numFmtId="0" fontId="0" fillId="0" borderId="2" xfId="0" applyBorder="1"/>
    <xf numFmtId="0" fontId="13" fillId="0" borderId="2" xfId="0" applyFont="1" applyBorder="1"/>
    <xf numFmtId="0" fontId="8" fillId="0" borderId="2" xfId="0" applyFont="1" applyBorder="1"/>
    <xf numFmtId="0" fontId="12" fillId="0" borderId="2" xfId="1" applyBorder="1"/>
    <xf numFmtId="14" fontId="8" fillId="0" borderId="2" xfId="0" applyNumberFormat="1" applyFont="1" applyBorder="1"/>
    <xf numFmtId="0" fontId="8" fillId="0" borderId="2" xfId="0" applyFont="1" applyBorder="1" applyAlignment="1">
      <alignment wrapText="1"/>
    </xf>
    <xf numFmtId="164" fontId="9" fillId="2" borderId="8" xfId="0" applyNumberFormat="1" applyFont="1" applyFill="1" applyBorder="1" applyAlignment="1">
      <alignment horizontal="center" vertical="center" wrapText="1"/>
    </xf>
    <xf numFmtId="0" fontId="0" fillId="0" borderId="4" xfId="0" applyBorder="1"/>
    <xf numFmtId="164" fontId="0" fillId="0" borderId="10" xfId="0" applyNumberFormat="1" applyBorder="1"/>
    <xf numFmtId="0" fontId="8" fillId="0" borderId="4" xfId="0" applyFont="1" applyBorder="1" applyAlignment="1">
      <alignment wrapText="1"/>
    </xf>
    <xf numFmtId="0" fontId="0" fillId="0" borderId="10" xfId="0" applyBorder="1"/>
    <xf numFmtId="0" fontId="0" fillId="0" borderId="14" xfId="0" applyBorder="1"/>
    <xf numFmtId="0" fontId="0" fillId="0" borderId="2" xfId="0" applyBorder="1" applyAlignment="1">
      <alignment horizontal="center"/>
    </xf>
    <xf numFmtId="0" fontId="0" fillId="0" borderId="15" xfId="0" applyBorder="1"/>
    <xf numFmtId="0" fontId="0" fillId="0" borderId="11" xfId="0" applyBorder="1" applyAlignment="1">
      <alignment horizontal="center"/>
    </xf>
    <xf numFmtId="164" fontId="9" fillId="2" borderId="17" xfId="0" applyNumberFormat="1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/>
    </xf>
    <xf numFmtId="22" fontId="15" fillId="0" borderId="2" xfId="0" applyNumberFormat="1" applyFont="1" applyBorder="1" applyAlignment="1">
      <alignment horizontal="center"/>
    </xf>
    <xf numFmtId="0" fontId="15" fillId="0" borderId="2" xfId="0" applyFont="1" applyBorder="1" applyAlignment="1">
      <alignment wrapText="1"/>
    </xf>
    <xf numFmtId="0" fontId="0" fillId="0" borderId="0" xfId="0" applyAlignment="1">
      <alignment horizontal="center"/>
    </xf>
    <xf numFmtId="14" fontId="0" fillId="0" borderId="2" xfId="0" applyNumberFormat="1" applyBorder="1"/>
    <xf numFmtId="14" fontId="12" fillId="0" borderId="2" xfId="1" applyNumberFormat="1" applyBorder="1"/>
    <xf numFmtId="14" fontId="12" fillId="0" borderId="2" xfId="1" applyNumberFormat="1" applyBorder="1" applyAlignment="1">
      <alignment readingOrder="1"/>
    </xf>
    <xf numFmtId="0" fontId="17" fillId="0" borderId="0" xfId="0" applyFont="1"/>
    <xf numFmtId="0" fontId="9" fillId="2" borderId="17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wrapText="1"/>
    </xf>
    <xf numFmtId="14" fontId="10" fillId="0" borderId="2" xfId="0" applyNumberFormat="1" applyFont="1" applyBorder="1"/>
    <xf numFmtId="164" fontId="0" fillId="0" borderId="4" xfId="0" applyNumberFormat="1" applyBorder="1"/>
    <xf numFmtId="0" fontId="0" fillId="0" borderId="4" xfId="0" applyBorder="1" applyAlignment="1">
      <alignment horizontal="center"/>
    </xf>
    <xf numFmtId="0" fontId="9" fillId="2" borderId="8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12" fillId="0" borderId="0" xfId="1"/>
    <xf numFmtId="22" fontId="8" fillId="0" borderId="2" xfId="0" applyNumberFormat="1" applyFont="1" applyBorder="1" applyAlignment="1">
      <alignment horizontal="center"/>
    </xf>
    <xf numFmtId="22" fontId="0" fillId="0" borderId="2" xfId="0" applyNumberFormat="1" applyBorder="1" applyAlignment="1">
      <alignment horizontal="center"/>
    </xf>
    <xf numFmtId="0" fontId="0" fillId="0" borderId="9" xfId="0" applyBorder="1"/>
    <xf numFmtId="0" fontId="0" fillId="0" borderId="0" xfId="0" applyAlignment="1">
      <alignment wrapText="1"/>
    </xf>
    <xf numFmtId="14" fontId="8" fillId="0" borderId="2" xfId="1" applyNumberFormat="1" applyFont="1" applyFill="1" applyBorder="1" applyAlignment="1">
      <alignment wrapText="1"/>
    </xf>
    <xf numFmtId="14" fontId="8" fillId="0" borderId="2" xfId="0" applyNumberFormat="1" applyFont="1" applyBorder="1" applyAlignment="1">
      <alignment readingOrder="1"/>
    </xf>
    <xf numFmtId="0" fontId="12" fillId="0" borderId="2" xfId="1" applyNumberFormat="1" applyFill="1" applyBorder="1" applyAlignment="1">
      <alignment wrapText="1"/>
    </xf>
    <xf numFmtId="0" fontId="0" fillId="0" borderId="15" xfId="0" applyBorder="1" applyAlignment="1">
      <alignment horizontal="center"/>
    </xf>
    <xf numFmtId="14" fontId="8" fillId="0" borderId="2" xfId="0" applyNumberFormat="1" applyFont="1" applyBorder="1" applyAlignment="1">
      <alignment horizontal="center"/>
    </xf>
    <xf numFmtId="0" fontId="12" fillId="0" borderId="2" xfId="1" applyFill="1" applyBorder="1"/>
    <xf numFmtId="0" fontId="8" fillId="6" borderId="2" xfId="0" applyFont="1" applyFill="1" applyBorder="1" applyAlignment="1">
      <alignment horizontal="center" vertical="center" wrapText="1"/>
    </xf>
    <xf numFmtId="14" fontId="15" fillId="0" borderId="0" xfId="0" applyNumberFormat="1" applyFont="1" applyAlignment="1">
      <alignment horizontal="center"/>
    </xf>
    <xf numFmtId="14" fontId="15" fillId="0" borderId="2" xfId="0" applyNumberFormat="1" applyFont="1" applyBorder="1" applyAlignment="1">
      <alignment horizontal="center"/>
    </xf>
    <xf numFmtId="0" fontId="12" fillId="0" borderId="2" xfId="1" applyFill="1" applyBorder="1" applyAlignment="1">
      <alignment horizontal="center"/>
    </xf>
    <xf numFmtId="3" fontId="13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19" fillId="7" borderId="6" xfId="0" applyFont="1" applyFill="1" applyBorder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4" fontId="19" fillId="7" borderId="7" xfId="0" applyNumberFormat="1" applyFont="1" applyFill="1" applyBorder="1" applyAlignment="1">
      <alignment horizontal="center" vertical="center" wrapText="1"/>
    </xf>
    <xf numFmtId="14" fontId="8" fillId="0" borderId="2" xfId="0" applyNumberFormat="1" applyFont="1" applyBorder="1" applyAlignment="1">
      <alignment wrapText="1"/>
    </xf>
    <xf numFmtId="14" fontId="0" fillId="0" borderId="2" xfId="0" applyNumberFormat="1" applyBorder="1" applyAlignment="1">
      <alignment horizontal="right"/>
    </xf>
    <xf numFmtId="14" fontId="0" fillId="0" borderId="0" xfId="0" applyNumberFormat="1"/>
    <xf numFmtId="0" fontId="22" fillId="0" borderId="23" xfId="0" applyFont="1" applyBorder="1" applyAlignment="1">
      <alignment horizontal="center"/>
    </xf>
    <xf numFmtId="0" fontId="22" fillId="0" borderId="24" xfId="0" applyFont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0" fontId="21" fillId="0" borderId="26" xfId="0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0" fontId="12" fillId="0" borderId="10" xfId="1" applyFill="1" applyBorder="1"/>
    <xf numFmtId="0" fontId="9" fillId="2" borderId="15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25" fillId="0" borderId="2" xfId="0" applyFont="1" applyBorder="1" applyAlignment="1">
      <alignment horizontal="center" wrapText="1"/>
    </xf>
    <xf numFmtId="0" fontId="25" fillId="0" borderId="15" xfId="0" applyFont="1" applyBorder="1" applyAlignment="1">
      <alignment horizontal="center" wrapText="1"/>
    </xf>
    <xf numFmtId="0" fontId="23" fillId="0" borderId="16" xfId="0" applyFont="1" applyBorder="1" applyAlignment="1">
      <alignment horizontal="center"/>
    </xf>
    <xf numFmtId="0" fontId="0" fillId="4" borderId="10" xfId="0" applyFill="1" applyBorder="1"/>
    <xf numFmtId="0" fontId="0" fillId="4" borderId="2" xfId="0" applyFill="1" applyBorder="1"/>
    <xf numFmtId="0" fontId="4" fillId="0" borderId="2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10" xfId="0" applyFont="1" applyBorder="1" applyAlignment="1">
      <alignment horizontal="center" wrapText="1"/>
    </xf>
    <xf numFmtId="0" fontId="23" fillId="0" borderId="2" xfId="0" applyFont="1" applyBorder="1" applyAlignment="1">
      <alignment horizontal="center" wrapText="1"/>
    </xf>
    <xf numFmtId="0" fontId="0" fillId="10" borderId="4" xfId="0" applyFill="1" applyBorder="1"/>
    <xf numFmtId="14" fontId="8" fillId="0" borderId="2" xfId="0" applyNumberFormat="1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13" fillId="0" borderId="2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12" fillId="0" borderId="10" xfId="1" applyBorder="1" applyAlignment="1">
      <alignment wrapText="1"/>
    </xf>
    <xf numFmtId="0" fontId="8" fillId="0" borderId="10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0" fillId="0" borderId="4" xfId="0" applyBorder="1" applyAlignment="1">
      <alignment wrapText="1"/>
    </xf>
    <xf numFmtId="0" fontId="12" fillId="0" borderId="15" xfId="1" applyFill="1" applyBorder="1" applyAlignment="1">
      <alignment horizontal="center" wrapText="1"/>
    </xf>
    <xf numFmtId="0" fontId="12" fillId="0" borderId="2" xfId="1" applyBorder="1" applyAlignment="1">
      <alignment horizontal="center" wrapText="1"/>
    </xf>
    <xf numFmtId="14" fontId="12" fillId="0" borderId="2" xfId="1" applyNumberFormat="1" applyBorder="1" applyAlignment="1">
      <alignment wrapText="1"/>
    </xf>
    <xf numFmtId="14" fontId="15" fillId="0" borderId="2" xfId="0" applyNumberFormat="1" applyFont="1" applyBorder="1" applyAlignment="1">
      <alignment horizontal="center" wrapText="1"/>
    </xf>
    <xf numFmtId="22" fontId="8" fillId="0" borderId="10" xfId="0" applyNumberFormat="1" applyFont="1" applyBorder="1" applyAlignment="1">
      <alignment horizontal="center" wrapText="1"/>
    </xf>
    <xf numFmtId="22" fontId="8" fillId="0" borderId="2" xfId="0" applyNumberFormat="1" applyFont="1" applyBorder="1" applyAlignment="1">
      <alignment horizontal="center" wrapText="1"/>
    </xf>
    <xf numFmtId="0" fontId="0" fillId="0" borderId="18" xfId="0" applyBorder="1" applyAlignment="1">
      <alignment wrapText="1"/>
    </xf>
    <xf numFmtId="164" fontId="8" fillId="0" borderId="4" xfId="0" applyNumberFormat="1" applyFont="1" applyBorder="1" applyAlignment="1">
      <alignment wrapText="1"/>
    </xf>
    <xf numFmtId="0" fontId="0" fillId="0" borderId="10" xfId="0" applyBorder="1" applyAlignment="1">
      <alignment wrapText="1"/>
    </xf>
    <xf numFmtId="14" fontId="0" fillId="0" borderId="2" xfId="0" applyNumberFormat="1" applyBorder="1" applyAlignment="1">
      <alignment wrapText="1"/>
    </xf>
    <xf numFmtId="0" fontId="0" fillId="0" borderId="2" xfId="0" applyBorder="1" applyAlignment="1">
      <alignment wrapText="1"/>
    </xf>
    <xf numFmtId="0" fontId="26" fillId="0" borderId="2" xfId="0" applyFont="1" applyBorder="1" applyAlignment="1">
      <alignment horizontal="center" wrapText="1"/>
    </xf>
    <xf numFmtId="22" fontId="15" fillId="0" borderId="2" xfId="0" applyNumberFormat="1" applyFont="1" applyBorder="1" applyAlignment="1">
      <alignment horizontal="center" wrapText="1"/>
    </xf>
    <xf numFmtId="14" fontId="15" fillId="0" borderId="12" xfId="0" applyNumberFormat="1" applyFont="1" applyBorder="1" applyAlignment="1">
      <alignment horizontal="center" wrapText="1"/>
    </xf>
    <xf numFmtId="22" fontId="0" fillId="0" borderId="2" xfId="0" applyNumberFormat="1" applyBorder="1" applyAlignment="1">
      <alignment horizontal="center" wrapText="1"/>
    </xf>
    <xf numFmtId="164" fontId="0" fillId="0" borderId="10" xfId="0" applyNumberFormat="1" applyBorder="1" applyAlignment="1">
      <alignment wrapText="1"/>
    </xf>
    <xf numFmtId="164" fontId="0" fillId="0" borderId="4" xfId="0" applyNumberFormat="1" applyBorder="1" applyAlignment="1">
      <alignment wrapText="1"/>
    </xf>
    <xf numFmtId="0" fontId="12" fillId="0" borderId="15" xfId="1" applyBorder="1" applyAlignment="1">
      <alignment horizontal="center" wrapText="1"/>
    </xf>
    <xf numFmtId="0" fontId="12" fillId="0" borderId="2" xfId="1" applyBorder="1" applyAlignment="1">
      <alignment wrapText="1"/>
    </xf>
    <xf numFmtId="22" fontId="15" fillId="0" borderId="10" xfId="0" applyNumberFormat="1" applyFont="1" applyBorder="1" applyAlignment="1">
      <alignment horizontal="center" wrapText="1"/>
    </xf>
    <xf numFmtId="0" fontId="23" fillId="0" borderId="15" xfId="0" applyFont="1" applyBorder="1" applyAlignment="1">
      <alignment horizontal="center" wrapText="1"/>
    </xf>
    <xf numFmtId="14" fontId="15" fillId="0" borderId="0" xfId="0" applyNumberFormat="1" applyFont="1" applyAlignment="1">
      <alignment horizontal="center" wrapText="1"/>
    </xf>
    <xf numFmtId="0" fontId="14" fillId="0" borderId="10" xfId="0" applyFont="1" applyBorder="1" applyAlignment="1">
      <alignment wrapText="1"/>
    </xf>
    <xf numFmtId="0" fontId="14" fillId="0" borderId="2" xfId="0" applyFont="1" applyBorder="1" applyAlignment="1">
      <alignment wrapText="1"/>
    </xf>
    <xf numFmtId="3" fontId="13" fillId="0" borderId="2" xfId="0" applyNumberFormat="1" applyFont="1" applyBorder="1" applyAlignment="1">
      <alignment horizontal="center" wrapText="1"/>
    </xf>
    <xf numFmtId="0" fontId="17" fillId="0" borderId="4" xfId="0" applyFont="1" applyBorder="1" applyAlignment="1">
      <alignment horizontal="center" wrapText="1"/>
    </xf>
    <xf numFmtId="22" fontId="0" fillId="0" borderId="10" xfId="0" applyNumberFormat="1" applyBorder="1" applyAlignment="1">
      <alignment horizontal="center" wrapText="1"/>
    </xf>
    <xf numFmtId="0" fontId="12" fillId="0" borderId="10" xfId="1" applyFill="1" applyBorder="1" applyAlignment="1">
      <alignment wrapText="1"/>
    </xf>
    <xf numFmtId="0" fontId="0" fillId="0" borderId="2" xfId="0" applyBorder="1" applyAlignment="1">
      <alignment horizontal="center" wrapText="1"/>
    </xf>
    <xf numFmtId="14" fontId="12" fillId="0" borderId="0" xfId="1" applyNumberFormat="1" applyAlignment="1">
      <alignment wrapText="1"/>
    </xf>
    <xf numFmtId="22" fontId="8" fillId="0" borderId="14" xfId="0" applyNumberFormat="1" applyFont="1" applyBorder="1" applyAlignment="1">
      <alignment horizontal="center" wrapText="1"/>
    </xf>
    <xf numFmtId="0" fontId="20" fillId="8" borderId="2" xfId="0" applyFont="1" applyFill="1" applyBorder="1" applyAlignment="1">
      <alignment horizontal="center" wrapText="1"/>
    </xf>
    <xf numFmtId="0" fontId="23" fillId="0" borderId="2" xfId="0" applyFont="1" applyBorder="1" applyAlignment="1">
      <alignment horizontal="center" wrapText="1" readingOrder="1"/>
    </xf>
    <xf numFmtId="14" fontId="12" fillId="0" borderId="4" xfId="1" applyNumberFormat="1" applyBorder="1" applyAlignment="1">
      <alignment wrapText="1"/>
    </xf>
    <xf numFmtId="14" fontId="0" fillId="0" borderId="0" xfId="0" applyNumberFormat="1" applyAlignment="1">
      <alignment horizontal="center" wrapText="1"/>
    </xf>
    <xf numFmtId="14" fontId="12" fillId="0" borderId="4" xfId="1" applyNumberFormat="1" applyFill="1" applyBorder="1" applyAlignment="1">
      <alignment wrapText="1"/>
    </xf>
    <xf numFmtId="0" fontId="15" fillId="0" borderId="2" xfId="0" applyFont="1" applyBorder="1" applyAlignment="1">
      <alignment horizontal="left" wrapText="1"/>
    </xf>
    <xf numFmtId="14" fontId="8" fillId="0" borderId="2" xfId="1" applyNumberFormat="1" applyFont="1" applyFill="1" applyBorder="1" applyAlignment="1">
      <alignment wrapText="1" readingOrder="1"/>
    </xf>
    <xf numFmtId="0" fontId="12" fillId="0" borderId="2" xfId="1" applyNumberFormat="1" applyFill="1" applyBorder="1" applyAlignment="1">
      <alignment wrapText="1" readingOrder="1"/>
    </xf>
    <xf numFmtId="0" fontId="12" fillId="0" borderId="0" xfId="1" applyAlignment="1">
      <alignment wrapText="1"/>
    </xf>
    <xf numFmtId="22" fontId="15" fillId="0" borderId="9" xfId="0" applyNumberFormat="1" applyFont="1" applyBorder="1" applyAlignment="1">
      <alignment horizontal="center" wrapText="1"/>
    </xf>
    <xf numFmtId="0" fontId="0" fillId="0" borderId="14" xfId="0" applyBorder="1" applyAlignment="1">
      <alignment wrapText="1"/>
    </xf>
    <xf numFmtId="14" fontId="0" fillId="0" borderId="11" xfId="0" applyNumberFormat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3" xfId="0" applyBorder="1" applyAlignment="1">
      <alignment wrapText="1"/>
    </xf>
    <xf numFmtId="0" fontId="23" fillId="0" borderId="16" xfId="0" applyFont="1" applyBorder="1" applyAlignment="1">
      <alignment horizontal="center" wrapText="1"/>
    </xf>
    <xf numFmtId="164" fontId="0" fillId="0" borderId="13" xfId="0" applyNumberFormat="1" applyBorder="1" applyAlignment="1">
      <alignment wrapText="1"/>
    </xf>
    <xf numFmtId="0" fontId="12" fillId="0" borderId="2" xfId="1" applyFill="1" applyBorder="1" applyAlignment="1">
      <alignment horizontal="center" wrapText="1"/>
    </xf>
    <xf numFmtId="0" fontId="13" fillId="0" borderId="15" xfId="0" applyFont="1" applyBorder="1" applyAlignment="1">
      <alignment horizontal="center" wrapText="1"/>
    </xf>
    <xf numFmtId="14" fontId="8" fillId="0" borderId="2" xfId="0" applyNumberFormat="1" applyFont="1" applyBorder="1" applyAlignment="1">
      <alignment wrapText="1" readingOrder="1"/>
    </xf>
    <xf numFmtId="0" fontId="12" fillId="0" borderId="2" xfId="1" applyBorder="1" applyAlignment="1">
      <alignment wrapText="1" readingOrder="1"/>
    </xf>
    <xf numFmtId="0" fontId="12" fillId="0" borderId="14" xfId="1" applyFill="1" applyBorder="1" applyAlignment="1">
      <alignment wrapText="1"/>
    </xf>
    <xf numFmtId="0" fontId="16" fillId="0" borderId="4" xfId="0" applyFont="1" applyBorder="1" applyAlignment="1">
      <alignment wrapText="1"/>
    </xf>
    <xf numFmtId="0" fontId="12" fillId="0" borderId="18" xfId="1" applyFill="1" applyBorder="1" applyAlignment="1">
      <alignment wrapText="1"/>
    </xf>
    <xf numFmtId="0" fontId="0" fillId="0" borderId="15" xfId="0" applyBorder="1" applyAlignment="1">
      <alignment horizontal="center" wrapText="1"/>
    </xf>
    <xf numFmtId="14" fontId="0" fillId="0" borderId="0" xfId="0" applyNumberFormat="1" applyAlignment="1">
      <alignment wrapText="1"/>
    </xf>
    <xf numFmtId="0" fontId="23" fillId="0" borderId="0" xfId="0" applyFont="1" applyAlignment="1">
      <alignment horizontal="center" wrapText="1"/>
    </xf>
    <xf numFmtId="0" fontId="0" fillId="0" borderId="15" xfId="0" applyBorder="1" applyAlignment="1">
      <alignment wrapText="1"/>
    </xf>
    <xf numFmtId="0" fontId="23" fillId="0" borderId="20" xfId="0" applyFont="1" applyBorder="1" applyAlignment="1">
      <alignment horizontal="center" wrapText="1"/>
    </xf>
    <xf numFmtId="0" fontId="17" fillId="0" borderId="13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7" fillId="0" borderId="19" xfId="0" applyFont="1" applyBorder="1" applyAlignment="1">
      <alignment horizontal="center" wrapText="1"/>
    </xf>
    <xf numFmtId="14" fontId="0" fillId="0" borderId="2" xfId="0" applyNumberFormat="1" applyBorder="1" applyAlignment="1">
      <alignment horizontal="right" wrapText="1"/>
    </xf>
    <xf numFmtId="0" fontId="0" fillId="0" borderId="9" xfId="0" applyBorder="1" applyAlignment="1">
      <alignment wrapText="1"/>
    </xf>
    <xf numFmtId="0" fontId="22" fillId="0" borderId="23" xfId="0" applyFont="1" applyBorder="1" applyAlignment="1">
      <alignment horizontal="center" wrapText="1"/>
    </xf>
    <xf numFmtId="0" fontId="0" fillId="4" borderId="2" xfId="0" applyFill="1" applyBorder="1" applyAlignment="1">
      <alignment wrapText="1"/>
    </xf>
    <xf numFmtId="0" fontId="0" fillId="4" borderId="10" xfId="0" applyFill="1" applyBorder="1" applyAlignment="1">
      <alignment wrapText="1"/>
    </xf>
    <xf numFmtId="0" fontId="22" fillId="0" borderId="24" xfId="0" applyFont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17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wrapText="1"/>
    </xf>
    <xf numFmtId="0" fontId="8" fillId="0" borderId="10" xfId="0" applyFont="1" applyBorder="1" applyAlignment="1">
      <alignment horizontal="center" wrapText="1"/>
    </xf>
    <xf numFmtId="0" fontId="20" fillId="8" borderId="10" xfId="0" applyFont="1" applyFill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0" fontId="8" fillId="0" borderId="18" xfId="0" applyFont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8" fillId="0" borderId="15" xfId="0" applyFont="1" applyBorder="1" applyAlignment="1">
      <alignment wrapText="1"/>
    </xf>
    <xf numFmtId="0" fontId="9" fillId="11" borderId="10" xfId="0" applyFont="1" applyFill="1" applyBorder="1" applyAlignment="1">
      <alignment horizontal="center" vertical="center" wrapText="1"/>
    </xf>
    <xf numFmtId="0" fontId="9" fillId="11" borderId="25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8" fillId="11" borderId="2" xfId="0" applyFont="1" applyFill="1" applyBorder="1" applyAlignment="1">
      <alignment horizontal="center" vertical="center" wrapText="1"/>
    </xf>
    <xf numFmtId="0" fontId="12" fillId="0" borderId="0" xfId="1" applyFill="1"/>
    <xf numFmtId="14" fontId="12" fillId="0" borderId="0" xfId="1" applyNumberFormat="1" applyFill="1"/>
    <xf numFmtId="0" fontId="0" fillId="0" borderId="9" xfId="0" applyBorder="1" applyAlignment="1">
      <alignment horizontal="center"/>
    </xf>
    <xf numFmtId="22" fontId="27" fillId="0" borderId="2" xfId="0" applyNumberFormat="1" applyFont="1" applyBorder="1" applyAlignment="1">
      <alignment horizontal="center" wrapText="1"/>
    </xf>
    <xf numFmtId="0" fontId="11" fillId="0" borderId="10" xfId="0" applyFont="1" applyBorder="1" applyAlignment="1">
      <alignment wrapText="1"/>
    </xf>
    <xf numFmtId="0" fontId="9" fillId="11" borderId="8" xfId="0" applyFont="1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9" fillId="11" borderId="17" xfId="0" applyFont="1" applyFill="1" applyBorder="1" applyAlignment="1">
      <alignment horizontal="center" vertical="center" wrapText="1"/>
    </xf>
    <xf numFmtId="0" fontId="24" fillId="11" borderId="2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14" fontId="19" fillId="7" borderId="2" xfId="0" applyNumberFormat="1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4" fontId="9" fillId="2" borderId="2" xfId="0" applyNumberFormat="1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/>
    </xf>
    <xf numFmtId="164" fontId="0" fillId="0" borderId="2" xfId="0" applyNumberFormat="1" applyBorder="1"/>
    <xf numFmtId="14" fontId="0" fillId="0" borderId="4" xfId="0" applyNumberFormat="1" applyBorder="1"/>
    <xf numFmtId="0" fontId="8" fillId="0" borderId="4" xfId="0" applyFont="1" applyBorder="1" applyAlignment="1">
      <alignment wrapText="1" readingOrder="1"/>
    </xf>
    <xf numFmtId="14" fontId="12" fillId="0" borderId="4" xfId="1" applyNumberFormat="1" applyBorder="1" applyAlignment="1">
      <alignment wrapText="1" readingOrder="1"/>
    </xf>
    <xf numFmtId="14" fontId="12" fillId="0" borderId="4" xfId="1" applyNumberFormat="1" applyFill="1" applyBorder="1" applyAlignment="1">
      <alignment wrapText="1" readingOrder="1"/>
    </xf>
    <xf numFmtId="0" fontId="15" fillId="0" borderId="4" xfId="0" applyFont="1" applyBorder="1" applyAlignment="1">
      <alignment wrapText="1" readingOrder="1"/>
    </xf>
    <xf numFmtId="0" fontId="0" fillId="0" borderId="19" xfId="0" applyBorder="1" applyAlignment="1">
      <alignment wrapText="1"/>
    </xf>
    <xf numFmtId="14" fontId="13" fillId="0" borderId="15" xfId="0" applyNumberFormat="1" applyFont="1" applyBorder="1" applyAlignment="1">
      <alignment horizontal="center" wrapText="1"/>
    </xf>
    <xf numFmtId="14" fontId="15" fillId="0" borderId="10" xfId="0" applyNumberFormat="1" applyFont="1" applyBorder="1" applyAlignment="1">
      <alignment horizontal="center" wrapText="1"/>
    </xf>
    <xf numFmtId="22" fontId="15" fillId="0" borderId="15" xfId="0" applyNumberFormat="1" applyFont="1" applyBorder="1" applyAlignment="1">
      <alignment horizontal="center" wrapText="1"/>
    </xf>
    <xf numFmtId="16" fontId="0" fillId="0" borderId="10" xfId="0" applyNumberFormat="1" applyBorder="1"/>
    <xf numFmtId="16" fontId="0" fillId="0" borderId="2" xfId="0" applyNumberFormat="1" applyBorder="1"/>
    <xf numFmtId="0" fontId="0" fillId="10" borderId="4" xfId="0" applyFill="1" applyBorder="1" applyAlignment="1">
      <alignment vertical="center"/>
    </xf>
    <xf numFmtId="0" fontId="30" fillId="0" borderId="0" xfId="0" applyFont="1"/>
    <xf numFmtId="16" fontId="0" fillId="0" borderId="2" xfId="0" applyNumberFormat="1" applyBorder="1" applyAlignment="1">
      <alignment wrapText="1"/>
    </xf>
    <xf numFmtId="0" fontId="30" fillId="0" borderId="2" xfId="0" applyFont="1" applyBorder="1"/>
    <xf numFmtId="0" fontId="9" fillId="11" borderId="4" xfId="0" applyFont="1" applyFill="1" applyBorder="1" applyAlignment="1">
      <alignment horizontal="center" vertical="center" wrapText="1"/>
    </xf>
    <xf numFmtId="14" fontId="0" fillId="0" borderId="12" xfId="0" applyNumberFormat="1" applyBorder="1"/>
    <xf numFmtId="0" fontId="12" fillId="0" borderId="11" xfId="1" applyBorder="1" applyAlignment="1">
      <alignment horizontal="center"/>
    </xf>
    <xf numFmtId="0" fontId="26" fillId="0" borderId="16" xfId="0" applyFont="1" applyBorder="1" applyAlignment="1">
      <alignment horizontal="center" wrapText="1"/>
    </xf>
    <xf numFmtId="14" fontId="0" fillId="0" borderId="15" xfId="0" applyNumberFormat="1" applyBorder="1" applyAlignment="1">
      <alignment horizontal="center" wrapText="1"/>
    </xf>
    <xf numFmtId="14" fontId="8" fillId="0" borderId="2" xfId="1" applyNumberFormat="1" applyFont="1" applyBorder="1" applyAlignment="1">
      <alignment wrapText="1" readingOrder="1"/>
    </xf>
    <xf numFmtId="0" fontId="33" fillId="0" borderId="0" xfId="0" applyFont="1" applyAlignment="1">
      <alignment horizontal="center"/>
    </xf>
    <xf numFmtId="0" fontId="9" fillId="3" borderId="2" xfId="0" applyFont="1" applyFill="1" applyBorder="1" applyAlignment="1">
      <alignment horizontal="center" vertical="center" wrapText="1"/>
    </xf>
    <xf numFmtId="0" fontId="18" fillId="12" borderId="2" xfId="0" applyFont="1" applyFill="1" applyBorder="1" applyAlignment="1">
      <alignment horizontal="center" vertical="center" wrapText="1"/>
    </xf>
    <xf numFmtId="14" fontId="8" fillId="0" borderId="2" xfId="1" applyNumberFormat="1" applyFont="1" applyBorder="1"/>
    <xf numFmtId="14" fontId="8" fillId="0" borderId="2" xfId="1" applyNumberFormat="1" applyFont="1" applyBorder="1" applyAlignment="1">
      <alignment wrapText="1"/>
    </xf>
    <xf numFmtId="14" fontId="8" fillId="0" borderId="2" xfId="1" applyNumberFormat="1" applyFont="1" applyBorder="1" applyAlignment="1">
      <alignment readingOrder="1"/>
    </xf>
    <xf numFmtId="0" fontId="9" fillId="12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wrapText="1"/>
    </xf>
    <xf numFmtId="16" fontId="0" fillId="0" borderId="10" xfId="0" applyNumberFormat="1" applyBorder="1" applyAlignment="1">
      <alignment horizontal="center"/>
    </xf>
    <xf numFmtId="0" fontId="12" fillId="0" borderId="4" xfId="1" applyBorder="1"/>
    <xf numFmtId="0" fontId="12" fillId="0" borderId="15" xfId="1" applyBorder="1"/>
    <xf numFmtId="0" fontId="12" fillId="0" borderId="4" xfId="1" applyFill="1" applyBorder="1"/>
    <xf numFmtId="0" fontId="0" fillId="0" borderId="2" xfId="0" applyBorder="1" applyAlignment="1">
      <alignment horizontal="right"/>
    </xf>
    <xf numFmtId="14" fontId="12" fillId="0" borderId="4" xfId="1" applyNumberFormat="1" applyBorder="1"/>
    <xf numFmtId="0" fontId="12" fillId="0" borderId="0" xfId="1" applyFill="1" applyAlignment="1">
      <alignment horizontal="center"/>
    </xf>
    <xf numFmtId="0" fontId="0" fillId="0" borderId="19" xfId="0" applyBorder="1"/>
    <xf numFmtId="0" fontId="0" fillId="0" borderId="2" xfId="0" applyBorder="1" applyAlignment="1">
      <alignment horizontal="left"/>
    </xf>
    <xf numFmtId="0" fontId="9" fillId="0" borderId="2" xfId="0" applyFont="1" applyBorder="1" applyAlignment="1">
      <alignment horizontal="center"/>
    </xf>
    <xf numFmtId="0" fontId="17" fillId="0" borderId="2" xfId="0" applyFont="1" applyBorder="1"/>
    <xf numFmtId="0" fontId="9" fillId="3" borderId="10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/>
    </xf>
    <xf numFmtId="0" fontId="20" fillId="8" borderId="10" xfId="0" applyFont="1" applyFill="1" applyBorder="1" applyAlignment="1">
      <alignment horizontal="center"/>
    </xf>
    <xf numFmtId="0" fontId="8" fillId="0" borderId="2" xfId="1" applyNumberFormat="1" applyFont="1" applyFill="1" applyBorder="1" applyAlignment="1">
      <alignment wrapText="1"/>
    </xf>
    <xf numFmtId="0" fontId="8" fillId="0" borderId="2" xfId="1" applyFont="1" applyFill="1" applyBorder="1" applyAlignment="1">
      <alignment wrapText="1"/>
    </xf>
    <xf numFmtId="0" fontId="12" fillId="0" borderId="2" xfId="1" applyBorder="1" applyAlignment="1">
      <alignment horizontal="left"/>
    </xf>
    <xf numFmtId="14" fontId="12" fillId="0" borderId="2" xfId="1" applyNumberFormat="1" applyBorder="1" applyAlignment="1">
      <alignment horizontal="right"/>
    </xf>
    <xf numFmtId="0" fontId="12" fillId="0" borderId="4" xfId="1" applyFill="1" applyBorder="1" applyAlignment="1">
      <alignment horizontal="right"/>
    </xf>
    <xf numFmtId="0" fontId="35" fillId="0" borderId="0" xfId="0" applyFont="1" applyAlignment="1">
      <alignment horizontal="center"/>
    </xf>
    <xf numFmtId="0" fontId="17" fillId="4" borderId="2" xfId="0" applyFont="1" applyFill="1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8" fillId="0" borderId="15" xfId="0" applyFont="1" applyBorder="1" applyAlignment="1">
      <alignment horizontal="center"/>
    </xf>
    <xf numFmtId="0" fontId="12" fillId="0" borderId="9" xfId="1" applyBorder="1"/>
    <xf numFmtId="0" fontId="3" fillId="0" borderId="2" xfId="0" applyFont="1" applyBorder="1" applyAlignment="1">
      <alignment horizontal="center"/>
    </xf>
    <xf numFmtId="0" fontId="13" fillId="0" borderId="4" xfId="0" applyFont="1" applyBorder="1" applyAlignment="1">
      <alignment horizontal="left" wrapText="1"/>
    </xf>
    <xf numFmtId="16" fontId="8" fillId="0" borderId="15" xfId="0" applyNumberFormat="1" applyFont="1" applyBorder="1" applyAlignment="1">
      <alignment horizontal="left" wrapText="1"/>
    </xf>
    <xf numFmtId="0" fontId="36" fillId="0" borderId="2" xfId="1" applyNumberFormat="1" applyFont="1" applyFill="1" applyBorder="1" applyAlignment="1">
      <alignment wrapText="1"/>
    </xf>
    <xf numFmtId="0" fontId="12" fillId="0" borderId="10" xfId="1" applyBorder="1"/>
    <xf numFmtId="0" fontId="15" fillId="0" borderId="4" xfId="0" applyFont="1" applyBorder="1" applyAlignment="1">
      <alignment horizontal="center"/>
    </xf>
    <xf numFmtId="0" fontId="12" fillId="0" borderId="16" xfId="1" applyBorder="1"/>
    <xf numFmtId="0" fontId="12" fillId="0" borderId="13" xfId="1" applyFill="1" applyBorder="1"/>
    <xf numFmtId="0" fontId="0" fillId="0" borderId="18" xfId="0" applyBorder="1"/>
    <xf numFmtId="0" fontId="12" fillId="0" borderId="21" xfId="1" applyFill="1" applyBorder="1"/>
    <xf numFmtId="0" fontId="12" fillId="0" borderId="2" xfId="1" applyFill="1" applyBorder="1" applyAlignment="1">
      <alignment horizontal="right"/>
    </xf>
    <xf numFmtId="0" fontId="12" fillId="0" borderId="11" xfId="1" applyBorder="1"/>
    <xf numFmtId="0" fontId="12" fillId="0" borderId="20" xfId="1" applyBorder="1"/>
    <xf numFmtId="0" fontId="34" fillId="3" borderId="4" xfId="0" applyFont="1" applyFill="1" applyBorder="1"/>
    <xf numFmtId="0" fontId="12" fillId="0" borderId="19" xfId="1" applyFill="1" applyBorder="1"/>
    <xf numFmtId="0" fontId="12" fillId="0" borderId="15" xfId="1" applyBorder="1" applyAlignment="1">
      <alignment horizontal="center"/>
    </xf>
    <xf numFmtId="0" fontId="0" fillId="0" borderId="16" xfId="0" applyBorder="1"/>
    <xf numFmtId="0" fontId="0" fillId="0" borderId="20" xfId="0" applyBorder="1"/>
    <xf numFmtId="0" fontId="12" fillId="0" borderId="0" xfId="1" applyBorder="1"/>
    <xf numFmtId="0" fontId="38" fillId="0" borderId="16" xfId="1" applyFont="1" applyBorder="1" applyAlignment="1">
      <alignment horizontal="left"/>
    </xf>
    <xf numFmtId="0" fontId="0" fillId="3" borderId="4" xfId="0" applyFill="1" applyBorder="1"/>
    <xf numFmtId="0" fontId="12" fillId="0" borderId="20" xfId="1" applyFill="1" applyBorder="1"/>
    <xf numFmtId="14" fontId="12" fillId="0" borderId="2" xfId="1" applyNumberFormat="1" applyFill="1" applyBorder="1"/>
    <xf numFmtId="0" fontId="12" fillId="0" borderId="15" xfId="1" applyFill="1" applyBorder="1"/>
    <xf numFmtId="0" fontId="8" fillId="12" borderId="2" xfId="0" applyFont="1" applyFill="1" applyBorder="1" applyAlignment="1">
      <alignment horizontal="center" vertical="center"/>
    </xf>
    <xf numFmtId="164" fontId="9" fillId="12" borderId="2" xfId="0" applyNumberFormat="1" applyFont="1" applyFill="1" applyBorder="1" applyAlignment="1">
      <alignment horizontal="center" vertical="center" wrapText="1"/>
    </xf>
    <xf numFmtId="164" fontId="8" fillId="0" borderId="2" xfId="0" applyNumberFormat="1" applyFont="1" applyBorder="1"/>
    <xf numFmtId="14" fontId="13" fillId="0" borderId="2" xfId="0" applyNumberFormat="1" applyFont="1" applyBorder="1" applyAlignment="1">
      <alignment horizontal="center"/>
    </xf>
    <xf numFmtId="0" fontId="12" fillId="0" borderId="2" xfId="1" applyBorder="1" applyAlignment="1">
      <alignment readingOrder="1"/>
    </xf>
    <xf numFmtId="14" fontId="26" fillId="0" borderId="2" xfId="0" applyNumberFormat="1" applyFont="1" applyBorder="1" applyAlignment="1">
      <alignment horizontal="right"/>
    </xf>
    <xf numFmtId="0" fontId="12" fillId="0" borderId="2" xfId="1" applyBorder="1" applyAlignment="1">
      <alignment horizontal="right"/>
    </xf>
    <xf numFmtId="164" fontId="0" fillId="0" borderId="2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4" fillId="12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3" fontId="26" fillId="0" borderId="2" xfId="0" applyNumberFormat="1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6" fillId="0" borderId="2" xfId="0" applyFont="1" applyBorder="1"/>
    <xf numFmtId="3" fontId="23" fillId="0" borderId="2" xfId="0" applyNumberFormat="1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 readingOrder="1"/>
    </xf>
    <xf numFmtId="0" fontId="9" fillId="12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 wrapText="1"/>
    </xf>
    <xf numFmtId="0" fontId="15" fillId="0" borderId="15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0" fontId="12" fillId="0" borderId="14" xfId="1" applyFill="1" applyBorder="1"/>
    <xf numFmtId="0" fontId="12" fillId="0" borderId="18" xfId="1" applyFill="1" applyBorder="1"/>
    <xf numFmtId="0" fontId="12" fillId="0" borderId="22" xfId="1" applyFill="1" applyBorder="1"/>
    <xf numFmtId="0" fontId="12" fillId="0" borderId="10" xfId="1" applyFill="1" applyBorder="1" applyAlignment="1">
      <alignment horizontal="left"/>
    </xf>
    <xf numFmtId="0" fontId="29" fillId="12" borderId="2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8" fillId="0" borderId="2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4" fillId="0" borderId="2" xfId="0" applyFont="1" applyBorder="1"/>
    <xf numFmtId="0" fontId="32" fillId="0" borderId="2" xfId="0" applyFont="1" applyBorder="1"/>
    <xf numFmtId="0" fontId="32" fillId="0" borderId="2" xfId="0" applyFont="1" applyBorder="1" applyAlignment="1">
      <alignment vertical="center"/>
    </xf>
    <xf numFmtId="14" fontId="9" fillId="3" borderId="4" xfId="0" applyNumberFormat="1" applyFont="1" applyFill="1" applyBorder="1" applyAlignment="1">
      <alignment horizontal="center" vertical="center" wrapText="1"/>
    </xf>
    <xf numFmtId="14" fontId="8" fillId="0" borderId="4" xfId="0" applyNumberFormat="1" applyFont="1" applyBorder="1"/>
    <xf numFmtId="14" fontId="8" fillId="0" borderId="4" xfId="0" applyNumberFormat="1" applyFont="1" applyBorder="1" applyAlignment="1">
      <alignment wrapText="1"/>
    </xf>
    <xf numFmtId="14" fontId="0" fillId="0" borderId="4" xfId="0" applyNumberFormat="1" applyBorder="1" applyAlignment="1">
      <alignment horizontal="right"/>
    </xf>
    <xf numFmtId="14" fontId="0" fillId="0" borderId="15" xfId="0" applyNumberFormat="1" applyBorder="1"/>
    <xf numFmtId="0" fontId="18" fillId="12" borderId="15" xfId="0" applyFont="1" applyFill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3" fillId="0" borderId="15" xfId="0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14" fontId="0" fillId="0" borderId="10" xfId="0" applyNumberFormat="1" applyBorder="1"/>
    <xf numFmtId="14" fontId="0" fillId="0" borderId="10" xfId="0" applyNumberFormat="1" applyBorder="1" applyAlignment="1">
      <alignment horizontal="center"/>
    </xf>
    <xf numFmtId="22" fontId="27" fillId="0" borderId="2" xfId="0" applyNumberFormat="1" applyFont="1" applyBorder="1" applyAlignment="1">
      <alignment horizontal="center"/>
    </xf>
    <xf numFmtId="14" fontId="37" fillId="0" borderId="2" xfId="0" applyNumberFormat="1" applyFont="1" applyBorder="1" applyAlignment="1">
      <alignment horizontal="center"/>
    </xf>
    <xf numFmtId="0" fontId="0" fillId="3" borderId="4" xfId="0" applyFill="1" applyBorder="1" applyAlignment="1">
      <alignment horizontal="right"/>
    </xf>
    <xf numFmtId="0" fontId="0" fillId="0" borderId="13" xfId="0" applyBorder="1"/>
    <xf numFmtId="0" fontId="0" fillId="3" borderId="0" xfId="0" applyFill="1"/>
    <xf numFmtId="14" fontId="18" fillId="12" borderId="10" xfId="0" applyNumberFormat="1" applyFont="1" applyFill="1" applyBorder="1" applyAlignment="1">
      <alignment horizontal="center" vertical="center" wrapText="1"/>
    </xf>
    <xf numFmtId="14" fontId="15" fillId="0" borderId="10" xfId="0" applyNumberFormat="1" applyFont="1" applyBorder="1" applyAlignment="1">
      <alignment horizontal="center"/>
    </xf>
    <xf numFmtId="14" fontId="15" fillId="0" borderId="14" xfId="0" applyNumberFormat="1" applyFont="1" applyBorder="1" applyAlignment="1">
      <alignment horizontal="center"/>
    </xf>
    <xf numFmtId="14" fontId="6" fillId="0" borderId="10" xfId="0" applyNumberFormat="1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3" fontId="0" fillId="0" borderId="2" xfId="0" applyNumberFormat="1" applyBorder="1"/>
    <xf numFmtId="0" fontId="2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3" fillId="0" borderId="19" xfId="0" applyFont="1" applyBorder="1" applyAlignment="1">
      <alignment horizontal="center"/>
    </xf>
    <xf numFmtId="3" fontId="23" fillId="0" borderId="11" xfId="0" applyNumberFormat="1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14" fontId="0" fillId="0" borderId="11" xfId="0" applyNumberFormat="1" applyBorder="1"/>
    <xf numFmtId="3" fontId="23" fillId="0" borderId="10" xfId="0" applyNumberFormat="1" applyFont="1" applyBorder="1" applyAlignment="1">
      <alignment horizontal="center"/>
    </xf>
    <xf numFmtId="0" fontId="23" fillId="0" borderId="2" xfId="0" applyFont="1" applyBorder="1"/>
    <xf numFmtId="14" fontId="12" fillId="0" borderId="4" xfId="1" applyNumberFormat="1" applyFill="1" applyBorder="1"/>
    <xf numFmtId="14" fontId="15" fillId="0" borderId="9" xfId="0" applyNumberFormat="1" applyFont="1" applyBorder="1" applyAlignment="1">
      <alignment horizontal="center"/>
    </xf>
    <xf numFmtId="0" fontId="12" fillId="0" borderId="11" xfId="1" applyFill="1" applyBorder="1"/>
    <xf numFmtId="0" fontId="0" fillId="3" borderId="16" xfId="0" applyFill="1" applyBorder="1"/>
    <xf numFmtId="0" fontId="0" fillId="3" borderId="13" xfId="0" applyFill="1" applyBorder="1"/>
    <xf numFmtId="0" fontId="0" fillId="3" borderId="19" xfId="0" applyFill="1" applyBorder="1"/>
    <xf numFmtId="0" fontId="12" fillId="13" borderId="2" xfId="1" applyFill="1" applyBorder="1"/>
    <xf numFmtId="0" fontId="23" fillId="0" borderId="13" xfId="0" applyFont="1" applyBorder="1" applyAlignment="1">
      <alignment horizontal="center"/>
    </xf>
    <xf numFmtId="0" fontId="0" fillId="0" borderId="21" xfId="0" applyBorder="1"/>
    <xf numFmtId="0" fontId="15" fillId="0" borderId="0" xfId="0" applyFont="1" applyAlignment="1">
      <alignment horizontal="right"/>
    </xf>
    <xf numFmtId="0" fontId="15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right"/>
    </xf>
    <xf numFmtId="14" fontId="15" fillId="0" borderId="16" xfId="0" applyNumberFormat="1" applyFont="1" applyBorder="1" applyAlignment="1">
      <alignment horizontal="center"/>
    </xf>
    <xf numFmtId="0" fontId="15" fillId="0" borderId="9" xfId="0" applyFont="1" applyBorder="1" applyAlignment="1">
      <alignment horizontal="center" readingOrder="1"/>
    </xf>
    <xf numFmtId="0" fontId="40" fillId="0" borderId="2" xfId="0" applyFont="1" applyBorder="1" applyAlignment="1">
      <alignment horizontal="center" readingOrder="1"/>
    </xf>
    <xf numFmtId="0" fontId="23" fillId="0" borderId="10" xfId="0" applyFont="1" applyBorder="1" applyAlignment="1">
      <alignment horizontal="center"/>
    </xf>
    <xf numFmtId="14" fontId="0" fillId="0" borderId="9" xfId="0" applyNumberFormat="1" applyBorder="1"/>
    <xf numFmtId="14" fontId="15" fillId="0" borderId="4" xfId="0" applyNumberFormat="1" applyFont="1" applyBorder="1" applyAlignment="1">
      <alignment horizontal="center"/>
    </xf>
    <xf numFmtId="14" fontId="0" fillId="0" borderId="18" xfId="0" applyNumberFormat="1" applyBorder="1" applyAlignment="1">
      <alignment horizontal="center"/>
    </xf>
    <xf numFmtId="0" fontId="18" fillId="12" borderId="10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14" fontId="40" fillId="0" borderId="2" xfId="0" applyNumberFormat="1" applyFont="1" applyBorder="1" applyAlignment="1">
      <alignment horizontal="center" readingOrder="1"/>
    </xf>
    <xf numFmtId="0" fontId="15" fillId="0" borderId="11" xfId="0" applyFont="1" applyBorder="1" applyAlignment="1">
      <alignment horizontal="center" readingOrder="1"/>
    </xf>
    <xf numFmtId="0" fontId="12" fillId="0" borderId="9" xfId="1" applyFill="1" applyBorder="1"/>
    <xf numFmtId="0" fontId="15" fillId="9" borderId="2" xfId="0" applyFont="1" applyFill="1" applyBorder="1" applyAlignment="1">
      <alignment horizontal="center" readingOrder="1"/>
    </xf>
    <xf numFmtId="0" fontId="23" fillId="0" borderId="1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12" fillId="0" borderId="18" xfId="1" applyBorder="1"/>
    <xf numFmtId="0" fontId="12" fillId="0" borderId="2" xfId="1" applyBorder="1" applyAlignment="1">
      <alignment vertical="center"/>
    </xf>
    <xf numFmtId="0" fontId="12" fillId="0" borderId="16" xfId="1" applyFill="1" applyBorder="1"/>
    <xf numFmtId="0" fontId="12" fillId="0" borderId="4" xfId="2" applyFill="1" applyBorder="1"/>
    <xf numFmtId="0" fontId="12" fillId="0" borderId="2" xfId="2" applyFill="1" applyBorder="1"/>
    <xf numFmtId="0" fontId="12" fillId="0" borderId="13" xfId="2" applyFill="1" applyBorder="1"/>
    <xf numFmtId="0" fontId="12" fillId="0" borderId="19" xfId="2" applyFill="1" applyBorder="1"/>
    <xf numFmtId="0" fontId="12" fillId="0" borderId="4" xfId="2" applyBorder="1"/>
    <xf numFmtId="0" fontId="0" fillId="3" borderId="15" xfId="0" applyFill="1" applyBorder="1"/>
    <xf numFmtId="0" fontId="39" fillId="3" borderId="2" xfId="0" applyFont="1" applyFill="1" applyBorder="1" applyAlignment="1">
      <alignment horizontal="right"/>
    </xf>
    <xf numFmtId="0" fontId="12" fillId="0" borderId="18" xfId="2" applyFill="1" applyBorder="1"/>
    <xf numFmtId="0" fontId="12" fillId="0" borderId="2" xfId="2" applyBorder="1"/>
    <xf numFmtId="14" fontId="0" fillId="0" borderId="19" xfId="0" applyNumberForma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0" fontId="15" fillId="3" borderId="10" xfId="0" applyFont="1" applyFill="1" applyBorder="1" applyAlignment="1">
      <alignment horizontal="right"/>
    </xf>
    <xf numFmtId="0" fontId="1" fillId="12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readingOrder="1"/>
    </xf>
    <xf numFmtId="3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22" fontId="1" fillId="0" borderId="2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4" fontId="1" fillId="0" borderId="10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" xfId="0" applyFont="1" applyBorder="1" applyAlignment="1">
      <alignment horizontal="center" readingOrder="1"/>
    </xf>
    <xf numFmtId="0" fontId="1" fillId="0" borderId="11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 wrapText="1"/>
    </xf>
    <xf numFmtId="0" fontId="1" fillId="0" borderId="14" xfId="0" applyFont="1" applyBorder="1" applyAlignment="1">
      <alignment horizontal="center"/>
    </xf>
    <xf numFmtId="14" fontId="1" fillId="0" borderId="2" xfId="0" applyNumberFormat="1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14" fontId="1" fillId="0" borderId="18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14" fontId="1" fillId="0" borderId="11" xfId="0" applyNumberFormat="1" applyFont="1" applyBorder="1" applyAlignment="1">
      <alignment horizontal="center"/>
    </xf>
    <xf numFmtId="14" fontId="1" fillId="0" borderId="14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 readingOrder="1"/>
    </xf>
    <xf numFmtId="14" fontId="1" fillId="0" borderId="9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 readingOrder="1"/>
    </xf>
    <xf numFmtId="0" fontId="1" fillId="3" borderId="13" xfId="0" applyFont="1" applyFill="1" applyBorder="1" applyAlignment="1">
      <alignment horizontal="right"/>
    </xf>
    <xf numFmtId="0" fontId="1" fillId="3" borderId="4" xfId="0" applyFont="1" applyFill="1" applyBorder="1"/>
    <xf numFmtId="0" fontId="1" fillId="3" borderId="21" xfId="0" applyFont="1" applyFill="1" applyBorder="1"/>
    <xf numFmtId="0" fontId="1" fillId="3" borderId="4" xfId="0" applyFont="1" applyFill="1" applyBorder="1" applyAlignment="1">
      <alignment readingOrder="1"/>
    </xf>
    <xf numFmtId="0" fontId="1" fillId="0" borderId="4" xfId="0" applyFont="1" applyBorder="1"/>
    <xf numFmtId="0" fontId="1" fillId="3" borderId="13" xfId="0" applyFont="1" applyFill="1" applyBorder="1"/>
    <xf numFmtId="0" fontId="1" fillId="3" borderId="0" xfId="0" applyFont="1" applyFill="1"/>
    <xf numFmtId="14" fontId="1" fillId="0" borderId="4" xfId="0" applyNumberFormat="1" applyFont="1" applyBorder="1" applyAlignment="1">
      <alignment horizontal="center"/>
    </xf>
    <xf numFmtId="0" fontId="1" fillId="3" borderId="11" xfId="0" applyFont="1" applyFill="1" applyBorder="1"/>
    <xf numFmtId="14" fontId="1" fillId="0" borderId="15" xfId="0" applyNumberFormat="1" applyFont="1" applyBorder="1" applyAlignment="1">
      <alignment horizontal="center"/>
    </xf>
    <xf numFmtId="14" fontId="1" fillId="0" borderId="0" xfId="0" applyNumberFormat="1" applyFont="1"/>
    <xf numFmtId="0" fontId="1" fillId="0" borderId="9" xfId="0" applyFont="1" applyBorder="1"/>
    <xf numFmtId="14" fontId="1" fillId="0" borderId="13" xfId="0" applyNumberFormat="1" applyFont="1" applyBorder="1" applyAlignment="1">
      <alignment horizontal="center"/>
    </xf>
    <xf numFmtId="0" fontId="1" fillId="0" borderId="19" xfId="0" applyFont="1" applyBorder="1"/>
    <xf numFmtId="0" fontId="1" fillId="0" borderId="18" xfId="0" applyFont="1" applyBorder="1"/>
    <xf numFmtId="0" fontId="1" fillId="3" borderId="2" xfId="0" applyFont="1" applyFill="1" applyBorder="1"/>
    <xf numFmtId="0" fontId="1" fillId="11" borderId="1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16" fontId="1" fillId="0" borderId="10" xfId="0" applyNumberFormat="1" applyFont="1" applyBorder="1" applyAlignment="1">
      <alignment horizontal="center"/>
    </xf>
    <xf numFmtId="16" fontId="1" fillId="0" borderId="2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 wrapText="1"/>
    </xf>
    <xf numFmtId="3" fontId="1" fillId="0" borderId="22" xfId="0" applyNumberFormat="1" applyFont="1" applyBorder="1" applyAlignment="1">
      <alignment horizontal="center" wrapText="1"/>
    </xf>
    <xf numFmtId="3" fontId="1" fillId="0" borderId="11" xfId="0" applyNumberFormat="1" applyFont="1" applyBorder="1" applyAlignment="1">
      <alignment horizontal="center" wrapText="1"/>
    </xf>
    <xf numFmtId="3" fontId="1" fillId="0" borderId="18" xfId="0" applyNumberFormat="1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3" fontId="1" fillId="0" borderId="10" xfId="0" applyNumberFormat="1" applyFont="1" applyBorder="1" applyAlignment="1">
      <alignment horizontal="center" wrapText="1"/>
    </xf>
    <xf numFmtId="3" fontId="1" fillId="0" borderId="14" xfId="0" applyNumberFormat="1" applyFont="1" applyBorder="1" applyAlignment="1">
      <alignment horizontal="center" wrapText="1"/>
    </xf>
    <xf numFmtId="22" fontId="1" fillId="0" borderId="2" xfId="0" applyNumberFormat="1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14" fontId="1" fillId="0" borderId="2" xfId="0" applyNumberFormat="1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14" fontId="1" fillId="0" borderId="10" xfId="0" applyNumberFormat="1" applyFont="1" applyBorder="1" applyAlignment="1">
      <alignment horizontal="center" wrapText="1"/>
    </xf>
    <xf numFmtId="22" fontId="1" fillId="0" borderId="18" xfId="0" applyNumberFormat="1" applyFont="1" applyBorder="1" applyAlignment="1">
      <alignment horizontal="center" wrapText="1"/>
    </xf>
    <xf numFmtId="22" fontId="1" fillId="0" borderId="11" xfId="0" applyNumberFormat="1" applyFont="1" applyBorder="1" applyAlignment="1">
      <alignment horizontal="center" wrapText="1"/>
    </xf>
    <xf numFmtId="14" fontId="1" fillId="0" borderId="18" xfId="0" applyNumberFormat="1" applyFont="1" applyBorder="1" applyAlignment="1">
      <alignment horizontal="center" wrapText="1"/>
    </xf>
    <xf numFmtId="14" fontId="1" fillId="0" borderId="11" xfId="0" applyNumberFormat="1" applyFont="1" applyBorder="1" applyAlignment="1">
      <alignment horizontal="center" wrapText="1"/>
    </xf>
    <xf numFmtId="14" fontId="1" fillId="0" borderId="15" xfId="0" applyNumberFormat="1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1" fillId="0" borderId="12" xfId="0" applyFont="1" applyBorder="1" applyAlignment="1">
      <alignment horizontal="center" wrapText="1"/>
    </xf>
    <xf numFmtId="22" fontId="1" fillId="0" borderId="15" xfId="0" applyNumberFormat="1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22" fontId="1" fillId="0" borderId="10" xfId="0" applyNumberFormat="1" applyFont="1" applyBorder="1" applyAlignment="1">
      <alignment horizontal="center" wrapText="1"/>
    </xf>
    <xf numFmtId="0" fontId="1" fillId="0" borderId="10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2" xfId="0" applyFont="1" applyBorder="1" applyAlignment="1">
      <alignment horizontal="left" wrapText="1"/>
    </xf>
    <xf numFmtId="0" fontId="1" fillId="9" borderId="2" xfId="0" applyFont="1" applyFill="1" applyBorder="1" applyAlignment="1">
      <alignment horizontal="center" wrapText="1" readingOrder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11" borderId="2" xfId="0" applyFont="1" applyFill="1" applyBorder="1" applyAlignment="1">
      <alignment horizontal="center" vertical="center" wrapText="1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45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colors>
    <mruColors>
      <color rgb="FFC29204"/>
      <color rgb="FFFADE8C"/>
      <color rgb="FFFAE2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agenciadeaduanapirazzoli-my.sharepoint.com/:b:/g/personal/mmorales_pirazzoli_cl/IQBwdhNV3dNqR5aKNLU_XB1LAaKubMBQagG0aFVqeXiNihU?e=QMaT5m" TargetMode="External"/><Relationship Id="rId170" Type="http://schemas.openxmlformats.org/officeDocument/2006/relationships/hyperlink" Target="https://agenciadeaduanapirazzoli-my.sharepoint.com/:b:/g/personal/mmorales_pirazzoli_cl/IQA2Zeq2vgwRTLvgVd-2jxsUAU6gOGcw7f5t5cX31IN3DpE?e=JJehnU" TargetMode="External"/><Relationship Id="rId268" Type="http://schemas.openxmlformats.org/officeDocument/2006/relationships/hyperlink" Target="https://agenciadeaduanapirazzoli-my.sharepoint.com/:b:/g/personal/mmorales_pirazzoli_cl/IQBAwCJ4GiPXQIuc7EJTlJWPAVushZWkCDKvhUgHlFj-OKU?e=h1Zkw0" TargetMode="External"/><Relationship Id="rId475" Type="http://schemas.openxmlformats.org/officeDocument/2006/relationships/hyperlink" Target="https://agenciadeaduanapirazzoli-my.sharepoint.com/:b:/g/personal/mmorales_pirazzoli_cl/IQAKCfRnWwi3Sbgudi5kwuEnAQQyPTWnWPgZlQecb5jfblM?e=Hx6OM0" TargetMode="External"/><Relationship Id="rId682" Type="http://schemas.openxmlformats.org/officeDocument/2006/relationships/hyperlink" Target="https://agenciadeaduanapirazzoli-my.sharepoint.com/:b:/g/personal/mmorales_pirazzoli_cl/IQC2AEAs0KjRT6LlQVlfofAzASHF3bbUd0KdXd-FPsy3X_g?e=Z88CJ4" TargetMode="External"/><Relationship Id="rId128" Type="http://schemas.openxmlformats.org/officeDocument/2006/relationships/hyperlink" Target="https://agenciadeaduanapirazzoli-my.sharepoint.com/:b:/g/personal/mmorales_pirazzoli_cl/IQBCOISetcqhQ6P6YESmVaRnAVfzw0-JjXcD395CR1Vb35A?e=IP288e" TargetMode="External"/><Relationship Id="rId335" Type="http://schemas.openxmlformats.org/officeDocument/2006/relationships/hyperlink" Target="https://agenciadeaduanapirazzoli-my.sharepoint.com/:b:/g/personal/mmorales_pirazzoli_cl/IQAKHNbSWoOvSIVKZijoKLyPAQZumgU2EIp6vGZi_mRcQiI?e=l13ftT" TargetMode="External"/><Relationship Id="rId542" Type="http://schemas.openxmlformats.org/officeDocument/2006/relationships/hyperlink" Target="https://agenciadeaduanapirazzoli-my.sharepoint.com/:b:/g/personal/mmorales_pirazzoli_cl/IQDb21PAob2eRrGVmm85GuRxASfE0g8EqeAyc8-Br9ZWxKU?e=ISf0te" TargetMode="External"/><Relationship Id="rId987" Type="http://schemas.openxmlformats.org/officeDocument/2006/relationships/hyperlink" Target="https://agenciadeaduanapirazzoli-my.sharepoint.com/:b:/g/personal/mmorales_pirazzoli_cl/IQAefrld5b2mSpzr_hA-Ny8WATKFuXMS5yR7J3wX3dQevDk?e=kmj12s" TargetMode="External"/><Relationship Id="rId1172" Type="http://schemas.openxmlformats.org/officeDocument/2006/relationships/hyperlink" Target="https://agenciadeaduanapirazzoli-my.sharepoint.com/:b:/g/personal/mmorales_pirazzoli_cl/IQDXKxdj8yWAT6g_CKsaFmqAAb4MSY9PLIWh37E2mdd_UBw?e=BFgZsY" TargetMode="External"/><Relationship Id="rId402" Type="http://schemas.openxmlformats.org/officeDocument/2006/relationships/hyperlink" Target="https://agenciadeaduanapirazzoli-my.sharepoint.com/:b:/g/personal/mmorales_pirazzoli_cl/IQCH9DZ6i66fT6CT6FIJCj_TAZKn8P5usUFbPyqD87-NaaM?e=O4lhUC" TargetMode="External"/><Relationship Id="rId847" Type="http://schemas.openxmlformats.org/officeDocument/2006/relationships/hyperlink" Target="https://agenciadeaduanapirazzoli-my.sharepoint.com/:b:/g/personal/mmorales_pirazzoli_cl/IQBiY9sR0RIgR6AoAijv8kcDAZP0BZBuKPQBJcVN9AlvyFQ?e=D8MdZq" TargetMode="External"/><Relationship Id="rId1032" Type="http://schemas.openxmlformats.org/officeDocument/2006/relationships/hyperlink" Target="https://agenciadeaduanapirazzoli-my.sharepoint.com/:b:/g/personal/mmorales_pirazzoli_cl/IQCwyg1hO_x8SLlh7pRIqHRtAdl2_H5_eZpcZN4cDR-IlCA?e=AcHeCv" TargetMode="External"/><Relationship Id="rId707" Type="http://schemas.openxmlformats.org/officeDocument/2006/relationships/hyperlink" Target="https://agenciadeaduanapirazzoli-my.sharepoint.com/:b:/g/personal/mmorales_pirazzoli_cl/IQCEEc7QY_oqTqQHCGs1xfKhAeZToMqmX4ClDOWL88XLHds?e=WdhNvV" TargetMode="External"/><Relationship Id="rId914" Type="http://schemas.openxmlformats.org/officeDocument/2006/relationships/hyperlink" Target="https://agenciadeaduanapirazzoli-my.sharepoint.com/:b:/g/personal/mmorales_pirazzoli_cl/IQBNqma0uIHgQpzXSTpRvsq_AdTyuUsnzUlxIuL-w594wY8?e=PpQ1v1" TargetMode="External"/><Relationship Id="rId43" Type="http://schemas.openxmlformats.org/officeDocument/2006/relationships/hyperlink" Target="https://agenciadeaduanapirazzoli-my.sharepoint.com/:b:/g/personal/mmorales_pirazzoli_cl/IQC4ha_8uusQQbrieIGcZTZzAbsgok8_SGYz9lzyDrAyOK8?e=g42nzt" TargetMode="External"/><Relationship Id="rId192" Type="http://schemas.openxmlformats.org/officeDocument/2006/relationships/hyperlink" Target="https://agenciadeaduanapirazzoli-my.sharepoint.com/:b:/g/personal/mmorales_pirazzoli_cl/IQBIAuSO5I7MRKiVFg9W9kffAazIbf4zozIWw3Viupef7aI?e=VQ3SR7" TargetMode="External"/><Relationship Id="rId497" Type="http://schemas.openxmlformats.org/officeDocument/2006/relationships/hyperlink" Target="https://agenciadeaduanapirazzoli-my.sharepoint.com/:b:/g/personal/mmorales_pirazzoli_cl/IQCuX6GCAm5IQ5XmslKMMNVxAe7oo4avCKkI0qYBRwSOtcM?e=uC0Sld" TargetMode="External"/><Relationship Id="rId357" Type="http://schemas.openxmlformats.org/officeDocument/2006/relationships/hyperlink" Target="https://agenciadeaduanapirazzoli-my.sharepoint.com/:b:/g/personal/mmorales_pirazzoli_cl/IQC4opZtRUFFQ7M60CASNWt2Acox5Qf2zVRR_Hnu7DOhwEY?e=ViIe8M" TargetMode="External"/><Relationship Id="rId1194" Type="http://schemas.openxmlformats.org/officeDocument/2006/relationships/hyperlink" Target="https://agenciadeaduanapirazzoli-my.sharepoint.com/:b:/g/personal/mmorales_pirazzoli_cl/IQCaB8R2rygjTZT7bGYqGhtRAQsdd6g3OgT5TW0ZYRusHXE?e=B7eAIL" TargetMode="External"/><Relationship Id="rId217" Type="http://schemas.openxmlformats.org/officeDocument/2006/relationships/hyperlink" Target="https://agenciadeaduanapirazzoli-my.sharepoint.com/:b:/g/personal/mmorales_pirazzoli_cl/IQBZVYYJQCxqQKN7XGA01UboAYU5f5io9U8sgjUTSD39vjw?e=dvBVID" TargetMode="External"/><Relationship Id="rId564" Type="http://schemas.openxmlformats.org/officeDocument/2006/relationships/hyperlink" Target="https://agenciadeaduanapirazzoli-my.sharepoint.com/:b:/g/personal/mmorales_pirazzoli_cl/IQAa0MuIh7WNQIRwS_i553EVAfKs729pNvybzbfZE6cSIoo?e=5RuQAf" TargetMode="External"/><Relationship Id="rId771" Type="http://schemas.openxmlformats.org/officeDocument/2006/relationships/hyperlink" Target="https://agenciadeaduanapirazzoli-my.sharepoint.com/:b:/g/personal/mmorales_pirazzoli_cl/IQCuFWuirHHFS6iWo8-EAUdgAfDwMOrI9NQWhz1x9ThXdIE?e=k1mk0i" TargetMode="External"/><Relationship Id="rId869" Type="http://schemas.openxmlformats.org/officeDocument/2006/relationships/hyperlink" Target="https://agenciadeaduanapirazzoli-my.sharepoint.com/:b:/g/personal/mmorales_pirazzoli_cl/IQCFO8sW8BCyRpbETr1hCFbnAcSUgul1iIv8IBmDeYUKJyE?e=pyRs6T" TargetMode="External"/><Relationship Id="rId424" Type="http://schemas.openxmlformats.org/officeDocument/2006/relationships/hyperlink" Target="https://agenciadeaduanapirazzoli-my.sharepoint.com/:b:/g/personal/mmorales_pirazzoli_cl/IQCJ_tXy1MnsRJRLkUxIOGibAatXJ3uF42hNU4oRTzIODrA?e=S1P2Hc" TargetMode="External"/><Relationship Id="rId631" Type="http://schemas.openxmlformats.org/officeDocument/2006/relationships/hyperlink" Target="https://agenciadeaduanapirazzoli-my.sharepoint.com/:b:/g/personal/mmorales_pirazzoli_cl/IQBvovQ-m10VTJIb0GtUznD0AdxbIjKGwjd29P0N0-bS6bQ?e=zc35of" TargetMode="External"/><Relationship Id="rId729" Type="http://schemas.openxmlformats.org/officeDocument/2006/relationships/hyperlink" Target="https://agenciadeaduanapirazzoli-my.sharepoint.com/:b:/g/personal/mmorales_pirazzoli_cl/IQBbtKIs7Qd0RZVKGPl47iSOASaH-abyuoi2RRMmXCgXDAk?e=H6yYrE" TargetMode="External"/><Relationship Id="rId1054" Type="http://schemas.openxmlformats.org/officeDocument/2006/relationships/hyperlink" Target="https://agenciadeaduanapirazzoli-my.sharepoint.com/:b:/g/personal/mmorales_pirazzoli_cl/IQANKq6P7aeKQaP-k4A8ZvesAZzs6TYEplS_5d8v_gIfD0g?e=6LlHu8" TargetMode="External"/><Relationship Id="rId1261" Type="http://schemas.openxmlformats.org/officeDocument/2006/relationships/hyperlink" Target="https://agenciadeaduanapirazzoli-my.sharepoint.com/:b:/g/personal/mmorales_pirazzoli_cl/IQA7QbNDMvyZT4M2i5GHLj2zAcFr1yym-xo4Wzyp-iFbrik?e=hrmDTe" TargetMode="External"/><Relationship Id="rId936" Type="http://schemas.openxmlformats.org/officeDocument/2006/relationships/hyperlink" Target="https://agenciadeaduanapirazzoli-my.sharepoint.com/:b:/g/personal/mmorales_pirazzoli_cl/IQAstsbNY3EcTaEPvPndy5ulAT9ITpXmxx77WUcFI1Pbs3s?e=kfkzKR" TargetMode="External"/><Relationship Id="rId1121" Type="http://schemas.openxmlformats.org/officeDocument/2006/relationships/hyperlink" Target="https://agenciadeaduanapirazzoli-my.sharepoint.com/:b:/g/personal/mmorales_pirazzoli_cl/IQAr0bdZufFlTo2HiYaW6Ws8AfTKIWrEG_Mn5k-8ROf0hnI?e=9QbfBK" TargetMode="External"/><Relationship Id="rId1219" Type="http://schemas.openxmlformats.org/officeDocument/2006/relationships/hyperlink" Target="https://agenciadeaduanapirazzoli-my.sharepoint.com/:b:/g/personal/mmorales_pirazzoli_cl/IQCtH7Sv6uVSToBh50lfk7fUAd4pxttoWF1DzsBMwhi1AFA?e=zGF3PV" TargetMode="External"/><Relationship Id="rId65" Type="http://schemas.openxmlformats.org/officeDocument/2006/relationships/hyperlink" Target="https://agenciadeaduanapirazzoli-my.sharepoint.com/:b:/g/personal/mmorales_pirazzoli_cl/IQDEEFYQngW-RaYXjl5rvJWsAdnVIa5ryPRDEDjc-uBT3OU?e=ddbTlW" TargetMode="External"/><Relationship Id="rId281" Type="http://schemas.openxmlformats.org/officeDocument/2006/relationships/hyperlink" Target="https://agenciadeaduanapirazzoli-my.sharepoint.com/:b:/g/personal/mmorales_pirazzoli_cl/IQBGFn3cUuvARqiZopniSH7kASLY_Mh88ZRRMvbMBDHwy1M?e=z6QPLr" TargetMode="External"/><Relationship Id="rId141" Type="http://schemas.openxmlformats.org/officeDocument/2006/relationships/hyperlink" Target="https://agenciadeaduanapirazzoli-my.sharepoint.com/:b:/g/personal/mmorales_pirazzoli_cl/IQBMi-UteyO5T4pSTo8QXPbLAa7HSYoPaY_1MIHP4TJn4Rs?e=chlP3l" TargetMode="External"/><Relationship Id="rId379" Type="http://schemas.openxmlformats.org/officeDocument/2006/relationships/hyperlink" Target="https://agenciadeaduanapirazzoli-my.sharepoint.com/:b:/g/personal/mmorales_pirazzoli_cl/IQB5tjXkp4yeRI67tM1IqgbpATDyFxqHkHJUBTaWrfJHzcE?e=Wu1Vlp" TargetMode="External"/><Relationship Id="rId586" Type="http://schemas.openxmlformats.org/officeDocument/2006/relationships/hyperlink" Target="https://agenciadeaduanapirazzoli-my.sharepoint.com/:b:/g/personal/mmorales_pirazzoli_cl/IQAH_oc2gJHWSIKDFDiNV86fAQ-2JPdm6wUlsfHXTNe6QAQ?e=iL5KHT" TargetMode="External"/><Relationship Id="rId793" Type="http://schemas.openxmlformats.org/officeDocument/2006/relationships/hyperlink" Target="https://agenciadeaduanapirazzoli-my.sharepoint.com/:b:/g/personal/mmorales_pirazzoli_cl/IQDITEWefrqqSb9RlK-UL_T5AaIURJbNm4ztWi43yumxr2M?e=098lZM" TargetMode="External"/><Relationship Id="rId7" Type="http://schemas.openxmlformats.org/officeDocument/2006/relationships/hyperlink" Target="https://agenciadeaduanapirazzoli-my.sharepoint.com/:b:/g/personal/mmorales_pirazzoli_cl/IQBWrAek8hcaSbdmmejgTyFUAYho6DZHdsVFybFhwhxQKUI?e=q1BeqF" TargetMode="External"/><Relationship Id="rId239" Type="http://schemas.openxmlformats.org/officeDocument/2006/relationships/hyperlink" Target="https://agenciadeaduanapirazzoli-my.sharepoint.com/:b:/g/personal/mmorales_pirazzoli_cl/IQDXms5mzOxrTK7O80hsrqeaAcDzLAV1qn44DaZSnnMdT5U?e=TVVjuW" TargetMode="External"/><Relationship Id="rId446" Type="http://schemas.openxmlformats.org/officeDocument/2006/relationships/hyperlink" Target="https://agenciadeaduanapirazzoli-my.sharepoint.com/:b:/g/personal/mmorales_pirazzoli_cl/IQBMMMniPzTdT4uHUqfxURSYAcd2pz22LKM8sKeOXI2pTes?e=IgBwdl" TargetMode="External"/><Relationship Id="rId653" Type="http://schemas.openxmlformats.org/officeDocument/2006/relationships/hyperlink" Target="https://agenciadeaduanapirazzoli-my.sharepoint.com/:b:/g/personal/mmorales_pirazzoli_cl/IQDsA0Wb16DARasZCSXZFtlqAXUjU_BUIVFD85QbNGJrAro?e=zHq9qy" TargetMode="External"/><Relationship Id="rId1076" Type="http://schemas.openxmlformats.org/officeDocument/2006/relationships/hyperlink" Target="https://agenciadeaduanapirazzoli-my.sharepoint.com/:b:/g/personal/mmorales_pirazzoli_cl/IQBX0VHxgfaUTp7H0ZXAMOvNASH45JwR1opc7lg0jYxLn1w?e=i9w8eJ" TargetMode="External"/><Relationship Id="rId1283" Type="http://schemas.openxmlformats.org/officeDocument/2006/relationships/hyperlink" Target="https://agenciadeaduanapirazzoli-my.sharepoint.com/:b:/g/personal/mmorales_pirazzoli_cl/IQAOsw-gH155RJwdldEqDyStAY2fZXuh_RQk3syASlKxkwE?e=PCUyix" TargetMode="External"/><Relationship Id="rId306" Type="http://schemas.openxmlformats.org/officeDocument/2006/relationships/hyperlink" Target="https://agenciadeaduanapirazzoli-my.sharepoint.com/:b:/g/personal/mmorales_pirazzoli_cl/IQBumbl6U7BNRZI6gj6SY1S4AXNFRe1LcnIKw4MP5ujpL-8?e=QvTJHo" TargetMode="External"/><Relationship Id="rId860" Type="http://schemas.openxmlformats.org/officeDocument/2006/relationships/hyperlink" Target="https://agenciadeaduanapirazzoli-my.sharepoint.com/:b:/g/personal/mmorales_pirazzoli_cl/IQDG0aCMOvKtQLVOf0rgDRXSAZUSzehEKRGMc4f8wxGoqXg?e=HTg9tt" TargetMode="External"/><Relationship Id="rId958" Type="http://schemas.openxmlformats.org/officeDocument/2006/relationships/hyperlink" Target="https://agenciadeaduanapirazzoli-my.sharepoint.com/:b:/g/personal/mmorales_pirazzoli_cl/IQDvkH3KIlojTpjayYfTmSimAULqTMDrAZAr-sSvSc4a9w8?e=OwvuZ1" TargetMode="External"/><Relationship Id="rId1143" Type="http://schemas.openxmlformats.org/officeDocument/2006/relationships/hyperlink" Target="https://agenciadeaduanapirazzoli-my.sharepoint.com/:b:/g/personal/mmorales_pirazzoli_cl/IQCmjnHu_8QdRYKGiDB84zElAW-bWpcSvlAVa7u9j4USTvw?e=P2NNGI" TargetMode="External"/><Relationship Id="rId87" Type="http://schemas.openxmlformats.org/officeDocument/2006/relationships/hyperlink" Target="https://agenciadeaduanapirazzoli-my.sharepoint.com/:b:/g/personal/mmorales_pirazzoli_cl/IQDv3UYgaLFDSJfsuM5f6A3xATtethd6EYww25bsTf3d1eA?e=B5E0F8" TargetMode="External"/><Relationship Id="rId513" Type="http://schemas.openxmlformats.org/officeDocument/2006/relationships/hyperlink" Target="https://agenciadeaduanapirazzoli-my.sharepoint.com/:b:/g/personal/mmorales_pirazzoli_cl/IQCcp5Ml1eD-TKh3KAWvyTriAQ0Sri7jJq9fNj7tX9RClqY?e=FP3UNA" TargetMode="External"/><Relationship Id="rId720" Type="http://schemas.openxmlformats.org/officeDocument/2006/relationships/hyperlink" Target="https://agenciadeaduanapirazzoli-my.sharepoint.com/:b:/g/personal/mmorales_pirazzoli_cl/IQCg04cTaexFQKwG3or7cY-kATK-OQXSJO4lrFBxxVwnZMw?e=Wnurhn" TargetMode="External"/><Relationship Id="rId818" Type="http://schemas.openxmlformats.org/officeDocument/2006/relationships/hyperlink" Target="https://agenciadeaduanapirazzoli-my.sharepoint.com/:b:/g/personal/mmorales_pirazzoli_cl/IQBydwDI1N1QQKYSzEBVM7moAcrsMeluORnzQ1tZYg7gJO4?e=Ub1uVp" TargetMode="External"/><Relationship Id="rId1003" Type="http://schemas.openxmlformats.org/officeDocument/2006/relationships/hyperlink" Target="https://agenciadeaduanapirazzoli-my.sharepoint.com/:b:/g/personal/mmorales_pirazzoli_cl/IQChD2gesPRxRpByMRHw8OG4AXcbf1zommiXmX2cq1rItt0?e=4YkIGV" TargetMode="External"/><Relationship Id="rId1210" Type="http://schemas.openxmlformats.org/officeDocument/2006/relationships/hyperlink" Target="https://agenciadeaduanapirazzoli-my.sharepoint.com/:b:/g/personal/mmorales_pirazzoli_cl/IQCHA0wmIgL_TKKKDuJn7k90AQVSIXXvdpdgMSkZC7Ku_m4?e=bSwa19" TargetMode="External"/><Relationship Id="rId14" Type="http://schemas.openxmlformats.org/officeDocument/2006/relationships/hyperlink" Target="https://agenciadeaduanapirazzoli-my.sharepoint.com/:b:/g/personal/mmorales_pirazzoli_cl/IQAfHnusUBNaTZ_cCwOJVOwUAeHWmQOp9BrQLSBKDuyOFBE?e=VMxDt9" TargetMode="External"/><Relationship Id="rId163" Type="http://schemas.openxmlformats.org/officeDocument/2006/relationships/hyperlink" Target="https://agenciadeaduanapirazzoli-my.sharepoint.com/:b:/g/personal/mmorales_pirazzoli_cl/IQCtENpUwpIrRLIrMWquCL3WAZyZ-AGwhbf2hr0q1HoXq-0?e=wfCq3A" TargetMode="External"/><Relationship Id="rId370" Type="http://schemas.openxmlformats.org/officeDocument/2006/relationships/hyperlink" Target="https://agenciadeaduanapirazzoli-my.sharepoint.com/:b:/g/personal/mmorales_pirazzoli_cl/IQDS8LYbaPRxRaPLpETPW0IZAdhqqxpMtL2GZ-VtmCjz-3U?e=rBgbOi" TargetMode="External"/><Relationship Id="rId230" Type="http://schemas.openxmlformats.org/officeDocument/2006/relationships/hyperlink" Target="https://agenciadeaduanapirazzoli-my.sharepoint.com/:b:/g/personal/mmorales_pirazzoli_cl/IQD1fszmzHLbT4up3dd4hYDoAaDHY3-ud26D5om5is0YYG0?e=1W5FSK" TargetMode="External"/><Relationship Id="rId468" Type="http://schemas.openxmlformats.org/officeDocument/2006/relationships/hyperlink" Target="https://agenciadeaduanapirazzoli-my.sharepoint.com/:b:/g/personal/mmorales_pirazzoli_cl/IQBBtPfTmXeTR58wUIZSnUMLAac92q2HKNe6KsnOZLgevGQ?e=x8qIyC" TargetMode="External"/><Relationship Id="rId675" Type="http://schemas.openxmlformats.org/officeDocument/2006/relationships/hyperlink" Target="https://agenciadeaduanapirazzoli-my.sharepoint.com/:b:/g/personal/mmorales_pirazzoli_cl/IQCUzceMotmKR5AzBziibBytAd9vtfgUtnmGTRubMsiJGhc?e=v2tJpd" TargetMode="External"/><Relationship Id="rId882" Type="http://schemas.openxmlformats.org/officeDocument/2006/relationships/hyperlink" Target="https://agenciadeaduanapirazzoli-my.sharepoint.com/:b:/g/personal/mmorales_pirazzoli_cl/IQDBITcHzyQXSqi_yVJkILhEAX5V6aJRCSNE7n5omm9bdf8?e=TP37AI" TargetMode="External"/><Relationship Id="rId1098" Type="http://schemas.openxmlformats.org/officeDocument/2006/relationships/hyperlink" Target="https://agenciadeaduanapirazzoli-my.sharepoint.com/:b:/g/personal/mmorales_pirazzoli_cl/IQCsS0zUYfWtTpJdY6hEASI6ATJ3w1QnvnENA8SkxjM1Woc?e=C9HTRD" TargetMode="External"/><Relationship Id="rId328" Type="http://schemas.openxmlformats.org/officeDocument/2006/relationships/hyperlink" Target="https://agenciadeaduanapirazzoli-my.sharepoint.com/:b:/g/personal/mmorales_pirazzoli_cl/IQCF5VqnbBdbTIV3kGRyQ5XtARmdbv-pxNYdzDA-Tz87EKQ?e=CJovwA" TargetMode="External"/><Relationship Id="rId535" Type="http://schemas.openxmlformats.org/officeDocument/2006/relationships/hyperlink" Target="https://agenciadeaduanapirazzoli-my.sharepoint.com/:b:/g/personal/mmorales_pirazzoli_cl/IQBeGwSk0oEGSak_fC4WlFiYAfnR7o5YLLOe6DmWH-euMp8?e=Atzr5V" TargetMode="External"/><Relationship Id="rId742" Type="http://schemas.openxmlformats.org/officeDocument/2006/relationships/hyperlink" Target="https://agenciadeaduanapirazzoli-my.sharepoint.com/:b:/g/personal/mmorales_pirazzoli_cl/IQA5IF9JUyylTZZSRJwR9bEoAdtQX2Mx0UL4CE8FBDacKHI?e=EZ5c3d" TargetMode="External"/><Relationship Id="rId1165" Type="http://schemas.openxmlformats.org/officeDocument/2006/relationships/hyperlink" Target="https://agenciadeaduanapirazzoli-my.sharepoint.com/:b:/g/personal/mmorales_pirazzoli_cl/IQD29ZW6BuMsRa6LIignw9ChAZ7iicav-QsSUvKzBW0I3kg?e=y9YXK9" TargetMode="External"/><Relationship Id="rId602" Type="http://schemas.openxmlformats.org/officeDocument/2006/relationships/hyperlink" Target="https://agenciadeaduanapirazzoli-my.sharepoint.com/:b:/g/personal/mmorales_pirazzoli_cl/IQDG725Iy6OuRItpJnnwZOZGAcj_DMDDdrJ_uJ0McbLLOV0?e=nqsl46" TargetMode="External"/><Relationship Id="rId1025" Type="http://schemas.openxmlformats.org/officeDocument/2006/relationships/hyperlink" Target="https://agenciadeaduanapirazzoli-my.sharepoint.com/:b:/g/personal/mmorales_pirazzoli_cl/IQAcASZAdPMRRYXM7l9q5z5FAWo8zfn-2kNTG6EOPFFTcmY?e=KzJPA3" TargetMode="External"/><Relationship Id="rId1232" Type="http://schemas.openxmlformats.org/officeDocument/2006/relationships/hyperlink" Target="https://agenciadeaduanapirazzoli-my.sharepoint.com/:b:/g/personal/mmorales_pirazzoli_cl/IQBE1voy_1gyQKAuFMip2OYLAQ97L482vKbSYN3KR8QlNWc?e=c33HIK" TargetMode="External"/><Relationship Id="rId907" Type="http://schemas.openxmlformats.org/officeDocument/2006/relationships/hyperlink" Target="https://agenciadeaduanapirazzoli-my.sharepoint.com/:b:/g/personal/mmorales_pirazzoli_cl/IQAQ7ncPlNU6R6fs1GCj-dVYAUyqiCtLHix1xzR5bUWRUik?e=vN653w" TargetMode="External"/><Relationship Id="rId36" Type="http://schemas.openxmlformats.org/officeDocument/2006/relationships/hyperlink" Target="https://agenciadeaduanapirazzoli-my.sharepoint.com/:b:/g/personal/mmorales_pirazzoli_cl/IQCYsZY5t4nbQpTK4y8ycj34AQghVR2o_LdKbaFA0v0kS7s?e=JeHF81" TargetMode="External"/><Relationship Id="rId185" Type="http://schemas.openxmlformats.org/officeDocument/2006/relationships/hyperlink" Target="https://agenciadeaduanapirazzoli-my.sharepoint.com/:b:/g/personal/mmorales_pirazzoli_cl/IQCwO-x7GqR7SqAzHSzo5XlDAUawmYevjBN21H_M8hLCNuA?e=TrjQJe" TargetMode="External"/><Relationship Id="rId392" Type="http://schemas.openxmlformats.org/officeDocument/2006/relationships/hyperlink" Target="https://agenciadeaduanapirazzoli-my.sharepoint.com/:b:/g/personal/mmorales_pirazzoli_cl/IQBHvgZERUjmRb2ttmfJEH-SARBW3PjPkZ0-E67Fz3XbNhg?e=bX3H4C" TargetMode="External"/><Relationship Id="rId697" Type="http://schemas.openxmlformats.org/officeDocument/2006/relationships/hyperlink" Target="https://agenciadeaduanapirazzoli-my.sharepoint.com/:b:/g/personal/mmorales_pirazzoli_cl/IQDQZkcFrQv8RqaFse0feqexAcUafvzmAp7vnZhxY0FQQO4?e=r4HJBj" TargetMode="External"/><Relationship Id="rId252" Type="http://schemas.openxmlformats.org/officeDocument/2006/relationships/hyperlink" Target="https://agenciadeaduanapirazzoli-my.sharepoint.com/:b:/g/personal/mmorales_pirazzoli_cl/IQCLl6QYzJ29S6Yf_QYWs-QpAScW8cIlJcaukai4MBqCO1A?e=ppZgfI" TargetMode="External"/><Relationship Id="rId1187" Type="http://schemas.openxmlformats.org/officeDocument/2006/relationships/hyperlink" Target="https://agenciadeaduanapirazzoli-my.sharepoint.com/:b:/g/personal/mmorales_pirazzoli_cl/IQCSmjWslLw-T50tbrgDYRsVAfc_30U6XfZkoGzkEfXDzY8?e=cLlenY" TargetMode="External"/><Relationship Id="rId112" Type="http://schemas.openxmlformats.org/officeDocument/2006/relationships/hyperlink" Target="https://agenciadeaduanapirazzoli-my.sharepoint.com/:b:/g/personal/mmorales_pirazzoli_cl/IQAKYYA1DhsbSbz1EfnoXO_SAQBooDtCCCUs0mk5jDRjmjY?e=S9fu0i" TargetMode="External"/><Relationship Id="rId557" Type="http://schemas.openxmlformats.org/officeDocument/2006/relationships/hyperlink" Target="https://agenciadeaduanapirazzoli-my.sharepoint.com/:b:/g/personal/mmorales_pirazzoli_cl/IQBLOJQXv6HJTK1vI8O30spuAcN2LedpAdMFxjRo2qVn6ZA?e=eB4Uym" TargetMode="External"/><Relationship Id="rId764" Type="http://schemas.openxmlformats.org/officeDocument/2006/relationships/hyperlink" Target="https://agenciadeaduanapirazzoli-my.sharepoint.com/:b:/g/personal/mmorales_pirazzoli_cl/IQB3u8t98dTlSqBOFx-x7rIJASDri20xA9TFrQcMIId0GCo?e=XaxqkK" TargetMode="External"/><Relationship Id="rId971" Type="http://schemas.openxmlformats.org/officeDocument/2006/relationships/hyperlink" Target="https://agenciadeaduanapirazzoli-my.sharepoint.com/:b:/g/personal/mmorales_pirazzoli_cl/IQAF761TAWu3SrIyXqtOX2_CAZmATUEEo2V6OOodYiwhX1w?e=I8Ry5E" TargetMode="External"/><Relationship Id="rId417" Type="http://schemas.openxmlformats.org/officeDocument/2006/relationships/hyperlink" Target="https://agenciadeaduanapirazzoli-my.sharepoint.com/:b:/g/personal/mmorales_pirazzoli_cl/IQDx7TXoxuGfR7SUsaU7R1quAczQo8kteSHDRBm27h-pyVE?e=87x7g2" TargetMode="External"/><Relationship Id="rId624" Type="http://schemas.openxmlformats.org/officeDocument/2006/relationships/hyperlink" Target="https://agenciadeaduanapirazzoli-my.sharepoint.com/:b:/g/personal/mmorales_pirazzoli_cl/IQBEKHnrG_2fQac2M_iLKpkWAXzVURSGqG9B20j1Iqnf3f0?e=Bp06uS" TargetMode="External"/><Relationship Id="rId831" Type="http://schemas.openxmlformats.org/officeDocument/2006/relationships/hyperlink" Target="https://agenciadeaduanapirazzoli-my.sharepoint.com/:b:/g/personal/mmorales_pirazzoli_cl/IQDFOkHwIQduQqZneTzz8OpvAXii_2kTEzjTJJqK2QRfyR8?e=ggtdpg" TargetMode="External"/><Relationship Id="rId1047" Type="http://schemas.openxmlformats.org/officeDocument/2006/relationships/hyperlink" Target="https://agenciadeaduanapirazzoli-my.sharepoint.com/:b:/g/personal/mmorales_pirazzoli_cl/IQAC_sukHpldS7TxwymEvA8TAZOzXiKrW2pdrt347dgZmG0?e=U0y3B2" TargetMode="External"/><Relationship Id="rId1254" Type="http://schemas.openxmlformats.org/officeDocument/2006/relationships/hyperlink" Target="https://agenciadeaduanapirazzoli-my.sharepoint.com/:b:/g/personal/mmorales_pirazzoli_cl/IQAI4c6-saiFQY3NB8Ur_Ne_AWXO4qZOlIJeDWmJBUHsCBw?e=aXftnu" TargetMode="External"/><Relationship Id="rId929" Type="http://schemas.openxmlformats.org/officeDocument/2006/relationships/hyperlink" Target="https://agenciadeaduanapirazzoli-my.sharepoint.com/:b:/g/personal/mmorales_pirazzoli_cl/IQC-X5kiCGQWR66_djUDi_a1AaVU7TP0qKdYONq5BUEnhy4?e=t4n19e" TargetMode="External"/><Relationship Id="rId1114" Type="http://schemas.openxmlformats.org/officeDocument/2006/relationships/hyperlink" Target="https://agenciadeaduanapirazzoli-my.sharepoint.com/:b:/g/personal/mmorales_pirazzoli_cl/IQAi44ddCRtDQa_nVzGzXwVzAQLKv64Tfuk8aiWNlpu9nu0?e=mbAdF8" TargetMode="External"/><Relationship Id="rId58" Type="http://schemas.openxmlformats.org/officeDocument/2006/relationships/hyperlink" Target="https://agenciadeaduanapirazzoli-my.sharepoint.com/:b:/g/personal/mmorales_pirazzoli_cl/IQD3qG_0pK19TpmuNaMI2q0CAStqhXLd8nLnJj7bTNQYNxE?e=AE7FlH" TargetMode="External"/><Relationship Id="rId274" Type="http://schemas.openxmlformats.org/officeDocument/2006/relationships/hyperlink" Target="https://agenciadeaduanapirazzoli-my.sharepoint.com/:b:/g/personal/mmorales_pirazzoli_cl/IQBlSgadxDu5QKY_OyAoq-BsAUhXgjWIbfPqUhZus-KGmnc?e=2k96W2" TargetMode="External"/><Relationship Id="rId481" Type="http://schemas.openxmlformats.org/officeDocument/2006/relationships/hyperlink" Target="https://agenciadeaduanapirazzoli-my.sharepoint.com/:b:/g/personal/mmorales_pirazzoli_cl/IQAHc8r5qfYhQIbfwEyJr8ZCAbIp-1nkEMZWaIp1QHNlWg8?e=tzqqOh" TargetMode="External"/><Relationship Id="rId134" Type="http://schemas.openxmlformats.org/officeDocument/2006/relationships/hyperlink" Target="https://agenciadeaduanapirazzoli-my.sharepoint.com/:b:/g/personal/mmorales_pirazzoli_cl/IQBRCSIm_GVDQrMKM26AkvCKASZ3uXqQa418grvlQJIkEV0?e=gf0br5" TargetMode="External"/><Relationship Id="rId579" Type="http://schemas.openxmlformats.org/officeDocument/2006/relationships/hyperlink" Target="https://agenciadeaduanapirazzoli-my.sharepoint.com/:b:/g/personal/mmorales_pirazzoli_cl/IQBVQXgmCPskRrol9Vp-uTF3AbedQ0RjIfaqzUAoKoA32m0?e=V6UMSZ" TargetMode="External"/><Relationship Id="rId786" Type="http://schemas.openxmlformats.org/officeDocument/2006/relationships/hyperlink" Target="https://agenciadeaduanapirazzoli-my.sharepoint.com/:b:/g/personal/mmorales_pirazzoli_cl/IQA33DdnIM2FQ5mOVx71cgPIAdK0O1HfQMnrsaIyrgNWPhY?e=bsGRGQ" TargetMode="External"/><Relationship Id="rId993" Type="http://schemas.openxmlformats.org/officeDocument/2006/relationships/hyperlink" Target="https://agenciadeaduanapirazzoli-my.sharepoint.com/:b:/g/personal/mmorales_pirazzoli_cl/IQAOxWea2dDaTIoVz34aw2VfAauvvBnEoBmfC7U6G6OvoAA?e=8pLTsT" TargetMode="External"/><Relationship Id="rId341" Type="http://schemas.openxmlformats.org/officeDocument/2006/relationships/hyperlink" Target="https://agenciadeaduanapirazzoli-my.sharepoint.com/:b:/g/personal/mmorales_pirazzoli_cl/IQDn3BPEmk9YRpC4yr4jIKgRAWSUMQLNAOninLZUmmLnFgo?e=B8ww9z" TargetMode="External"/><Relationship Id="rId439" Type="http://schemas.openxmlformats.org/officeDocument/2006/relationships/hyperlink" Target="https://agenciadeaduanapirazzoli-my.sharepoint.com/:b:/g/personal/mmorales_pirazzoli_cl/IQDZ6fhaPtChT6jUGbkIvp0ZAdtzsKmABDfwenNLox531JA?e=gmFBLr" TargetMode="External"/><Relationship Id="rId646" Type="http://schemas.openxmlformats.org/officeDocument/2006/relationships/hyperlink" Target="https://agenciadeaduanapirazzoli-my.sharepoint.com/:b:/g/personal/mmorales_pirazzoli_cl/IQAGWYH0JNsVSJJnsYZ_ZtDAAd-dpYPXDknRATDicJcKe0Y?e=xPp32t" TargetMode="External"/><Relationship Id="rId1069" Type="http://schemas.openxmlformats.org/officeDocument/2006/relationships/hyperlink" Target="https://agenciadeaduanapirazzoli-my.sharepoint.com/:b:/g/personal/mmorales_pirazzoli_cl/IQDXIhGyxUmJS6wGBxPR18HhAaOP_Mi6Pbo1uHew92TPkeg?e=0GDjk4" TargetMode="External"/><Relationship Id="rId1276" Type="http://schemas.openxmlformats.org/officeDocument/2006/relationships/hyperlink" Target="https://agenciadeaduanapirazzoli-my.sharepoint.com/:b:/g/personal/mmorales_pirazzoli_cl/IQBBJMh_E_2PRrfmjKvXjb2FAaFyxMSf5F6Akd7WwDPXVtk?e=knEtoj" TargetMode="External"/><Relationship Id="rId201" Type="http://schemas.openxmlformats.org/officeDocument/2006/relationships/hyperlink" Target="https://agenciadeaduanapirazzoli-my.sharepoint.com/:b:/g/personal/mmorales_pirazzoli_cl/IQBAF-i1yTCdTbHeVMGViyRFAdRFOizYP6E5fDvWLQSrbnM?e=61SFdO" TargetMode="External"/><Relationship Id="rId506" Type="http://schemas.openxmlformats.org/officeDocument/2006/relationships/hyperlink" Target="https://agenciadeaduanapirazzoli-my.sharepoint.com/:b:/g/personal/mmorales_pirazzoli_cl/IQCK8FtPW2EuTp_68p8UTi_hAXb4gM79b7onK-BeVVUlXCc?e=uoQNpn" TargetMode="External"/><Relationship Id="rId853" Type="http://schemas.openxmlformats.org/officeDocument/2006/relationships/hyperlink" Target="https://agenciadeaduanapirazzoli-my.sharepoint.com/:b:/g/personal/mmorales_pirazzoli_cl/IQAEJxrQQ1G1Rryc1cof9U5IAcZvqxKV-KwMlPgLfvZywdE?e=bc0k7i" TargetMode="External"/><Relationship Id="rId1136" Type="http://schemas.openxmlformats.org/officeDocument/2006/relationships/hyperlink" Target="https://agenciadeaduanapirazzoli-my.sharepoint.com/:b:/g/personal/mmorales_pirazzoli_cl/IQBNxuhg9wFGSLQcyInWRw6XAbzDyQBPhd6zxDfsQrsc8xA?e=MjeATG" TargetMode="External"/><Relationship Id="rId713" Type="http://schemas.openxmlformats.org/officeDocument/2006/relationships/hyperlink" Target="https://agenciadeaduanapirazzoli-my.sharepoint.com/:b:/g/personal/mmorales_pirazzoli_cl/IQA72fQtbcfRRIEdklObP2N0ARm03ZctJK0r2h1SpmWaPXM?e=NNNvK0" TargetMode="External"/><Relationship Id="rId920" Type="http://schemas.openxmlformats.org/officeDocument/2006/relationships/hyperlink" Target="https://agenciadeaduanapirazzoli-my.sharepoint.com/:b:/g/personal/mmorales_pirazzoli_cl/IQAxUNNzvMyxTZ5IdJ0NvN-vATkT__FJTOl9jqFZjLy6gqE?e=ISy7Hq" TargetMode="External"/><Relationship Id="rId1203" Type="http://schemas.openxmlformats.org/officeDocument/2006/relationships/hyperlink" Target="https://agenciadeaduanapirazzoli-my.sharepoint.com/:b:/g/personal/mmorales_pirazzoli_cl/IQA-ZO3dgSwgToCdXZJ-MzPmAduPQQy59afeWiYPMYgAfzQ?e=07JBy3" TargetMode="External"/><Relationship Id="rId296" Type="http://schemas.openxmlformats.org/officeDocument/2006/relationships/hyperlink" Target="https://agenciadeaduanapirazzoli-my.sharepoint.com/:b:/g/personal/mmorales_pirazzoli_cl/IQCTvr8c1HQoSa0J3A07ZliLAZTyiyvvt0uO7EKg7Bi7RiY?e=4289wb" TargetMode="External"/><Relationship Id="rId156" Type="http://schemas.openxmlformats.org/officeDocument/2006/relationships/hyperlink" Target="https://agenciadeaduanapirazzoli-my.sharepoint.com/:b:/g/personal/mmorales_pirazzoli_cl/IQAvUIVxaBf0RZ4dzAeMFP9AAY_mrlILxFC3P796uUaS_rg?e=elTOoF" TargetMode="External"/><Relationship Id="rId363" Type="http://schemas.openxmlformats.org/officeDocument/2006/relationships/hyperlink" Target="https://agenciadeaduanapirazzoli-my.sharepoint.com/:b:/g/personal/mmorales_pirazzoli_cl/IQAl6bl51L6sTbx5rMP9zmUwAfSnnhF9aqozX4Z3pEUkA6s?e=PAzbno" TargetMode="External"/><Relationship Id="rId570" Type="http://schemas.openxmlformats.org/officeDocument/2006/relationships/hyperlink" Target="https://agenciadeaduanapirazzoli-my.sharepoint.com/:b:/g/personal/mmorales_pirazzoli_cl/IQDdDddV4UvkRK-ZTsdAktr_AbdsRTEAKhSKjEjFdqEZwu8?e=RXG7Vl" TargetMode="External"/><Relationship Id="rId223" Type="http://schemas.openxmlformats.org/officeDocument/2006/relationships/hyperlink" Target="https://agenciadeaduanapirazzoli-my.sharepoint.com/:b:/g/personal/mmorales_pirazzoli_cl/IQBt22xCXGyKS7kAEUcfQKu9ASTUrmE_aigKIaxJhzIeW2E?e=fDhycz" TargetMode="External"/><Relationship Id="rId430" Type="http://schemas.openxmlformats.org/officeDocument/2006/relationships/hyperlink" Target="https://agenciadeaduanapirazzoli-my.sharepoint.com/:b:/g/personal/mmorales_pirazzoli_cl/IQCAIv3h_w6RSorX3pE2gYGcAaHMCjwaX6B400q2TnaBL6A?e=rg3nzp" TargetMode="External"/><Relationship Id="rId668" Type="http://schemas.openxmlformats.org/officeDocument/2006/relationships/hyperlink" Target="https://agenciadeaduanapirazzoli-my.sharepoint.com/:b:/g/personal/mmorales_pirazzoli_cl/IQC9CxfecyV-TKnzBd48AdFMAb_JaRXQZHWvdDOKMstKga4?e=ThpXJb" TargetMode="External"/><Relationship Id="rId875" Type="http://schemas.openxmlformats.org/officeDocument/2006/relationships/hyperlink" Target="https://agenciadeaduanapirazzoli-my.sharepoint.com/:b:/g/personal/mmorales_pirazzoli_cl/IQBSgpsPMDuZQorollwCx9rzAQRX1KeM1TMV9Yd9LKAqURw?e=OisQs6" TargetMode="External"/><Relationship Id="rId1060" Type="http://schemas.openxmlformats.org/officeDocument/2006/relationships/hyperlink" Target="https://agenciadeaduanapirazzoli-my.sharepoint.com/:b:/g/personal/mmorales_pirazzoli_cl/IQAszqjeu-nXRIZZOKQUL0gdAfgGoRPqN2GAK8uMQF5tVp0?e=On01Ju" TargetMode="External"/><Relationship Id="rId1298" Type="http://schemas.openxmlformats.org/officeDocument/2006/relationships/hyperlink" Target="https://agenciadeaduanapirazzoli-my.sharepoint.com/:b:/g/personal/mmorales_pirazzoli_cl/IQBDkYkoToPBTrLqa1skm5eSAQ4ztjcXddERPAEEaIyLwVk?e=QVJunU" TargetMode="External"/><Relationship Id="rId528" Type="http://schemas.openxmlformats.org/officeDocument/2006/relationships/hyperlink" Target="https://agenciadeaduanapirazzoli-my.sharepoint.com/:b:/g/personal/mmorales_pirazzoli_cl/IQAyJxwnGSALSYHJRMUkrR8xAV73ySEACPM8TQ5uchele-U?e=l0WeBa" TargetMode="External"/><Relationship Id="rId735" Type="http://schemas.openxmlformats.org/officeDocument/2006/relationships/hyperlink" Target="https://agenciadeaduanapirazzoli-my.sharepoint.com/:b:/g/personal/mmorales_pirazzoli_cl/IQDGRkIBzLbKTrWttr7cLJ26Ab7qVzatmh60tWB3_uuTZDc?e=jYX9sf" TargetMode="External"/><Relationship Id="rId942" Type="http://schemas.openxmlformats.org/officeDocument/2006/relationships/hyperlink" Target="https://agenciadeaduanapirazzoli-my.sharepoint.com/:b:/g/personal/mmorales_pirazzoli_cl/IQAVA5qeubDjQ79ZuFYOaKNjAQ1xXkXzkgNoCYSsQwUFBz4?e=vdJo9T" TargetMode="External"/><Relationship Id="rId1158" Type="http://schemas.openxmlformats.org/officeDocument/2006/relationships/hyperlink" Target="https://agenciadeaduanapirazzoli-my.sharepoint.com/:b:/g/personal/mmorales_pirazzoli_cl/IQB1cUS55OCVQJN-GpNLD1ftAReTom_UNJlR7hbYybectEs?e=GcnhB0" TargetMode="External"/><Relationship Id="rId1018" Type="http://schemas.openxmlformats.org/officeDocument/2006/relationships/hyperlink" Target="https://agenciadeaduanapirazzoli-my.sharepoint.com/:b:/g/personal/mmorales_pirazzoli_cl/IQAYMyV5RJFXSrvII6eNVfrmASo4adluTVMQSPYfRSO6v-o?e=xsPPsi" TargetMode="External"/><Relationship Id="rId1225" Type="http://schemas.openxmlformats.org/officeDocument/2006/relationships/hyperlink" Target="https://agenciadeaduanapirazzoli-my.sharepoint.com/:b:/g/personal/mmorales_pirazzoli_cl/IQAJRgItmqNOSpZ1Q5WE38CiAZnvucqz8ib3Nol7Ymg5WT4?e=vx44zg" TargetMode="External"/><Relationship Id="rId71" Type="http://schemas.openxmlformats.org/officeDocument/2006/relationships/hyperlink" Target="https://agenciadeaduanapirazzoli-my.sharepoint.com/:b:/g/personal/mmorales_pirazzoli_cl/IQASdNUtJcPVSIyiYtFq0gBaAcCPyi1JpJf090uk6dPMbZc?e=1idJKQ" TargetMode="External"/><Relationship Id="rId802" Type="http://schemas.openxmlformats.org/officeDocument/2006/relationships/hyperlink" Target="https://agenciadeaduanapirazzoli-my.sharepoint.com/:b:/g/personal/mmorales_pirazzoli_cl/IQC_kiBYAj_7R4HhTzXvUDlEAc3SShHqnE8QK8MTflL0Yh8?e=xEdkaf" TargetMode="External"/><Relationship Id="rId29" Type="http://schemas.openxmlformats.org/officeDocument/2006/relationships/hyperlink" Target="https://agenciadeaduanapirazzoli-my.sharepoint.com/:b:/g/personal/mmorales_pirazzoli_cl/IQAgbUonAxVeQZ3cKodlA5KvARMHpgUWfFuyJwXGs1HVy5g?e=PAFbkz" TargetMode="External"/><Relationship Id="rId178" Type="http://schemas.openxmlformats.org/officeDocument/2006/relationships/hyperlink" Target="https://agenciadeaduanapirazzoli-my.sharepoint.com/:b:/g/personal/mmorales_pirazzoli_cl/IQBQD9DLwkPcRrZ_aF55M0ylAaAes4tUBuFYikgHaFIzMuo?e=AD6Iy2" TargetMode="External"/><Relationship Id="rId385" Type="http://schemas.openxmlformats.org/officeDocument/2006/relationships/hyperlink" Target="https://agenciadeaduanapirazzoli-my.sharepoint.com/:b:/g/personal/mmorales_pirazzoli_cl/IQCtRTuruQYvSq3X1px_9jf8AeBv80e8cUhRc8xuz07e-X4?e=GM1rnw" TargetMode="External"/><Relationship Id="rId592" Type="http://schemas.openxmlformats.org/officeDocument/2006/relationships/hyperlink" Target="https://agenciadeaduanapirazzoli-my.sharepoint.com/:b:/g/personal/mmorales_pirazzoli_cl/IQBXFSldEeInQo2avbxRwEPdARg0POUXqVQ2kEopN9N5xbQ?e=2rN6e8" TargetMode="External"/><Relationship Id="rId245" Type="http://schemas.openxmlformats.org/officeDocument/2006/relationships/hyperlink" Target="https://agenciadeaduanapirazzoli-my.sharepoint.com/:b:/g/personal/mmorales_pirazzoli_cl/IQCb4OhNDMa5RZ-59MlwEASgAQpcXFlGKlBF0qVFYpUOuxk?e=yundZP" TargetMode="External"/><Relationship Id="rId452" Type="http://schemas.openxmlformats.org/officeDocument/2006/relationships/hyperlink" Target="https://agenciadeaduanapirazzoli-my.sharepoint.com/:b:/g/personal/mmorales_pirazzoli_cl/IQBxpzsKR1UGQZEtueTW3zHpAaVLWwFQswfsM6qic7AwUOM?e=xW4tTe" TargetMode="External"/><Relationship Id="rId897" Type="http://schemas.openxmlformats.org/officeDocument/2006/relationships/hyperlink" Target="https://agenciadeaduanapirazzoli-my.sharepoint.com/:b:/g/personal/mmorales_pirazzoli_cl/IQCsFGVDRVmNQraSW9jjZinQAcrtct-NIDQ0qK9HX6iw478?e=ojjcJo" TargetMode="External"/><Relationship Id="rId1082" Type="http://schemas.openxmlformats.org/officeDocument/2006/relationships/hyperlink" Target="https://agenciadeaduanapirazzoli-my.sharepoint.com/:b:/g/personal/mmorales_pirazzoli_cl/IQDAV61gpyr2QonqXib54U-tAeCNkY-nmxxJZkRff8GK3B8?e=ctPaN5" TargetMode="External"/><Relationship Id="rId105" Type="http://schemas.openxmlformats.org/officeDocument/2006/relationships/hyperlink" Target="https://agenciadeaduanapirazzoli-my.sharepoint.com/:b:/g/personal/mmorales_pirazzoli_cl/IQCRylei8qmpRLxBR4eoAXLgAcREJOr9IGEqx78A1LHIWio?e=tUnVfh" TargetMode="External"/><Relationship Id="rId312" Type="http://schemas.openxmlformats.org/officeDocument/2006/relationships/hyperlink" Target="https://agenciadeaduanapirazzoli-my.sharepoint.com/:b:/g/personal/mmorales_pirazzoli_cl/IQCa38Nas1k_Qbjwhu-RJ2T0AV-eh7ORNW_jzmiaXgjtInI?e=WHvsw9" TargetMode="External"/><Relationship Id="rId757" Type="http://schemas.openxmlformats.org/officeDocument/2006/relationships/hyperlink" Target="https://agenciadeaduanapirazzoli-my.sharepoint.com/:b:/g/personal/mmorales_pirazzoli_cl/IQAS4qzwnEYaQJ7yqGSyQjrEAcOAnK2hlJ15az9QMpQ2RYc?e=oMzHGW" TargetMode="External"/><Relationship Id="rId964" Type="http://schemas.openxmlformats.org/officeDocument/2006/relationships/hyperlink" Target="https://agenciadeaduanapirazzoli-my.sharepoint.com/:b:/g/personal/mmorales_pirazzoli_cl/IQCMx8BgMN3AQYE89St3JpN_Aet9CygEs92fnc8GR_dJfXE?e=i0dCS4" TargetMode="External"/><Relationship Id="rId93" Type="http://schemas.openxmlformats.org/officeDocument/2006/relationships/hyperlink" Target="https://agenciadeaduanapirazzoli-my.sharepoint.com/:b:/g/personal/mmorales_pirazzoli_cl/IQABhYUwNW8VT7fXexDh3KVAASUSS7F2PcuhK7eeN8ZUp9w?e=ShLQzW" TargetMode="External"/><Relationship Id="rId617" Type="http://schemas.openxmlformats.org/officeDocument/2006/relationships/hyperlink" Target="https://agenciadeaduanapirazzoli-my.sharepoint.com/:b:/g/personal/mmorales_pirazzoli_cl/IQCb3JKg-auuTYLk8Ed50931AeMD6ef6bm4zppqzHCpDE9M?e=8w7ucm" TargetMode="External"/><Relationship Id="rId824" Type="http://schemas.openxmlformats.org/officeDocument/2006/relationships/hyperlink" Target="https://agenciadeaduanapirazzoli-my.sharepoint.com/:b:/g/personal/mmorales_pirazzoli_cl/IQD-jNZ7LB3QRZNFW-07ANtWAcPyGKBr_FtLx4xOJTuRz3Y?e=KIWI2d" TargetMode="External"/><Relationship Id="rId1247" Type="http://schemas.openxmlformats.org/officeDocument/2006/relationships/hyperlink" Target="https://agenciadeaduanapirazzoli-my.sharepoint.com/:b:/g/personal/mmorales_pirazzoli_cl/IQDDHJKnCDBGQIWgSVw7ab5OAQpmKLtpnXy3sK6VwABQImk?e=B0leOI" TargetMode="External"/><Relationship Id="rId1107" Type="http://schemas.openxmlformats.org/officeDocument/2006/relationships/hyperlink" Target="https://agenciadeaduanapirazzoli-my.sharepoint.com/:b:/g/personal/mmorales_pirazzoli_cl/IQDbzSWuZ9XQSaw3GCrulgBKAUww1jfBEuDXAjc7wj_XmEE?e=tbdtJV" TargetMode="External"/><Relationship Id="rId20" Type="http://schemas.openxmlformats.org/officeDocument/2006/relationships/hyperlink" Target="https://agenciadeaduanapirazzoli-my.sharepoint.com/:b:/g/personal/mmorales_pirazzoli_cl/IQCXsHF4Kn6BQoU6pg-UrIktATkf0nTGFHUQcXeOx9suDlE?e=9ANicW" TargetMode="External"/><Relationship Id="rId267" Type="http://schemas.openxmlformats.org/officeDocument/2006/relationships/hyperlink" Target="https://agenciadeaduanapirazzoli-my.sharepoint.com/:b:/g/personal/mmorales_pirazzoli_cl/IQB9AsjBzzElS5VDts17L7eHAUBYqauvjp3AI2DZm-53ElE?e=4fp33F" TargetMode="External"/><Relationship Id="rId474" Type="http://schemas.openxmlformats.org/officeDocument/2006/relationships/hyperlink" Target="https://agenciadeaduanapirazzoli-my.sharepoint.com/:b:/g/personal/mmorales_pirazzoli_cl/IQDfZgf7s5VcSqT99pVjdItBAbWgRGiuv0EtiB_hMYDVybs?e=vvORMW" TargetMode="External"/><Relationship Id="rId127" Type="http://schemas.openxmlformats.org/officeDocument/2006/relationships/hyperlink" Target="https://agenciadeaduanapirazzoli-my.sharepoint.com/:b:/g/personal/mmorales_pirazzoli_cl/IQBaIn1lx4HYT5kK-VHcS-B-AWS87taOMqAgeHEzRDWaqUo?e=wU0an9" TargetMode="External"/><Relationship Id="rId681" Type="http://schemas.openxmlformats.org/officeDocument/2006/relationships/hyperlink" Target="https://agenciadeaduanapirazzoli-my.sharepoint.com/:b:/g/personal/mmorales_pirazzoli_cl/IQCadbW57filTJvuVdhyJ9DiAVPbnX7-m3LvO_GL8RvxJBQ?e=gZyLdp" TargetMode="External"/><Relationship Id="rId779" Type="http://schemas.openxmlformats.org/officeDocument/2006/relationships/hyperlink" Target="https://agenciadeaduanapirazzoli-my.sharepoint.com/:b:/g/personal/mmorales_pirazzoli_cl/IQAUrFJcQdnCR55M0X8AMDjpAay_CGlk5ge0jY0W3ngPuqc?e=xtFOZ0" TargetMode="External"/><Relationship Id="rId986" Type="http://schemas.openxmlformats.org/officeDocument/2006/relationships/hyperlink" Target="https://agenciadeaduanapirazzoli-my.sharepoint.com/:b:/g/personal/mmorales_pirazzoli_cl/IQCsyKM-g99mQb8ZO6vWCW7IAeq1Fb1wPoIste4R47Z4Xq0?e=f08JBQ" TargetMode="External"/><Relationship Id="rId334" Type="http://schemas.openxmlformats.org/officeDocument/2006/relationships/hyperlink" Target="https://agenciadeaduanapirazzoli-my.sharepoint.com/:b:/g/personal/mmorales_pirazzoli_cl/IQBOAoPR8PGBRIsFV_RTwQhkATGK4RpCiGi9ovLiasPvyZc?e=ymx8Us" TargetMode="External"/><Relationship Id="rId541" Type="http://schemas.openxmlformats.org/officeDocument/2006/relationships/hyperlink" Target="https://agenciadeaduanapirazzoli-my.sharepoint.com/:b:/g/personal/mmorales_pirazzoli_cl/IQA-R0APwOZSSpqA0WaGn7dGAbkYZJcXmEVQbH42_K1Zvww?e=h648XU" TargetMode="External"/><Relationship Id="rId639" Type="http://schemas.openxmlformats.org/officeDocument/2006/relationships/hyperlink" Target="https://agenciadeaduanapirazzoli-my.sharepoint.com/:b:/g/personal/mmorales_pirazzoli_cl/IQA8O8jwJF8NSaCxkHPNySvCAaUotLwP_gYEc5FjoW83rgI?e=qlcxPU" TargetMode="External"/><Relationship Id="rId1171" Type="http://schemas.openxmlformats.org/officeDocument/2006/relationships/hyperlink" Target="https://agenciadeaduanapirazzoli-my.sharepoint.com/:b:/g/personal/mmorales_pirazzoli_cl/IQBhADDiTd0XSaRSandyqDtvAcb5l74a2geLm40-9IOXwzw?e=Eqwt03" TargetMode="External"/><Relationship Id="rId1269" Type="http://schemas.openxmlformats.org/officeDocument/2006/relationships/hyperlink" Target="https://agenciadeaduanapirazzoli-my.sharepoint.com/:b:/g/personal/mmorales_pirazzoli_cl/IQD6QTC8lY3eTJHTbYXni3UsAV6ZPx9yg6_SDWLWMaydkCo?e=TgQzC4" TargetMode="External"/><Relationship Id="rId401" Type="http://schemas.openxmlformats.org/officeDocument/2006/relationships/hyperlink" Target="https://agenciadeaduanapirazzoli-my.sharepoint.com/:b:/g/personal/mmorales_pirazzoli_cl/IQC_T1HHl8LRRp7QQM4jNTGSAQqhj7W8OUhsccmBvTep-U8?e=iiT3uw" TargetMode="External"/><Relationship Id="rId846" Type="http://schemas.openxmlformats.org/officeDocument/2006/relationships/hyperlink" Target="https://agenciadeaduanapirazzoli-my.sharepoint.com/:b:/g/personal/mmorales_pirazzoli_cl/IQCu_pmSV0ETTa0rTxCbYa9oAXyh4oaei0wLZWkmKR2hHnk?e=vhuNhG" TargetMode="External"/><Relationship Id="rId1031" Type="http://schemas.openxmlformats.org/officeDocument/2006/relationships/hyperlink" Target="https://agenciadeaduanapirazzoli-my.sharepoint.com/:b:/g/personal/mmorales_pirazzoli_cl/IQAZC3ZIzE41QqeWWPtYsJwwAfNURPfZLUqtNDaNFz9Ph3Q?e=ZzTY5f" TargetMode="External"/><Relationship Id="rId1129" Type="http://schemas.openxmlformats.org/officeDocument/2006/relationships/hyperlink" Target="https://agenciadeaduanapirazzoli-my.sharepoint.com/:b:/g/personal/mmorales_pirazzoli_cl/IQBWsil1qyGyRJaC4L1CPyEZATR2Z-wFUFqBLNciWOy0A98?e=jQKBVR" TargetMode="External"/><Relationship Id="rId706" Type="http://schemas.openxmlformats.org/officeDocument/2006/relationships/hyperlink" Target="https://agenciadeaduanapirazzoli-my.sharepoint.com/:b:/g/personal/mmorales_pirazzoli_cl/IQAucRw-LiiqTIRRVbeSJ1ugAb-esqcQk_EHDDjD3X0E-m0?e=XxUQju" TargetMode="External"/><Relationship Id="rId913" Type="http://schemas.openxmlformats.org/officeDocument/2006/relationships/hyperlink" Target="https://agenciadeaduanapirazzoli-my.sharepoint.com/:b:/g/personal/mmorales_pirazzoli_cl/IQBcyKqqB523SLfMIVJr690_AQFRXheg4rGUoB4Clh59gqA?e=y1S74J" TargetMode="External"/><Relationship Id="rId42" Type="http://schemas.openxmlformats.org/officeDocument/2006/relationships/hyperlink" Target="https://agenciadeaduanapirazzoli-my.sharepoint.com/:b:/g/personal/mmorales_pirazzoli_cl/IQBc65r2qlNmSrrGCE-ZuD2NAZHqGEZbWERzymDrzkJCNoM?e=dK43Y6" TargetMode="External"/><Relationship Id="rId191" Type="http://schemas.openxmlformats.org/officeDocument/2006/relationships/hyperlink" Target="https://agenciadeaduanapirazzoli-my.sharepoint.com/:b:/g/personal/mmorales_pirazzoli_cl/IQDoUjmuwhQlQr_vsLJWe-dcAcF82aTmVKXNIcKa93ec2bU?e=M2Tdr7" TargetMode="External"/><Relationship Id="rId289" Type="http://schemas.openxmlformats.org/officeDocument/2006/relationships/hyperlink" Target="https://agenciadeaduanapirazzoli-my.sharepoint.com/:b:/g/personal/mmorales_pirazzoli_cl/IQC67Q5QA9YOSYcvGuKkQXseAUnHdefaHxX5WukS9KJaq10?e=EcdVLt" TargetMode="External"/><Relationship Id="rId496" Type="http://schemas.openxmlformats.org/officeDocument/2006/relationships/hyperlink" Target="https://agenciadeaduanapirazzoli-my.sharepoint.com/:b:/g/personal/mmorales_pirazzoli_cl/IQBHlisPm45GT5DAE5pRnRyNAUfIOWdQOxCdL-jJUjGRPA0?e=M5pUH6" TargetMode="External"/><Relationship Id="rId149" Type="http://schemas.openxmlformats.org/officeDocument/2006/relationships/hyperlink" Target="https://agenciadeaduanapirazzoli-my.sharepoint.com/:b:/g/personal/mmorales_pirazzoli_cl/IQAR8ET-KEsLS66kAvwgcZRNAb5SRAbmTWyaoV4a7BEMSyY?e=Y8YTvd" TargetMode="External"/><Relationship Id="rId356" Type="http://schemas.openxmlformats.org/officeDocument/2006/relationships/hyperlink" Target="https://agenciadeaduanapirazzoli-my.sharepoint.com/:b:/g/personal/mmorales_pirazzoli_cl/IQDmm5pYRsu1QKHtsQL0_8n_ATudut-Ou6lvvqEzucUrQe4?e=o7ZW2Y" TargetMode="External"/><Relationship Id="rId563" Type="http://schemas.openxmlformats.org/officeDocument/2006/relationships/hyperlink" Target="https://agenciadeaduanapirazzoli-my.sharepoint.com/:b:/g/personal/mmorales_pirazzoli_cl/IQAQhMAeJ75oSrcLEbu_AdZsAf2l7rPY17jR7JaaFhSks3M?e=lQGJBc" TargetMode="External"/><Relationship Id="rId770" Type="http://schemas.openxmlformats.org/officeDocument/2006/relationships/hyperlink" Target="https://agenciadeaduanapirazzoli-my.sharepoint.com/:b:/g/personal/mmorales_pirazzoli_cl/IQCgdp-Rn8MEQJ9YmIvuIKBiAVWCTRpjsc12Rn4yYsedNW0?e=sf0uOY" TargetMode="External"/><Relationship Id="rId1193" Type="http://schemas.openxmlformats.org/officeDocument/2006/relationships/hyperlink" Target="https://agenciadeaduanapirazzoli-my.sharepoint.com/:b:/g/personal/mmorales_pirazzoli_cl/IQCL8gplFwP3RI6XgRKn5H4GATyxCXVbmYwrTEqTmbcxj-0?e=d9T8hf" TargetMode="External"/><Relationship Id="rId216" Type="http://schemas.openxmlformats.org/officeDocument/2006/relationships/hyperlink" Target="https://agenciadeaduanapirazzoli-my.sharepoint.com/:b:/g/personal/mmorales_pirazzoli_cl/IQD5OOooqXN3SKWYjBpIe6d9AV72Y32wDGj6rREHSMO-2Oo?e=b68Ydy" TargetMode="External"/><Relationship Id="rId423" Type="http://schemas.openxmlformats.org/officeDocument/2006/relationships/hyperlink" Target="https://agenciadeaduanapirazzoli-my.sharepoint.com/:b:/g/personal/mmorales_pirazzoli_cl/IQAj65QGpmjmQKJomR3HIHcGAZ7NsizwwknSq-I3aSEk_48?e=sB8Nu3" TargetMode="External"/><Relationship Id="rId868" Type="http://schemas.openxmlformats.org/officeDocument/2006/relationships/hyperlink" Target="https://agenciadeaduanapirazzoli-my.sharepoint.com/:b:/g/personal/mmorales_pirazzoli_cl/IQCIH66DVXpPQKC4RQYPwEJ6ASU75VyTTnvl0AbqGkGtf8Q?e=Ha8zXI" TargetMode="External"/><Relationship Id="rId1053" Type="http://schemas.openxmlformats.org/officeDocument/2006/relationships/hyperlink" Target="https://agenciadeaduanapirazzoli-my.sharepoint.com/:b:/g/personal/mmorales_pirazzoli_cl/IQD4_3VT4if9TbMAJbotoVyJAaN1MB4dlTU3hWLrtMul8B8?e=aP4Uii" TargetMode="External"/><Relationship Id="rId1260" Type="http://schemas.openxmlformats.org/officeDocument/2006/relationships/hyperlink" Target="https://agenciadeaduanapirazzoli-my.sharepoint.com/:b:/g/personal/mmorales_pirazzoli_cl/IQB8B7SthVO1QoQntsapK8PnAR5i9KgPrLViGoJDqDSZ-z4?e=Rfel2y" TargetMode="External"/><Relationship Id="rId630" Type="http://schemas.openxmlformats.org/officeDocument/2006/relationships/hyperlink" Target="https://agenciadeaduanapirazzoli-my.sharepoint.com/:b:/g/personal/mmorales_pirazzoli_cl/IQBDKDzCzmAhQaKbl18s80JlAe5VSiSzCilYqz3xXyFTin4?e=C5OqUK" TargetMode="External"/><Relationship Id="rId728" Type="http://schemas.openxmlformats.org/officeDocument/2006/relationships/hyperlink" Target="https://agenciadeaduanapirazzoli-my.sharepoint.com/:b:/g/personal/mmorales_pirazzoli_cl/IQBn-Pz5UnlvTayRE9Y8Fgg4AZO0rihTYuHcMEvJiL_ID3k?e=zQOmnK" TargetMode="External"/><Relationship Id="rId935" Type="http://schemas.openxmlformats.org/officeDocument/2006/relationships/hyperlink" Target="https://agenciadeaduanapirazzoli-my.sharepoint.com/:b:/g/personal/mmorales_pirazzoli_cl/IQBdB6i-amlcQ4mla0wmwP-PAU9mpyiyzQHGN0ihZwh9prc?e=lNgiQX" TargetMode="External"/><Relationship Id="rId64" Type="http://schemas.openxmlformats.org/officeDocument/2006/relationships/hyperlink" Target="https://agenciadeaduanapirazzoli-my.sharepoint.com/:b:/g/personal/mmorales_pirazzoli_cl/IQAWMi42VHimSbnMpy6k1bONAZwkB1FK577uiQdV7aNd2CM?e=LcuKii" TargetMode="External"/><Relationship Id="rId367" Type="http://schemas.openxmlformats.org/officeDocument/2006/relationships/hyperlink" Target="https://agenciadeaduanapirazzoli-my.sharepoint.com/:b:/g/personal/mmorales_pirazzoli_cl/IQCZt6U6rzNWRbwodCpTM_-YARO_20VdJBkw6M6iEPNiero?e=L5qqfl" TargetMode="External"/><Relationship Id="rId574" Type="http://schemas.openxmlformats.org/officeDocument/2006/relationships/hyperlink" Target="https://agenciadeaduanapirazzoli-my.sharepoint.com/:b:/g/personal/mmorales_pirazzoli_cl/IQCPHse542y_TokCe7xiSefHAWkUfRa4onQ52jpfvU3RdiY?e=0J0XAC" TargetMode="External"/><Relationship Id="rId1120" Type="http://schemas.openxmlformats.org/officeDocument/2006/relationships/hyperlink" Target="https://agenciadeaduanapirazzoli-my.sharepoint.com/:b:/g/personal/mmorales_pirazzoli_cl/IQDiqrtFVpjZQb2tVojIleokAcSsXeku29Po3TLKvb0gASY?e=DuYm13" TargetMode="External"/><Relationship Id="rId1218" Type="http://schemas.openxmlformats.org/officeDocument/2006/relationships/hyperlink" Target="https://agenciadeaduanapirazzoli-my.sharepoint.com/:b:/g/personal/mmorales_pirazzoli_cl/IQA0m_EHjIT5S4hhEP1Ol0lWAdurBZwErPV_QXnzkusqV10?e=FCHxxj" TargetMode="External"/><Relationship Id="rId227" Type="http://schemas.openxmlformats.org/officeDocument/2006/relationships/hyperlink" Target="https://agenciadeaduanapirazzoli-my.sharepoint.com/:b:/g/personal/mmorales_pirazzoli_cl/IQC6CWT42ZU9TaHT3xVsEqTtAc3Ix0VlYIJWm5puqlCF9OU?e=CV6oe2" TargetMode="External"/><Relationship Id="rId781" Type="http://schemas.openxmlformats.org/officeDocument/2006/relationships/hyperlink" Target="https://agenciadeaduanapirazzoli-my.sharepoint.com/:b:/g/personal/mmorales_pirazzoli_cl/IQC-qdt2Xv8aSqoVymYflut8AdoODQ5blmfqLxVfTYx-4Io?e=dJBSpz" TargetMode="External"/><Relationship Id="rId879" Type="http://schemas.openxmlformats.org/officeDocument/2006/relationships/hyperlink" Target="https://agenciadeaduanapirazzoli-my.sharepoint.com/:b:/g/personal/mmorales_pirazzoli_cl/IQCgMYdh5gnOSKOS60506waqAS6_Ypl2PR03JzDV3DfAqtI?e=Fd6a6f" TargetMode="External"/><Relationship Id="rId434" Type="http://schemas.openxmlformats.org/officeDocument/2006/relationships/hyperlink" Target="https://agenciadeaduanapirazzoli-my.sharepoint.com/:b:/g/personal/mmorales_pirazzoli_cl/IQA-qyfeEhfeRpUdg-GRXTl6AaSwNkI-zfzMq4KXt5zHuqI?e=zesNLy" TargetMode="External"/><Relationship Id="rId641" Type="http://schemas.openxmlformats.org/officeDocument/2006/relationships/hyperlink" Target="https://agenciadeaduanapirazzoli-my.sharepoint.com/:b:/g/personal/mmorales_pirazzoli_cl/IQCfQ5Udva0HSaQAlwaBSs0nAW5pUS3Fn-JoJWgTUxCyKVs?e=SwnPjX" TargetMode="External"/><Relationship Id="rId739" Type="http://schemas.openxmlformats.org/officeDocument/2006/relationships/hyperlink" Target="https://agenciadeaduanapirazzoli-my.sharepoint.com/:b:/g/personal/mmorales_pirazzoli_cl/IQBuT4Xg3O72Tq3ftkmInmt6ARfiXVmGS4VkKOoiUQPtSw8?e=4gkdaQ" TargetMode="External"/><Relationship Id="rId1064" Type="http://schemas.openxmlformats.org/officeDocument/2006/relationships/hyperlink" Target="https://agenciadeaduanapirazzoli-my.sharepoint.com/:b:/g/personal/mmorales_pirazzoli_cl/IQD8wrmKc157SKcydnsYanHQAXU74vxRCdKWMojpdhVb7BE?e=LYleKX" TargetMode="External"/><Relationship Id="rId1271" Type="http://schemas.openxmlformats.org/officeDocument/2006/relationships/hyperlink" Target="https://agenciadeaduanapirazzoli-my.sharepoint.com/:b:/g/personal/mmorales_pirazzoli_cl/IQCKSnNUzANhS5DVLhiDNGZBAUcl-rnDWbhXzLz_-cH1Nlg?e=JkJbcd" TargetMode="External"/><Relationship Id="rId280" Type="http://schemas.openxmlformats.org/officeDocument/2006/relationships/hyperlink" Target="https://agenciadeaduanapirazzoli-my.sharepoint.com/:b:/g/personal/mmorales_pirazzoli_cl/IQDYw_UjR0pnSI5cwkYY1kICAYmRJw3CdP6KEAntO426MTs?e=54k9H7" TargetMode="External"/><Relationship Id="rId501" Type="http://schemas.openxmlformats.org/officeDocument/2006/relationships/hyperlink" Target="https://agenciadeaduanapirazzoli-my.sharepoint.com/:b:/g/personal/mmorales_pirazzoli_cl/IQBGCB6SoYNmT6Udyhk-mi2zAdsmMafV9AE4gsj8WxoAhT0?e=mrduqP" TargetMode="External"/><Relationship Id="rId946" Type="http://schemas.openxmlformats.org/officeDocument/2006/relationships/hyperlink" Target="https://agenciadeaduanapirazzoli-my.sharepoint.com/:b:/g/personal/mmorales_pirazzoli_cl/IQAO0LYYOytFSpkNioEr-okGAUc4odZ3cc9rFl3MKmSsBhk?e=e11beT" TargetMode="External"/><Relationship Id="rId1131" Type="http://schemas.openxmlformats.org/officeDocument/2006/relationships/hyperlink" Target="https://agenciadeaduanapirazzoli-my.sharepoint.com/:b:/g/personal/mmorales_pirazzoli_cl/IQDxxdvN4JLPQKIc7jD1v4atAW7ATY_HReixiD6xxs9d6KU?e=YtJ0Sa" TargetMode="External"/><Relationship Id="rId1229" Type="http://schemas.openxmlformats.org/officeDocument/2006/relationships/hyperlink" Target="https://agenciadeaduanapirazzoli-my.sharepoint.com/:b:/g/personal/mmorales_pirazzoli_cl/IQDhwpUeCXSFQ4PzNsBz91gOAV1ZrHdgGo9PRsucB3-oSo8?e=P1WqMO" TargetMode="External"/><Relationship Id="rId75" Type="http://schemas.openxmlformats.org/officeDocument/2006/relationships/hyperlink" Target="https://agenciadeaduanapirazzoli-my.sharepoint.com/:b:/g/personal/mmorales_pirazzoli_cl/IQAI8kqP3vaBRonppBBFnJUmAaYk7pMw1gTieKlkBQCmC-0?e=0sKyL6" TargetMode="External"/><Relationship Id="rId140" Type="http://schemas.openxmlformats.org/officeDocument/2006/relationships/hyperlink" Target="https://agenciadeaduanapirazzoli-my.sharepoint.com/:b:/g/personal/mmorales_pirazzoli_cl/IQAPuWwee57sSr1zkVqV-pRSARzIyaUT3N5eiAIlPi5V2EE?e=9sAhlS" TargetMode="External"/><Relationship Id="rId378" Type="http://schemas.openxmlformats.org/officeDocument/2006/relationships/hyperlink" Target="https://agenciadeaduanapirazzoli-my.sharepoint.com/:b:/g/personal/mmorales_pirazzoli_cl/IQBLt0Ep8kSDTYOp8_IBclt9AQ7G2QyzHcnAGEEVUlbc--w?e=KPNzEQ" TargetMode="External"/><Relationship Id="rId585" Type="http://schemas.openxmlformats.org/officeDocument/2006/relationships/hyperlink" Target="https://agenciadeaduanapirazzoli-my.sharepoint.com/:b:/g/personal/mmorales_pirazzoli_cl/IQACa7OAdc-rT67_OTBZw6lCASImos6Go4ItPNsxPZxYjSU?e=J3SBMV" TargetMode="External"/><Relationship Id="rId792" Type="http://schemas.openxmlformats.org/officeDocument/2006/relationships/hyperlink" Target="https://agenciadeaduanapirazzoli-my.sharepoint.com/:b:/g/personal/mmorales_pirazzoli_cl/IQDqL7I-nALGRZF8h9we23O3AV6fCtddPszm5r1L08RStJ8?e=3NbfEl" TargetMode="External"/><Relationship Id="rId806" Type="http://schemas.openxmlformats.org/officeDocument/2006/relationships/hyperlink" Target="https://agenciadeaduanapirazzoli-my.sharepoint.com/:b:/g/personal/mmorales_pirazzoli_cl/IQAbvqZ5Zei4T50oGXCF9QENATGAJFnBaEgIZrBcgCFGvUo?e=OOlFB0" TargetMode="External"/><Relationship Id="rId6" Type="http://schemas.openxmlformats.org/officeDocument/2006/relationships/hyperlink" Target="https://agenciadeaduanapirazzoli-my.sharepoint.com/:b:/g/personal/mmorales_pirazzoli_cl/IQDjvTZubQGgRY3gqjD7VpDJAW16HX0NFNWUCyUklNMrcRo?e=qawLob" TargetMode="External"/><Relationship Id="rId238" Type="http://schemas.openxmlformats.org/officeDocument/2006/relationships/hyperlink" Target="https://agenciadeaduanapirazzoli-my.sharepoint.com/:b:/g/personal/mmorales_pirazzoli_cl/IQCqExpBfRgtS5mrRFapmWo4Act3oYM4B1JigpAdeuT05qQ?e=P2haY5" TargetMode="External"/><Relationship Id="rId445" Type="http://schemas.openxmlformats.org/officeDocument/2006/relationships/hyperlink" Target="https://agenciadeaduanapirazzoli-my.sharepoint.com/:b:/g/personal/mmorales_pirazzoli_cl/IQBrgK8t7CiISJvVlRg40TelAcYPxiDdWXlcK25WEtL5P4k?e=rQUaRo" TargetMode="External"/><Relationship Id="rId652" Type="http://schemas.openxmlformats.org/officeDocument/2006/relationships/hyperlink" Target="https://agenciadeaduanapirazzoli-my.sharepoint.com/:b:/g/personal/mmorales_pirazzoli_cl/IQAs3PDp2l0FRqGDPPmxmFwWAbrAK1d6yIM8xJpJ_tVdR8c?e=e99tO2" TargetMode="External"/><Relationship Id="rId1075" Type="http://schemas.openxmlformats.org/officeDocument/2006/relationships/hyperlink" Target="https://agenciadeaduanapirazzoli-my.sharepoint.com/:b:/g/personal/mmorales_pirazzoli_cl/IQDYhN_eqLqJT5240jYgfzlBAUzFmIz6tkxIiQ_iTHjX8jI?e=NcFrBz" TargetMode="External"/><Relationship Id="rId1282" Type="http://schemas.openxmlformats.org/officeDocument/2006/relationships/hyperlink" Target="https://agenciadeaduanapirazzoli-my.sharepoint.com/:b:/g/personal/mmorales_pirazzoli_cl/IQDdXVfx_tXASLE8Dx1KY9ECATc2R0rRL6n2uiEKzfrGSt0?e=Zkd5HU" TargetMode="External"/><Relationship Id="rId291" Type="http://schemas.openxmlformats.org/officeDocument/2006/relationships/hyperlink" Target="https://agenciadeaduanapirazzoli-my.sharepoint.com/:b:/g/personal/mmorales_pirazzoli_cl/IQCBYZKewpmMRbg8D2IMhRs-AYaF3xUSq_ivX-qquyvqxRQ?e=dSMH6e" TargetMode="External"/><Relationship Id="rId305" Type="http://schemas.openxmlformats.org/officeDocument/2006/relationships/hyperlink" Target="https://agenciadeaduanapirazzoli-my.sharepoint.com/:b:/g/personal/mmorales_pirazzoli_cl/IQCrxyD4-i92Ra1xcRVh0RpdAYnTuuyFV8tONRuRYbrpnqs?e=EjTShq" TargetMode="External"/><Relationship Id="rId512" Type="http://schemas.openxmlformats.org/officeDocument/2006/relationships/hyperlink" Target="https://agenciadeaduanapirazzoli-my.sharepoint.com/:b:/g/personal/mmorales_pirazzoli_cl/IQA7eOFFlM7FS7OIIU6hteeRAfYpe33Qdk_mUxqMAqQHfxU?e=KydGYO" TargetMode="External"/><Relationship Id="rId957" Type="http://schemas.openxmlformats.org/officeDocument/2006/relationships/hyperlink" Target="https://agenciadeaduanapirazzoli-my.sharepoint.com/:b:/g/personal/mmorales_pirazzoli_cl/IQDGT8rKQGJuT7wvFKqaFx0DARhlrGHpJm7LRs0_ROC3SPU?e=HL9ycy" TargetMode="External"/><Relationship Id="rId1142" Type="http://schemas.openxmlformats.org/officeDocument/2006/relationships/hyperlink" Target="https://agenciadeaduanapirazzoli-my.sharepoint.com/:b:/g/personal/mmorales_pirazzoli_cl/IQD-bx3KLQ_LQJoe-0tt-3DNAeSBFAg7bFqVBwREclDhb14?e=tW4zNY" TargetMode="External"/><Relationship Id="rId86" Type="http://schemas.openxmlformats.org/officeDocument/2006/relationships/hyperlink" Target="https://agenciadeaduanapirazzoli-my.sharepoint.com/:b:/g/personal/mmorales_pirazzoli_cl/IQAmK8BR8VcuRYWHprjH67t1ATdqsGaSEOB5KFOPEKxLUfE?e=XP7MyW" TargetMode="External"/><Relationship Id="rId151" Type="http://schemas.openxmlformats.org/officeDocument/2006/relationships/hyperlink" Target="https://agenciadeaduanapirazzoli-my.sharepoint.com/:b:/g/personal/mmorales_pirazzoli_cl/IQCRqwHDpByHSa0oEBAOxEBDATIv2PWbEHdq0MsUH36u5TM?e=Ry5VXe" TargetMode="External"/><Relationship Id="rId389" Type="http://schemas.openxmlformats.org/officeDocument/2006/relationships/hyperlink" Target="https://agenciadeaduanapirazzoli-my.sharepoint.com/:b:/g/personal/mmorales_pirazzoli_cl/IQAuP4ZLL09pQZpbzFd-P9tMAVGwqzbs-g6BLFBYNPir4t8?e=d06jDx" TargetMode="External"/><Relationship Id="rId596" Type="http://schemas.openxmlformats.org/officeDocument/2006/relationships/hyperlink" Target="https://agenciadeaduanapirazzoli-my.sharepoint.com/:b:/g/personal/mmorales_pirazzoli_cl/IQCYtHfMF5LyTrgkbTWs1PpRAcjBZr_ApjpsoQjBFHbvJcQ?e=EzQE2U" TargetMode="External"/><Relationship Id="rId817" Type="http://schemas.openxmlformats.org/officeDocument/2006/relationships/hyperlink" Target="https://agenciadeaduanapirazzoli-my.sharepoint.com/:b:/g/personal/mmorales_pirazzoli_cl/IQAWn7Nfz538SaNNDmfjqzuIAZlFyfVC--T4uk954yZIS8g?e=u9Mf95" TargetMode="External"/><Relationship Id="rId1002" Type="http://schemas.openxmlformats.org/officeDocument/2006/relationships/hyperlink" Target="https://agenciadeaduanapirazzoli-my.sharepoint.com/:b:/g/personal/mmorales_pirazzoli_cl/IQD_hZMPA3xHRqFeO1VN6kD4ARytc2jBgLq3oObIkoYW2Ec?e=Mg2Itd" TargetMode="External"/><Relationship Id="rId249" Type="http://schemas.openxmlformats.org/officeDocument/2006/relationships/hyperlink" Target="https://agenciadeaduanapirazzoli-my.sharepoint.com/:b:/g/personal/mmorales_pirazzoli_cl/IQCAsOHIUbY3Ram6fSLungfvAbaYjoFRBuWY8_msy4PmbYU?e=EDVEnb" TargetMode="External"/><Relationship Id="rId456" Type="http://schemas.openxmlformats.org/officeDocument/2006/relationships/hyperlink" Target="https://agenciadeaduanapirazzoli-my.sharepoint.com/:b:/g/personal/mmorales_pirazzoli_cl/IQDrKHVKvpQXTbL8ZeIq1sA7AUShFQjmVjWp0qyKiKKWjyo?e=lWmcYB" TargetMode="External"/><Relationship Id="rId663" Type="http://schemas.openxmlformats.org/officeDocument/2006/relationships/hyperlink" Target="https://agenciadeaduanapirazzoli-my.sharepoint.com/:b:/g/personal/mmorales_pirazzoli_cl/IQCFY3u-TAPxQZTOhvr3gMKqAbtmc1BW1nE0yVHLYjhpbS0?e=BlfOJK" TargetMode="External"/><Relationship Id="rId870" Type="http://schemas.openxmlformats.org/officeDocument/2006/relationships/hyperlink" Target="https://agenciadeaduanapirazzoli-my.sharepoint.com/:b:/g/personal/mmorales_pirazzoli_cl/IQANTNZ_f-fTQL72mHbckzUtAccWF-vOqLv2jtsT4LDzN0Y?e=dJFM1A" TargetMode="External"/><Relationship Id="rId1086" Type="http://schemas.openxmlformats.org/officeDocument/2006/relationships/hyperlink" Target="https://agenciadeaduanapirazzoli-my.sharepoint.com/:b:/g/personal/mmorales_pirazzoli_cl/IQAFcYEO-xC0SrotO_bkpOD9AaT_rvUXL_2CohGKjiQk8o0?e=x1lx2C" TargetMode="External"/><Relationship Id="rId1293" Type="http://schemas.openxmlformats.org/officeDocument/2006/relationships/hyperlink" Target="https://agenciadeaduanapirazzoli-my.sharepoint.com/:b:/g/personal/mmorales_pirazzoli_cl/IQBL9ZTFLcfBRpbAp_xuWhZJAYf5lyNDLja3ikq5ZUp8H2A?e=9AFdUE" TargetMode="External"/><Relationship Id="rId13" Type="http://schemas.openxmlformats.org/officeDocument/2006/relationships/hyperlink" Target="https://agenciadeaduanapirazzoli-my.sharepoint.com/:b:/g/personal/mmorales_pirazzoli_cl/IQATwNq5o729RpgjB0TWhE04AS1oGbmyoVOa19xp-BbRSjs?e=wTei9p" TargetMode="External"/><Relationship Id="rId109" Type="http://schemas.openxmlformats.org/officeDocument/2006/relationships/hyperlink" Target="https://agenciadeaduanapirazzoli-my.sharepoint.com/:b:/g/personal/mmorales_pirazzoli_cl/IQBVHYRca0vUTpiYmgzdRscTAeNTFTJ1rwtLWWzSouD1dq4?e=ZvqIXD" TargetMode="External"/><Relationship Id="rId316" Type="http://schemas.openxmlformats.org/officeDocument/2006/relationships/hyperlink" Target="https://agenciadeaduanapirazzoli-my.sharepoint.com/:b:/g/personal/mmorales_pirazzoli_cl/IQCxlPzHbdqFQrEq2ADg0lxiAX0DGpxKka1yTUNrvkASlM0?e=FkAaMP" TargetMode="External"/><Relationship Id="rId523" Type="http://schemas.openxmlformats.org/officeDocument/2006/relationships/hyperlink" Target="https://agenciadeaduanapirazzoli-my.sharepoint.com/:b:/g/personal/mmorales_pirazzoli_cl/IQDvhALSMJl5T4dc6PK0FNY0AUk_kdra-icYqtFAd7xDfiU?e=EVe5PF" TargetMode="External"/><Relationship Id="rId968" Type="http://schemas.openxmlformats.org/officeDocument/2006/relationships/hyperlink" Target="https://agenciadeaduanapirazzoli-my.sharepoint.com/:b:/g/personal/mmorales_pirazzoli_cl/IQA9Az_eQfmWSqHUlbqdLz4XAcCWS3thL_N-Nly5c0Y0K1k?e=9p4KCE" TargetMode="External"/><Relationship Id="rId1153" Type="http://schemas.openxmlformats.org/officeDocument/2006/relationships/hyperlink" Target="https://agenciadeaduanapirazzoli-my.sharepoint.com/:b:/g/personal/mmorales_pirazzoli_cl/IQBc4zCmcWYyQ7nGyMpcJllyAVVnQeFwSzE3xsAiL2lMhjs?e=RFnF92" TargetMode="External"/><Relationship Id="rId97" Type="http://schemas.openxmlformats.org/officeDocument/2006/relationships/hyperlink" Target="https://agenciadeaduanapirazzoli-my.sharepoint.com/:b:/g/personal/mmorales_pirazzoli_cl/IQBk3CcXJvtpRIP531uh2h6cAZDjUv47YsQvZvwbiIoGm7A?e=Q6qv5T" TargetMode="External"/><Relationship Id="rId730" Type="http://schemas.openxmlformats.org/officeDocument/2006/relationships/hyperlink" Target="https://agenciadeaduanapirazzoli-my.sharepoint.com/:b:/g/personal/mmorales_pirazzoli_cl/IQAN--gTn-nUS71fvG55IZf3AVV0nMOKE7tBkoJDYAh_ycw?e=vgxA7X" TargetMode="External"/><Relationship Id="rId828" Type="http://schemas.openxmlformats.org/officeDocument/2006/relationships/hyperlink" Target="https://agenciadeaduanapirazzoli-my.sharepoint.com/:b:/g/personal/mmorales_pirazzoli_cl/IQBkH9EuqrVAQJ-Nwz-ohVx3Afm6dFQZyHx6V2TsvXsTQk8?e=liYViW" TargetMode="External"/><Relationship Id="rId1013" Type="http://schemas.openxmlformats.org/officeDocument/2006/relationships/hyperlink" Target="https://agenciadeaduanapirazzoli-my.sharepoint.com/:b:/g/personal/mmorales_pirazzoli_cl/IQB3FgykeVuaSaOsiLEQ1e65AaV5QD0ScM7G5yAMuWkTvdk?e=m4AnIl" TargetMode="External"/><Relationship Id="rId162" Type="http://schemas.openxmlformats.org/officeDocument/2006/relationships/hyperlink" Target="https://agenciadeaduanapirazzoli-my.sharepoint.com/:b:/g/personal/mmorales_pirazzoli_cl/IQA-CXWpLPF6Qa1xqdfctLGpAZr_SMScbxoNNIfq3ZJCCo0?e=vyCC2w" TargetMode="External"/><Relationship Id="rId467" Type="http://schemas.openxmlformats.org/officeDocument/2006/relationships/hyperlink" Target="https://agenciadeaduanapirazzoli-my.sharepoint.com/:b:/g/personal/mmorales_pirazzoli_cl/IQBdujLMUsRDRLW-NKDhqBwWATe7SLmkxjFPb7R8iFj4Qus?e=Mec5lv" TargetMode="External"/><Relationship Id="rId1097" Type="http://schemas.openxmlformats.org/officeDocument/2006/relationships/hyperlink" Target="https://agenciadeaduanapirazzoli-my.sharepoint.com/:b:/g/personal/mmorales_pirazzoli_cl/IQAVJq3gxfeIRYxw0kT7_9ZgAXgYt-ZR6Xnnab46-ZjZwhw?e=XsnD2j" TargetMode="External"/><Relationship Id="rId1220" Type="http://schemas.openxmlformats.org/officeDocument/2006/relationships/hyperlink" Target="https://agenciadeaduanapirazzoli-my.sharepoint.com/:b:/g/personal/mmorales_pirazzoli_cl/IQCv-T9eZKOMTL7K_ssFeNxXAdgAUTvYiLY2S4JepqChtCM?e=UEQcO5" TargetMode="External"/><Relationship Id="rId674" Type="http://schemas.openxmlformats.org/officeDocument/2006/relationships/hyperlink" Target="https://agenciadeaduanapirazzoli-my.sharepoint.com/:b:/g/personal/mmorales_pirazzoli_cl/IQB9m7aE_snMRbLTD9nNgAF_AfaN8OC-WiUmpLC7LZ_UtRs?e=XNnNHX" TargetMode="External"/><Relationship Id="rId881" Type="http://schemas.openxmlformats.org/officeDocument/2006/relationships/hyperlink" Target="https://agenciadeaduanapirazzoli-my.sharepoint.com/:b:/g/personal/mmorales_pirazzoli_cl/IQAZXpgpv9RATKSxd4nGgzwpAbAQZoxz_RmPNf6MzXSTC1g?e=GgU97c" TargetMode="External"/><Relationship Id="rId979" Type="http://schemas.openxmlformats.org/officeDocument/2006/relationships/hyperlink" Target="https://agenciadeaduanapirazzoli-my.sharepoint.com/:b:/g/personal/mmorales_pirazzoli_cl/IQDusDOY3qDERYveXzFiCijTAf4-Gebc8dhlEnDxlV6SXFk?e=ICAkhc" TargetMode="External"/><Relationship Id="rId24" Type="http://schemas.openxmlformats.org/officeDocument/2006/relationships/hyperlink" Target="https://agenciadeaduanapirazzoli-my.sharepoint.com/:b:/g/personal/mmorales_pirazzoli_cl/IQAvP9thgTWDTaXKKw-Vtex1AYTIeMQIk0kd865XEiwRhnY?e=52W79f" TargetMode="External"/><Relationship Id="rId327" Type="http://schemas.openxmlformats.org/officeDocument/2006/relationships/hyperlink" Target="https://agenciadeaduanapirazzoli-my.sharepoint.com/:b:/g/personal/mmorales_pirazzoli_cl/IQCwMzHdIbaQTrqxVUtJk6LfAdLgpJsqSTj31Nz2xKoOGr8?e=df82Lx" TargetMode="External"/><Relationship Id="rId534" Type="http://schemas.openxmlformats.org/officeDocument/2006/relationships/hyperlink" Target="https://agenciadeaduanapirazzoli-my.sharepoint.com/:b:/g/personal/mmorales_pirazzoli_cl/IQAGXI5cR4cUTJoL5pph_yJgAZhrPAM1MGUTth05K0HUiZY?e=Dp3bcz" TargetMode="External"/><Relationship Id="rId741" Type="http://schemas.openxmlformats.org/officeDocument/2006/relationships/hyperlink" Target="https://agenciadeaduanapirazzoli-my.sharepoint.com/:b:/g/personal/mmorales_pirazzoli_cl/IQC2ztPV9pEFTIsYH-i0Ov-HAVqTpcIFhU7-Ef9tPkQEO7A?e=gZYSHK" TargetMode="External"/><Relationship Id="rId839" Type="http://schemas.openxmlformats.org/officeDocument/2006/relationships/hyperlink" Target="https://agenciadeaduanapirazzoli-my.sharepoint.com/:b:/g/personal/mmorales_pirazzoli_cl/IQC5wQo45VsJTY55KpbvEt9XAQb1rU4EEpJDU__iY9aK_Wk?e=y3M4rv" TargetMode="External"/><Relationship Id="rId1164" Type="http://schemas.openxmlformats.org/officeDocument/2006/relationships/hyperlink" Target="https://agenciadeaduanapirazzoli-my.sharepoint.com/:b:/g/personal/mmorales_pirazzoli_cl/IQDpYf9tH6AaQZEqVEnUxkAcAdOIB7msaJegRauWd02vHiw?e=gNedFY" TargetMode="External"/><Relationship Id="rId173" Type="http://schemas.openxmlformats.org/officeDocument/2006/relationships/hyperlink" Target="https://agenciadeaduanapirazzoli-my.sharepoint.com/:b:/g/personal/mmorales_pirazzoli_cl/IQAkBCjUlgFYSrwReQxxr-ARAZIsmKJfqBdqkZcthVyvQCU?e=whPmiX" TargetMode="External"/><Relationship Id="rId380" Type="http://schemas.openxmlformats.org/officeDocument/2006/relationships/hyperlink" Target="https://agenciadeaduanapirazzoli-my.sharepoint.com/:b:/g/personal/mmorales_pirazzoli_cl/IQDdaz_8zTRBTIfx-KpmE5aIAWlIiyNWbfeztAcoKNhAX5g?e=dmWA80" TargetMode="External"/><Relationship Id="rId601" Type="http://schemas.openxmlformats.org/officeDocument/2006/relationships/hyperlink" Target="https://agenciadeaduanapirazzoli-my.sharepoint.com/:b:/g/personal/mmorales_pirazzoli_cl/IQA2ZoJ9WdabRJ4zAJV1VLJTAU0tMh_Vpa-XSDOm1Yx2_Uc?e=lNwPKo" TargetMode="External"/><Relationship Id="rId1024" Type="http://schemas.openxmlformats.org/officeDocument/2006/relationships/hyperlink" Target="https://agenciadeaduanapirazzoli-my.sharepoint.com/:b:/g/personal/mmorales_pirazzoli_cl/IQA626DbvK6MTLhHHXS6tL3sAT9ADsdDgyt9tSox-LCoUUM?e=skuDQT" TargetMode="External"/><Relationship Id="rId1231" Type="http://schemas.openxmlformats.org/officeDocument/2006/relationships/hyperlink" Target="https://agenciadeaduanapirazzoli-my.sharepoint.com/:b:/g/personal/mmorales_pirazzoli_cl/IQB0NEuKR-J6T7sLBog0dMVPAR0oa2ZpYowzmHUxwCCVDBQ?e=95qylq" TargetMode="External"/><Relationship Id="rId240" Type="http://schemas.openxmlformats.org/officeDocument/2006/relationships/hyperlink" Target="https://agenciadeaduanapirazzoli-my.sharepoint.com/:b:/g/personal/mmorales_pirazzoli_cl/IQArs0L3l4U2RZhTjOaj57KgARTWWwIN5r-Pgj0SKFjQ0fs?e=Fge1Op" TargetMode="External"/><Relationship Id="rId478" Type="http://schemas.openxmlformats.org/officeDocument/2006/relationships/hyperlink" Target="https://agenciadeaduanapirazzoli-my.sharepoint.com/:b:/g/personal/mmorales_pirazzoli_cl/IQB7oo8UhMzcS56QJBa2o1k2AfrcWPCdfGNTsc3cWtJwV4w?e=8UOVyH" TargetMode="External"/><Relationship Id="rId685" Type="http://schemas.openxmlformats.org/officeDocument/2006/relationships/hyperlink" Target="https://agenciadeaduanapirazzoli-my.sharepoint.com/:b:/g/personal/mmorales_pirazzoli_cl/IQBFoDRVgHB0Q7hIouYIrqJ2AQyOGvMAxPD4jND7QsCyX1o?e=4jOLhP" TargetMode="External"/><Relationship Id="rId892" Type="http://schemas.openxmlformats.org/officeDocument/2006/relationships/hyperlink" Target="https://agenciadeaduanapirazzoli-my.sharepoint.com/:b:/g/personal/mmorales_pirazzoli_cl/IQDMo8dIzssUTLK3EJLzRQ-yAf6SwdZyya-_5YfXcnWGOpk?e=LEWtEh" TargetMode="External"/><Relationship Id="rId906" Type="http://schemas.openxmlformats.org/officeDocument/2006/relationships/hyperlink" Target="https://agenciadeaduanapirazzoli-my.sharepoint.com/:b:/g/personal/mmorales_pirazzoli_cl/IQCUN1wXaWzLSYfKgbZof5VYAeLmml4ct4Sm-oR6ymBUsOo?e=Z7wtE3" TargetMode="External"/><Relationship Id="rId35" Type="http://schemas.openxmlformats.org/officeDocument/2006/relationships/hyperlink" Target="https://agenciadeaduanapirazzoli-my.sharepoint.com/:b:/g/personal/mmorales_pirazzoli_cl/IQBzTwwAoafEQLkF0KY_xAolAaUAaLjM0qu5eTqrJegH4rg?e=w1Vmff" TargetMode="External"/><Relationship Id="rId100" Type="http://schemas.openxmlformats.org/officeDocument/2006/relationships/hyperlink" Target="https://agenciadeaduanapirazzoli-my.sharepoint.com/:b:/g/personal/mmorales_pirazzoli_cl/IQC3bKfqXqEyR47QNovD65jCAfLS541s4FaByTrdxW2ErqY?e=E568mE" TargetMode="External"/><Relationship Id="rId338" Type="http://schemas.openxmlformats.org/officeDocument/2006/relationships/hyperlink" Target="https://agenciadeaduanapirazzoli-my.sharepoint.com/:b:/g/personal/mmorales_pirazzoli_cl/IQBKQQie-YHxRL69eCnIB1irAUA6aOR7K1K1mby1feDdtGk?e=UU0YoM" TargetMode="External"/><Relationship Id="rId545" Type="http://schemas.openxmlformats.org/officeDocument/2006/relationships/hyperlink" Target="https://agenciadeaduanapirazzoli-my.sharepoint.com/:b:/g/personal/mmorales_pirazzoli_cl/IQC6A1Nm3cSzT6VMck5YCGcZAf5Tw9mTGxhssrFiNy88rlE?e=v6evaA" TargetMode="External"/><Relationship Id="rId752" Type="http://schemas.openxmlformats.org/officeDocument/2006/relationships/hyperlink" Target="https://agenciadeaduanapirazzoli-my.sharepoint.com/:b:/g/personal/mmorales_pirazzoli_cl/IQABlCw1gjRnQoMWyxcfaY1xAV8EAFGPeiaU377dkFSU05w?e=T7a9Aw" TargetMode="External"/><Relationship Id="rId1175" Type="http://schemas.openxmlformats.org/officeDocument/2006/relationships/hyperlink" Target="https://agenciadeaduanapirazzoli-my.sharepoint.com/:b:/g/personal/mmorales_pirazzoli_cl/IQAimIn3FuBJSaxxoJ70ZPmEAeKUhttps:/agenciadeaduanapirazzoli-my.sharepoint.com/:b:/g/personal/mmorales_pirazzoli_cl/IQAimIn3FuBJSaxxoJ70ZPmEAeKUdoIQFrSbcOZ6cOgKRB4?e=57CkWwdoIQFrSbcOZ6cOgKRB4?e=57CkWw" TargetMode="External"/><Relationship Id="rId184" Type="http://schemas.openxmlformats.org/officeDocument/2006/relationships/hyperlink" Target="https://agenciadeaduanapirazzoli-my.sharepoint.com/:b:/g/personal/mmorales_pirazzoli_cl/IQBr6yC7s-bHRYsoeu2AFfVfAXKzrknxGr_bRn8qcMXQXH4?e=2SgNHr" TargetMode="External"/><Relationship Id="rId391" Type="http://schemas.openxmlformats.org/officeDocument/2006/relationships/hyperlink" Target="https://agenciadeaduanapirazzoli-my.sharepoint.com/:b:/g/personal/mmorales_pirazzoli_cl/IQDnu3s7q4moRYtS1gE998OjAZnJlfrsAqXVrN5Slj87CRg?e=STmWyE" TargetMode="External"/><Relationship Id="rId405" Type="http://schemas.openxmlformats.org/officeDocument/2006/relationships/hyperlink" Target="https://agenciadeaduanapirazzoli-my.sharepoint.com/:b:/g/personal/mmorales_pirazzoli_cl/IQDeVfFsnVSAR6MSvHmHH0uOAQ5sQ4mnBGPkVGLC-yJokn0?e=hD8s6k" TargetMode="External"/><Relationship Id="rId612" Type="http://schemas.openxmlformats.org/officeDocument/2006/relationships/hyperlink" Target="https://agenciadeaduanapirazzoli-my.sharepoint.com/:b:/g/personal/mmorales_pirazzoli_cl/IQCCAHNVuIqvQpWKzB5eV0OfAUdyYI2JhrGz_o0pe8q60U8?e=2ikMN1" TargetMode="External"/><Relationship Id="rId1035" Type="http://schemas.openxmlformats.org/officeDocument/2006/relationships/hyperlink" Target="https://agenciadeaduanapirazzoli-my.sharepoint.com/:b:/g/personal/mmorales_pirazzoli_cl/IQA-0MAzekmCTqOn01gy3PpEAX0wS34rV3deTrRhw5odHZM?e=fvBZjC" TargetMode="External"/><Relationship Id="rId1242" Type="http://schemas.openxmlformats.org/officeDocument/2006/relationships/hyperlink" Target="https://agenciadeaduanapirazzoli-my.sharepoint.com/:b:/g/personal/mmorales_pirazzoli_cl/IQAyrPZnSQeOQKsbqjvDf8gXAYV_8_wB927UxHTKgBOKxgU?e=TE2tOm" TargetMode="External"/><Relationship Id="rId251" Type="http://schemas.openxmlformats.org/officeDocument/2006/relationships/hyperlink" Target="https://agenciadeaduanapirazzoli-my.sharepoint.com/:b:/g/personal/mmorales_pirazzoli_cl/IQBCoNgitfWOTqteZagmg-rOAXlr8Fx9r9vz8e-QyPx5Nj0?e=cCO24K" TargetMode="External"/><Relationship Id="rId489" Type="http://schemas.openxmlformats.org/officeDocument/2006/relationships/hyperlink" Target="https://agenciadeaduanapirazzoli-my.sharepoint.com/:b:/g/personal/mmorales_pirazzoli_cl/IQC0ylkroZS_TLcKaB6Z05iOARpeLuoE3VSMfnbIfoxB-Pw?e=Gw1CKf" TargetMode="External"/><Relationship Id="rId696" Type="http://schemas.openxmlformats.org/officeDocument/2006/relationships/hyperlink" Target="https://agenciadeaduanapirazzoli-my.sharepoint.com/:b:/g/personal/mmorales_pirazzoli_cl/IQAhUrG0BC6dSr9dQ12oArowAcNTS9W-Djh4HbE7CVC2RJo?e=1WoGj4" TargetMode="External"/><Relationship Id="rId917" Type="http://schemas.openxmlformats.org/officeDocument/2006/relationships/hyperlink" Target="https://agenciadeaduanapirazzoli-my.sharepoint.com/:b:/g/personal/mmorales_pirazzoli_cl/IQC6WJkg203eSJjQpE1PUA-VAb-4bOhAqyhyVohT5pxQPZ4?e=cOYeZH" TargetMode="External"/><Relationship Id="rId1102" Type="http://schemas.openxmlformats.org/officeDocument/2006/relationships/hyperlink" Target="https://agenciadeaduanapirazzoli-my.sharepoint.com/:b:/g/personal/mmorales_pirazzoli_cl/IQDwgYcM2keIRImzWNZH4K-oAYBWU7pxlRRiUIiexcx6jXI?e=MB9NSf" TargetMode="External"/><Relationship Id="rId46" Type="http://schemas.openxmlformats.org/officeDocument/2006/relationships/hyperlink" Target="https://agenciadeaduanapirazzoli-my.sharepoint.com/:b:/g/personal/mmorales_pirazzoli_cl/IQBGQN0NsAKqT7jQBJTb9c6QAWiU1xkCeqqEZLkBHpO_7q4?e=v2vZLC" TargetMode="External"/><Relationship Id="rId349" Type="http://schemas.openxmlformats.org/officeDocument/2006/relationships/hyperlink" Target="https://agenciadeaduanapirazzoli-my.sharepoint.com/:b:/g/personal/mmorales_pirazzoli_cl/IQBP9aFJPZr8Qq4rRa8q3dY_AeuDBf0rW3HWKnVAQBdoObc?e=BowA2X" TargetMode="External"/><Relationship Id="rId556" Type="http://schemas.openxmlformats.org/officeDocument/2006/relationships/hyperlink" Target="https://agenciadeaduanapirazzoli-my.sharepoint.com/:b:/g/personal/mmorales_pirazzoli_cl/IQBnCOfmNP73RYEU5HQ5dkOKAZPkvbbzTu2D9OlLLPkGwA8?e=Orj2oS" TargetMode="External"/><Relationship Id="rId763" Type="http://schemas.openxmlformats.org/officeDocument/2006/relationships/hyperlink" Target="https://agenciadeaduanapirazzoli-my.sharepoint.com/:b:/g/personal/mmorales_pirazzoli_cl/IQAavXhhsielTo9fi4n6088vAYznw23GylaYvLLrkcftJik?e=5CLyYd" TargetMode="External"/><Relationship Id="rId1186" Type="http://schemas.openxmlformats.org/officeDocument/2006/relationships/hyperlink" Target="https://agenciadeaduanapirazzoli-my.sharepoint.com/:b:/g/personal/mmorales_pirazzoli_cl/IQAQkkAqVYS8Sru-qJZ2gLo4Ac4S5HfE5ZRQNlyrQVO0nio?e=cAzYpt" TargetMode="External"/><Relationship Id="rId111" Type="http://schemas.openxmlformats.org/officeDocument/2006/relationships/hyperlink" Target="https://agenciadeaduanapirazzoli-my.sharepoint.com/:b:/g/personal/mmorales_pirazzoli_cl/IQDBhC1jeV-aS76Jg3rxSWfsAV7-HVkNFaRyq-B6Aow7ivY?e=mzj6NX" TargetMode="External"/><Relationship Id="rId195" Type="http://schemas.openxmlformats.org/officeDocument/2006/relationships/hyperlink" Target="https://agenciadeaduanapirazzoli-my.sharepoint.com/:b:/g/personal/mmorales_pirazzoli_cl/IQBwoR0eBmyuRLIJnFh7E923AVm82vJx45W0uE6XQgRT9YY?e=BVcRlV" TargetMode="External"/><Relationship Id="rId209" Type="http://schemas.openxmlformats.org/officeDocument/2006/relationships/hyperlink" Target="https://agenciadeaduanapirazzoli-my.sharepoint.com/:b:/g/personal/mmorales_pirazzoli_cl/IQDLEr6dWvHtSKBz_vPiuleqAVz_aDCtka1h_PSmTQOdnjo?e=2pgBgJ" TargetMode="External"/><Relationship Id="rId416" Type="http://schemas.openxmlformats.org/officeDocument/2006/relationships/hyperlink" Target="https://agenciadeaduanapirazzoli-my.sharepoint.com/:b:/g/personal/mmorales_pirazzoli_cl/IQCvAi49dySdQZLnM4VeoEOtAZfc9GuRtjx6nvL1wST6iVs?e=H7LZ9Q" TargetMode="External"/><Relationship Id="rId970" Type="http://schemas.openxmlformats.org/officeDocument/2006/relationships/hyperlink" Target="https://agenciadeaduanapirazzoli-my.sharepoint.com/:b:/g/personal/mmorales_pirazzoli_cl/IQCtwrM-Ti0_RYpkrgt09TRrARGUYCZIo42dSKSj8s_di74?e=iQ21Xi" TargetMode="External"/><Relationship Id="rId1046" Type="http://schemas.openxmlformats.org/officeDocument/2006/relationships/hyperlink" Target="https://agenciadeaduanapirazzoli-my.sharepoint.com/:b:/g/personal/mmorales_pirazzoli_cl/IQAmNCfT5Y_aQKwGWu0oQrQLAQQg5H1PWBsb6kdFyrSQZzQ?e=otz6hH" TargetMode="External"/><Relationship Id="rId1253" Type="http://schemas.openxmlformats.org/officeDocument/2006/relationships/hyperlink" Target="https://agenciadeaduanapirazzoli-my.sharepoint.com/:b:/g/personal/mmorales_pirazzoli_cl/IQCI5XvIfhmNSoW9K0g0I-0OAY7ZhlokL610IWyNwcSVnq8?e=yDgaWr" TargetMode="External"/><Relationship Id="rId623" Type="http://schemas.openxmlformats.org/officeDocument/2006/relationships/hyperlink" Target="https://agenciadeaduanapirazzoli-my.sharepoint.com/:b:/g/personal/mmorales_pirazzoli_cl/IQAaG1t6Y8L7SJEOIQb6NXVRASiiotiH4vxPkGB7Rp5msNM?e=PQi8zm" TargetMode="External"/><Relationship Id="rId830" Type="http://schemas.openxmlformats.org/officeDocument/2006/relationships/hyperlink" Target="https://agenciadeaduanapirazzoli-my.sharepoint.com/:b:/g/personal/mmorales_pirazzoli_cl/IQAGR0Fuij3nS60qmeED6NDLAYTHQxDzlQkISaszbZUDM7A?e=phJ4pT" TargetMode="External"/><Relationship Id="rId928" Type="http://schemas.openxmlformats.org/officeDocument/2006/relationships/hyperlink" Target="https://agenciadeaduanapirazzoli-my.sharepoint.com/:b:/g/personal/mmorales_pirazzoli_cl/IQCb84aco_rIS6lrTGPywp5SAT7ioys_fZa56oobfKZFZrE?e=KBzb0V" TargetMode="External"/><Relationship Id="rId57" Type="http://schemas.openxmlformats.org/officeDocument/2006/relationships/hyperlink" Target="https://agenciadeaduanapirazzoli-my.sharepoint.com/:b:/g/personal/mmorales_pirazzoli_cl/IQD5Hw2qIULfTaHBfoij8HHgAQT14PL04uusOX2LF_PbRdU?e=Be7YwE" TargetMode="External"/><Relationship Id="rId262" Type="http://schemas.openxmlformats.org/officeDocument/2006/relationships/hyperlink" Target="https://agenciadeaduanapirazzoli-my.sharepoint.com/:b:/g/personal/mmorales_pirazzoli_cl/IQBczKrT8SwTQ4xTM_Q1m1hGAbkHRubo31gSkWcSmkJ01U8?e=gMrqpd" TargetMode="External"/><Relationship Id="rId567" Type="http://schemas.openxmlformats.org/officeDocument/2006/relationships/hyperlink" Target="https://agenciadeaduanapirazzoli-my.sharepoint.com/:b:/g/personal/mmorales_pirazzoli_cl/IQCQKaRHDlRDSqTZ9UpnHMAeAc68L5HoP6CEkzFoFchuLKw?e=Sj5z2b" TargetMode="External"/><Relationship Id="rId1113" Type="http://schemas.openxmlformats.org/officeDocument/2006/relationships/hyperlink" Target="https://agenciadeaduanapirazzoli-my.sharepoint.com/:b:/g/personal/mmorales_pirazzoli_cl/IQD73hnhu1-yTJzEhv2p9ZxPAYN2QHAfc-poYPTpKDdjre4?e=FBaw1g" TargetMode="External"/><Relationship Id="rId1197" Type="http://schemas.openxmlformats.org/officeDocument/2006/relationships/hyperlink" Target="https://agenciadeaduanapirazzoli-my.sharepoint.com/:b:/g/personal/mmorales_pirazzoli_cl/IQDJGN0fHRdQTYuGlBLeWGrsAVL1DgV1VK1xVeVCnNLTkO8?e=fy92RJ" TargetMode="External"/><Relationship Id="rId122" Type="http://schemas.openxmlformats.org/officeDocument/2006/relationships/hyperlink" Target="https://agenciadeaduanapirazzoli-my.sharepoint.com/:b:/g/personal/mmorales_pirazzoli_cl/IQBPTx4ZNPq2TZkfexDXpZVgAX31CF4Us-o8Z-fkMq0Hcko?e=WvH67J" TargetMode="External"/><Relationship Id="rId774" Type="http://schemas.openxmlformats.org/officeDocument/2006/relationships/hyperlink" Target="https://agenciadeaduanapirazzoli-my.sharepoint.com/:b:/g/personal/mmorales_pirazzoli_cl/IQCl3LgkIRF3Qom1kF-7EIuJATQZF9ubvGI9gYkTwtVB4jk?e=DYWl9p" TargetMode="External"/><Relationship Id="rId981" Type="http://schemas.openxmlformats.org/officeDocument/2006/relationships/hyperlink" Target="https://agenciadeaduanapirazzoli-my.sharepoint.com/:b:/g/personal/mmorales_pirazzoli_cl/IQDQskpIM60dT6Grt8kuD7JdAQr5R3KfeO9cX2iz_SAhMoA?e=SckEGk" TargetMode="External"/><Relationship Id="rId1057" Type="http://schemas.openxmlformats.org/officeDocument/2006/relationships/hyperlink" Target="https://agenciadeaduanapirazzoli-my.sharepoint.com/:b:/g/personal/mmorales_pirazzoli_cl/IQBceQKa-Us5RYWFgGVg9N8OAZUf_Gw_rd4Olcqpq_f7AR0?e=zpXjy2" TargetMode="External"/><Relationship Id="rId427" Type="http://schemas.openxmlformats.org/officeDocument/2006/relationships/hyperlink" Target="https://agenciadeaduanapirazzoli-my.sharepoint.com/:b:/g/personal/mmorales_pirazzoli_cl/IQCdv6RwOYx8SLQn31PXvMFnAWaFqbiXuYUWMOaGzSSqBHQ?e=JE3EnD" TargetMode="External"/><Relationship Id="rId634" Type="http://schemas.openxmlformats.org/officeDocument/2006/relationships/hyperlink" Target="https://agenciadeaduanapirazzoli-my.sharepoint.com/:b:/g/personal/mmorales_pirazzoli_cl/IQDevh8xTDlsRKNUJGNPJgHWAXxdGbX8Tw_PgQGuqntrjQ0?e=mRNagl" TargetMode="External"/><Relationship Id="rId841" Type="http://schemas.openxmlformats.org/officeDocument/2006/relationships/hyperlink" Target="https://agenciadeaduanapirazzoli-my.sharepoint.com/:b:/g/personal/mmorales_pirazzoli_cl/IQDWiL9jY_HtT6mvzTlIjC_RAQQ1OAnKyUOqTBayh-1uUlo?e=jyfwwz" TargetMode="External"/><Relationship Id="rId1264" Type="http://schemas.openxmlformats.org/officeDocument/2006/relationships/hyperlink" Target="https://agenciadeaduanapirazzoli-my.sharepoint.com/:b:/g/personal/mmorales_pirazzoli_cl/IQBI0lped81EQa2xnvaH_wMzAavz9S3HUKxHer9uZ8_RjsU?e=b0KWH8" TargetMode="External"/><Relationship Id="rId273" Type="http://schemas.openxmlformats.org/officeDocument/2006/relationships/hyperlink" Target="https://agenciadeaduanapirazzoli-my.sharepoint.com/:b:/g/personal/mmorales_pirazzoli_cl/IQDGIYsuQWhURKNMn26VcTPOAQXXwhMaOniDT6gAKJujcMs?e=9W0mAr" TargetMode="External"/><Relationship Id="rId480" Type="http://schemas.openxmlformats.org/officeDocument/2006/relationships/hyperlink" Target="https://agenciadeaduanapirazzoli-my.sharepoint.com/:b:/g/personal/mmorales_pirazzoli_cl/IQCxP7sxQfYlQIy_wQFza8k6AS-BgPfdnBYZqRrxg_EY1T4?e=3hmdvO" TargetMode="External"/><Relationship Id="rId701" Type="http://schemas.openxmlformats.org/officeDocument/2006/relationships/hyperlink" Target="https://agenciadeaduanapirazzoli-my.sharepoint.com/:b:/g/personal/mmorales_pirazzoli_cl/IQDARLKZw_p_QYryQfkE6FXLAdrzTQVTsWjwz2eV5SlyPyY?e=e5eys0" TargetMode="External"/><Relationship Id="rId939" Type="http://schemas.openxmlformats.org/officeDocument/2006/relationships/hyperlink" Target="https://agenciadeaduanapirazzoli-my.sharepoint.com/:b:/g/personal/mmorales_pirazzoli_cl/IQAzBtlYrCUoTIeo_tWbLY-wATmruO2rpdgHFoyaQ7X5O-U?e=yNFaCX" TargetMode="External"/><Relationship Id="rId1124" Type="http://schemas.openxmlformats.org/officeDocument/2006/relationships/hyperlink" Target="https://agenciadeaduanapirazzoli-my.sharepoint.com/:b:/g/personal/mmorales_pirazzoli_cl/IQBl63bqDhGQT7YuV_QngM1-AW6UnJsEUgurBD854G4-I0Y?e=hh78fi" TargetMode="External"/><Relationship Id="rId68" Type="http://schemas.openxmlformats.org/officeDocument/2006/relationships/hyperlink" Target="https://agenciadeaduanapirazzoli-my.sharepoint.com/:b:/g/personal/mmorales_pirazzoli_cl/IQBwSCY8MqxtRKpkOG4g5xzaAd4jmSwjXib__lB4sLNEetk?e=xXAe4d" TargetMode="External"/><Relationship Id="rId133" Type="http://schemas.openxmlformats.org/officeDocument/2006/relationships/hyperlink" Target="https://agenciadeaduanapirazzoli-my.sharepoint.com/:b:/g/personal/mmorales_pirazzoli_cl/IQATChxFRffDQ6O8yvykV-_ZAYfQjX_6nEjHxKrt_lsi36Q?e=ycusqP" TargetMode="External"/><Relationship Id="rId340" Type="http://schemas.openxmlformats.org/officeDocument/2006/relationships/hyperlink" Target="https://agenciadeaduanapirazzoli-my.sharepoint.com/:b:/g/personal/mmorales_pirazzoli_cl/IQCBjjUsZQ2aQYcNIze2Z-SrAc55_In9jfEGdYzWg0D4XMI?e=Tdf0el" TargetMode="External"/><Relationship Id="rId578" Type="http://schemas.openxmlformats.org/officeDocument/2006/relationships/hyperlink" Target="https://agenciadeaduanapirazzoli-my.sharepoint.com/:b:/g/personal/mmorales_pirazzoli_cl/IQCwG9OGmodCQbqdwWZnK3icAbrqDEUp3UEt5TRKoMRT_ww?e=a0frF1" TargetMode="External"/><Relationship Id="rId785" Type="http://schemas.openxmlformats.org/officeDocument/2006/relationships/hyperlink" Target="https://agenciadeaduanapirazzoli-my.sharepoint.com/:b:/g/personal/mmorales_pirazzoli_cl/IQCmgQuS5IGdRLs1RSu93bf_AbGq06KdHK4I044kxZRIy68?e=HBN3x9" TargetMode="External"/><Relationship Id="rId992" Type="http://schemas.openxmlformats.org/officeDocument/2006/relationships/hyperlink" Target="https://agenciadeaduanapirazzoli-my.sharepoint.com/:b:/g/personal/mmorales_pirazzoli_cl/IQA_KUycD3aBRr4JOZ7YF-MMAWyP5r8DIYNxbll_mzTkI1c?e=fonl4L" TargetMode="External"/><Relationship Id="rId200" Type="http://schemas.openxmlformats.org/officeDocument/2006/relationships/hyperlink" Target="https://agenciadeaduanapirazzoli-my.sharepoint.com/:b:/g/personal/mmorales_pirazzoli_cl/IQDxUDIzSw5sSoXFkbBGMqv1AWjfwWcnV5-eA53vNoSHeMI?e=L5vZqD" TargetMode="External"/><Relationship Id="rId438" Type="http://schemas.openxmlformats.org/officeDocument/2006/relationships/hyperlink" Target="https://agenciadeaduanapirazzoli-my.sharepoint.com/:b:/g/personal/mmorales_pirazzoli_cl/IQD_R-LeqVKLQ5p48pWh9zEQAd_STzIGMD9j_0iWEaZnnYA?e=EuHjZN" TargetMode="External"/><Relationship Id="rId645" Type="http://schemas.openxmlformats.org/officeDocument/2006/relationships/hyperlink" Target="https://agenciadeaduanapirazzoli-my.sharepoint.com/:b:/g/personal/mmorales_pirazzoli_cl/IQDRMOYW0HITQKLrII_PQ2gsAYB23l34Z4a4b-1DZsWIc8Y?e=fFakNY" TargetMode="External"/><Relationship Id="rId852" Type="http://schemas.openxmlformats.org/officeDocument/2006/relationships/hyperlink" Target="https://agenciadeaduanapirazzoli-my.sharepoint.com/:b:/g/personal/mmorales_pirazzoli_cl/IQB6Q8UOySTNSZXXuO8Df0F5ASP3NJ-iQf2PNKv1Jw-ZcOk?e=pfBtT4" TargetMode="External"/><Relationship Id="rId1068" Type="http://schemas.openxmlformats.org/officeDocument/2006/relationships/hyperlink" Target="https://agenciadeaduanapirazzoli-my.sharepoint.com/:b:/g/personal/mmorales_pirazzoli_cl/IQDzY2Ny52dRSIF6-NyH4oj3ATXQGAfhOozTBb-eezCe1TY?e=mdX3d8" TargetMode="External"/><Relationship Id="rId1275" Type="http://schemas.openxmlformats.org/officeDocument/2006/relationships/hyperlink" Target="https://agenciadeaduanapirazzoli-my.sharepoint.com/:b:/g/personal/mmorales_pirazzoli_cl/IQBOOeJODmzvQrQETdVVh1MNAdQXA76wwQyu2Zyoo4AVD4A?e=FhAoM7" TargetMode="External"/><Relationship Id="rId284" Type="http://schemas.openxmlformats.org/officeDocument/2006/relationships/hyperlink" Target="https://agenciadeaduanapirazzoli-my.sharepoint.com/:b:/g/personal/mmorales_pirazzoli_cl/IQAxNR5Hwo56RK2lkN0bqnrIAROACo858VKEbX0grzsTh1E?e=fCNcuC" TargetMode="External"/><Relationship Id="rId491" Type="http://schemas.openxmlformats.org/officeDocument/2006/relationships/hyperlink" Target="https://agenciadeaduanapirazzoli-my.sharepoint.com/:b:/g/personal/mmorales_pirazzoli_cl/IQDXy1fSdQH7R6DRlmxxN6yUAYFgxyx9aX2tfYrzpK0lUhU?e=BZkA3u" TargetMode="External"/><Relationship Id="rId505" Type="http://schemas.openxmlformats.org/officeDocument/2006/relationships/hyperlink" Target="https://agenciadeaduanapirazzoli-my.sharepoint.com/:b:/g/personal/mmorales_pirazzoli_cl/IQCID87sGLdqTo14t8Ai0Bd1AYEK6vcrmEluVmCio6LyxR0?e=v0TSKt" TargetMode="External"/><Relationship Id="rId712" Type="http://schemas.openxmlformats.org/officeDocument/2006/relationships/hyperlink" Target="https://agenciadeaduanapirazzoli-my.sharepoint.com/:b:/g/personal/mmorales_pirazzoli_cl/IQCDLKXKoZRvSZJCLaIPOXSZARw_QUUeQ7LXv7gu9JjHstU?e=bBBQ0D" TargetMode="External"/><Relationship Id="rId1135" Type="http://schemas.openxmlformats.org/officeDocument/2006/relationships/hyperlink" Target="https://agenciadeaduanapirazzoli-my.sharepoint.com/:b:/g/personal/mmorales_pirazzoli_cl/IQB2xPOkRzefRo5CfgvgShnkAYB9UP_Twj6QMKZFGmcc7oQ?e=BlElKt" TargetMode="External"/><Relationship Id="rId79" Type="http://schemas.openxmlformats.org/officeDocument/2006/relationships/hyperlink" Target="https://agenciadeaduanapirazzoli-my.sharepoint.com/:b:/g/personal/mmorales_pirazzoli_cl/IQCy5lnGrqWHQ6fMOVb-_tilASlvqQ2oFL5Q4aNUuTpIkvo?e=Nkrpj6" TargetMode="External"/><Relationship Id="rId144" Type="http://schemas.openxmlformats.org/officeDocument/2006/relationships/hyperlink" Target="https://agenciadeaduanapirazzoli-my.sharepoint.com/:b:/g/personal/mmorales_pirazzoli_cl/IQDTyiH8kaayQJQMXj7b-1OOAZBOl8Iz1FWkYBydxki3cUM?e=8ZZkTk" TargetMode="External"/><Relationship Id="rId589" Type="http://schemas.openxmlformats.org/officeDocument/2006/relationships/hyperlink" Target="https://agenciadeaduanapirazzoli-my.sharepoint.com/:b:/g/personal/mmorales_pirazzoli_cl/IQBhZyoa6bE0T7LXkwrdjTc_AWuvz9xJ5mOqjhkozQt1urU?e=z0EpxZ" TargetMode="External"/><Relationship Id="rId796" Type="http://schemas.openxmlformats.org/officeDocument/2006/relationships/hyperlink" Target="https://agenciadeaduanapirazzoli-my.sharepoint.com/:b:/g/personal/mmorales_pirazzoli_cl/IQBxRlPq7QCWS6_O1CNVhzJHAYakLpoqzXQoTiPFnSL3xvw?e=I24f6J" TargetMode="External"/><Relationship Id="rId1202" Type="http://schemas.openxmlformats.org/officeDocument/2006/relationships/hyperlink" Target="https://agenciadeaduanapirazzoli-my.sharepoint.com/:b:/g/personal/mmorales_pirazzoli_cl/IQDfkEH2bOYZS5orrHQMiMvUAbHV57BD0NKAfaJj9Noir84?e=HSfRA2" TargetMode="External"/><Relationship Id="rId351" Type="http://schemas.openxmlformats.org/officeDocument/2006/relationships/hyperlink" Target="https://agenciadeaduanapirazzoli-my.sharepoint.com/:b:/g/personal/mmorales_pirazzoli_cl/IQA7mhEtFJywS5c2dWrNRDKOAeDB-QWBAHrD6Kd8Z-9LIVo?e=5fKMqP" TargetMode="External"/><Relationship Id="rId449" Type="http://schemas.openxmlformats.org/officeDocument/2006/relationships/hyperlink" Target="https://agenciadeaduanapirazzoli-my.sharepoint.com/:b:/g/personal/mmorales_pirazzoli_cl/IQBpLKpJjetLSpUJm6vW2XfBASjn0XkyUfswe8FQASi5FhU?e=xy3lNj" TargetMode="External"/><Relationship Id="rId656" Type="http://schemas.openxmlformats.org/officeDocument/2006/relationships/hyperlink" Target="https://agenciadeaduanapirazzoli-my.sharepoint.com/:b:/g/personal/mmorales_pirazzoli_cl/IQAX6W8CqbvLTaThPu5uNaLSAfu8aE7WReCig_O3j2_RVC0?e=Cex0X8" TargetMode="External"/><Relationship Id="rId863" Type="http://schemas.openxmlformats.org/officeDocument/2006/relationships/hyperlink" Target="https://agenciadeaduanapirazzoli-my.sharepoint.com/:b:/g/personal/mmorales_pirazzoli_cl/IQBp-_tHhlMRRpXKZmiafz_9AS2YBF0qKIfnUoYdfYXiTGk?e=ViJRcF" TargetMode="External"/><Relationship Id="rId1079" Type="http://schemas.openxmlformats.org/officeDocument/2006/relationships/hyperlink" Target="https://agenciadeaduanapirazzoli-my.sharepoint.com/:b:/g/personal/mmorales_pirazzoli_cl/IQALuQr4uuoJToI5QJaX66clAYUIockmGZ0tCCSGJXdG_zg?e=0iBTVi" TargetMode="External"/><Relationship Id="rId1286" Type="http://schemas.openxmlformats.org/officeDocument/2006/relationships/hyperlink" Target="https://agenciadeaduanapirazzoli-my.sharepoint.com/:b:/g/personal/mmorales_pirazzoli_cl/IQC7C6ESi3v1SK1eyXayZncKAYGC-g-AfSzkV7iEiLMl0rE?e=uF3Nxo" TargetMode="External"/><Relationship Id="rId211" Type="http://schemas.openxmlformats.org/officeDocument/2006/relationships/hyperlink" Target="https://agenciadeaduanapirazzoli-my.sharepoint.com/:b:/g/personal/mmorales_pirazzoli_cl/IQDpSesl1Y12Tpb4YxJHJA1fATGGEJ9IDbB-WISNfzFUFeM?e=qmKdRm" TargetMode="External"/><Relationship Id="rId295" Type="http://schemas.openxmlformats.org/officeDocument/2006/relationships/hyperlink" Target="https://agenciadeaduanapirazzoli-my.sharepoint.com/:b:/g/personal/mmorales_pirazzoli_cl/IQD4fey60HvpTLefmJaOCTbvATu2ibu9Eni1XVrsUaRJXgQ?e=qCcu0C" TargetMode="External"/><Relationship Id="rId309" Type="http://schemas.openxmlformats.org/officeDocument/2006/relationships/hyperlink" Target="https://agenciadeaduanapirazzoli-my.sharepoint.com/:b:/g/personal/mmorales_pirazzoli_cl/IQBNYv7-G12jQreq0NWxi71QAa8ag7S3wLoUck-UbXUlkQg?e=QUJ5xE" TargetMode="External"/><Relationship Id="rId516" Type="http://schemas.openxmlformats.org/officeDocument/2006/relationships/hyperlink" Target="https://agenciadeaduanapirazzoli-my.sharepoint.com/:b:/g/personal/mmorales_pirazzoli_cl/IQB1OZgjjpEHRaIu4lcecMSKAX3H2k25FOSlLwHCPd3aBHw?e=mYFEhk" TargetMode="External"/><Relationship Id="rId1146" Type="http://schemas.openxmlformats.org/officeDocument/2006/relationships/hyperlink" Target="https://agenciadeaduanapirazzoli-my.sharepoint.com/:b:/g/personal/mmorales_pirazzoli_cl/IQDwZ3A9PZkVTpe8BW5k0KASAYkmX4EBixqD2753-6_dxwg?e=4l5QRK" TargetMode="External"/><Relationship Id="rId723" Type="http://schemas.openxmlformats.org/officeDocument/2006/relationships/hyperlink" Target="https://agenciadeaduanapirazzoli-my.sharepoint.com/:b:/g/personal/mmorales_pirazzoli_cl/IQCe5CybD0huTJYkFZ1gd6FMAXsdhsu3oqok5erZc5bVV6Q?e=61jKn5" TargetMode="External"/><Relationship Id="rId930" Type="http://schemas.openxmlformats.org/officeDocument/2006/relationships/hyperlink" Target="https://agenciadeaduanapirazzoli-my.sharepoint.com/:b:/g/personal/mmorales_pirazzoli_cl/IQCIBKSVeuGGSaFUaV7JTqNnAVrkZ6ulADmSZ_tm8Xvrsig?e=fDwDD8" TargetMode="External"/><Relationship Id="rId1006" Type="http://schemas.openxmlformats.org/officeDocument/2006/relationships/hyperlink" Target="https://agenciadeaduanapirazzoli-my.sharepoint.com/:b:/g/personal/mmorales_pirazzoli_cl/IQD_rU4llrQdQab6YQPn5DDBAeVZJBXQuGz6j16U1Yc1XnM?e=p7mJmL" TargetMode="External"/><Relationship Id="rId155" Type="http://schemas.openxmlformats.org/officeDocument/2006/relationships/hyperlink" Target="https://agenciadeaduanapirazzoli-my.sharepoint.com/:b:/g/personal/mmorales_pirazzoli_cl/IQAB-vF79kQSR7yp-PAho10hAdnzzaKNA1rWJTsrPIRPrGY?e=dUofXz" TargetMode="External"/><Relationship Id="rId362" Type="http://schemas.openxmlformats.org/officeDocument/2006/relationships/hyperlink" Target="https://agenciadeaduanapirazzoli-my.sharepoint.com/:b:/g/personal/mmorales_pirazzoli_cl/IQAXz3XKsG5iSIKRD40iASqDARTeiyuWzCstIxzHWd5nW9k?e=8S2vVv" TargetMode="External"/><Relationship Id="rId1213" Type="http://schemas.openxmlformats.org/officeDocument/2006/relationships/hyperlink" Target="https://agenciadeaduanapirazzoli-my.sharepoint.com/:b:/g/personal/mmorales_pirazzoli_cl/IQBvYbaUqMqcTqjwr4Ib3gdyAY7siLnAonSqNpSSvgogIXM?e=ghTfmw" TargetMode="External"/><Relationship Id="rId1297" Type="http://schemas.openxmlformats.org/officeDocument/2006/relationships/hyperlink" Target="https://agenciadeaduanapirazzoli-my.sharepoint.com/:b:/g/personal/mmorales_pirazzoli_cl/IQAfOzT7k9ptQqnMQN0H7l9eAbtdBAx3jxTz5B4M01Gx43s?e=0fNmT3" TargetMode="External"/><Relationship Id="rId222" Type="http://schemas.openxmlformats.org/officeDocument/2006/relationships/hyperlink" Target="https://agenciadeaduanapirazzoli-my.sharepoint.com/:b:/g/personal/mmorales_pirazzoli_cl/IQAT0v40xaYaR5ke7MGdcDqCAQ2M1-G-sRi4BWIMpi7sjU8?e=iOWBwp" TargetMode="External"/><Relationship Id="rId667" Type="http://schemas.openxmlformats.org/officeDocument/2006/relationships/hyperlink" Target="https://agenciadeaduanapirazzoli-my.sharepoint.com/:b:/g/personal/mmorales_pirazzoli_cl/IQCWBQbC_dssQKtvJFWY62v9ATjYqcxGEXexZ8kBvPAVKB0?e=GDh0ph" TargetMode="External"/><Relationship Id="rId874" Type="http://schemas.openxmlformats.org/officeDocument/2006/relationships/hyperlink" Target="https://agenciadeaduanapirazzoli-my.sharepoint.com/:b:/g/personal/mmorales_pirazzoli_cl/IQDZTucu8B_dSqlQ5o_Cr7vmAc6O4T4r6Hu4Tsgz9Tyzp_Q?e=PEce6u" TargetMode="External"/><Relationship Id="rId17" Type="http://schemas.openxmlformats.org/officeDocument/2006/relationships/hyperlink" Target="https://agenciadeaduanapirazzoli-my.sharepoint.com/:b:/g/personal/mmorales_pirazzoli_cl/IQDZs4GKLp2fQado45F4Fxy5Aa7OPHl_02le3gpvfqQWmSo?e=IlJPSr" TargetMode="External"/><Relationship Id="rId527" Type="http://schemas.openxmlformats.org/officeDocument/2006/relationships/hyperlink" Target="https://agenciadeaduanapirazzoli-my.sharepoint.com/:b:/g/personal/mmorales_pirazzoli_cl/IQBxLKKtjDMrRILG1NUTdKJwATbzeh89Fiwuw44NDp6HUMc?e=LQV0V0" TargetMode="External"/><Relationship Id="rId734" Type="http://schemas.openxmlformats.org/officeDocument/2006/relationships/hyperlink" Target="https://agenciadeaduanapirazzoli-my.sharepoint.com/:b:/g/personal/mmorales_pirazzoli_cl/IQA9uyK7lp1OTYuqb03Nnc0NAU9vworjN66CxqrzWvzDPjU?e=7EfL9S" TargetMode="External"/><Relationship Id="rId941" Type="http://schemas.openxmlformats.org/officeDocument/2006/relationships/hyperlink" Target="https://agenciadeaduanapirazzoli-my.sharepoint.com/:b:/g/personal/mmorales_pirazzoli_cl/IQAWzU80zMT4TpOH_HKTxKDHAaV0J_M_f-DNWumc_guH5X4?e=7TacwR" TargetMode="External"/><Relationship Id="rId1157" Type="http://schemas.openxmlformats.org/officeDocument/2006/relationships/hyperlink" Target="https://agenciadeaduanapirazzoli-my.sharepoint.com/:b:/g/personal/mmorales_pirazzoli_cl/IQAdMfA3XTnIRpW7HN7zsSnbAcf39mkXyIXQQ8nrNiTFOjc?e=8rFXn9" TargetMode="External"/><Relationship Id="rId70" Type="http://schemas.openxmlformats.org/officeDocument/2006/relationships/hyperlink" Target="https://agenciadeaduanapirazzoli-my.sharepoint.com/:b:/g/personal/mmorales_pirazzoli_cl/IQC4Negn-QHdSKkZYorObLGOAVAP56t0wo7aX1K2tqbxOc8?e=DEnC4J" TargetMode="External"/><Relationship Id="rId166" Type="http://schemas.openxmlformats.org/officeDocument/2006/relationships/hyperlink" Target="https://agenciadeaduanapirazzoli-my.sharepoint.com/:b:/g/personal/mmorales_pirazzoli_cl/IQC5Dcrg33ZoR5yaToQwPuRhAXr8x9tvL_QCBphLsTEpmGE?e=P6AHAP" TargetMode="External"/><Relationship Id="rId373" Type="http://schemas.openxmlformats.org/officeDocument/2006/relationships/hyperlink" Target="https://agenciadeaduanapirazzoli-my.sharepoint.com/:b:/g/personal/mmorales_pirazzoli_cl/IQCJv_lZWxEwS5A8J9g2BHIhAYeSxBY4UyjoQAH44hSUxn8?e=uDW4Vn" TargetMode="External"/><Relationship Id="rId580" Type="http://schemas.openxmlformats.org/officeDocument/2006/relationships/hyperlink" Target="https://agenciadeaduanapirazzoli-my.sharepoint.com/:b:/g/personal/mmorales_pirazzoli_cl/IQCm5rUrLWEST4Yb9Sg-tX4PAUZcsAb5yw4c0w0klNNKUhw?e=z2yqKd" TargetMode="External"/><Relationship Id="rId801" Type="http://schemas.openxmlformats.org/officeDocument/2006/relationships/hyperlink" Target="https://agenciadeaduanapirazzoli-my.sharepoint.com/:b:/g/personal/mmorales_pirazzoli_cl/IQAxjPDn_B87Q47H1zKlWCroATDpl5fGN40qJkW-doqdlPE?e=RSl56s" TargetMode="External"/><Relationship Id="rId1017" Type="http://schemas.openxmlformats.org/officeDocument/2006/relationships/hyperlink" Target="https://agenciadeaduanapirazzoli-my.sharepoint.com/:b:/g/personal/mmorales_pirazzoli_cl/IQALo5PESdCFTbCjIZMOoJ8pAZiHqdKPjUcpKUK6ko5XTzg?e=PDoeNz" TargetMode="External"/><Relationship Id="rId1224" Type="http://schemas.openxmlformats.org/officeDocument/2006/relationships/hyperlink" Target="https://agenciadeaduanapirazzoli-my.sharepoint.com/:b:/g/personal/mmorales_pirazzoli_cl/IQCnffffA9kFQ68EzA2LQ6uLAYjL_sLtKOmGWWMiPDctgs0?e=TNzU07" TargetMode="External"/><Relationship Id="rId1" Type="http://schemas.openxmlformats.org/officeDocument/2006/relationships/hyperlink" Target="https://agenciadeaduanapirazzoli-my.sharepoint.com/:b:/g/personal/mmorales_pirazzoli_cl/IQDUHPOni-f1T4o31UFfBd_YAeQ2MQ02qmkdSSfHmsuJiZI?e=C1rUBg" TargetMode="External"/><Relationship Id="rId233" Type="http://schemas.openxmlformats.org/officeDocument/2006/relationships/hyperlink" Target="https://agenciadeaduanapirazzoli-my.sharepoint.com/:b:/g/personal/mmorales_pirazzoli_cl/IQBU87bFj6GDR7wu6tLGWkmWASrvceNtYqJIjmrW35c3MsU?e=yja6N8" TargetMode="External"/><Relationship Id="rId440" Type="http://schemas.openxmlformats.org/officeDocument/2006/relationships/hyperlink" Target="https://agenciadeaduanapirazzoli-my.sharepoint.com/:b:/g/personal/mmorales_pirazzoli_cl/IQBbD-Ckvr9XR4xy7vyY6kYUATXE76RQGDu6GfLfjlVhrUQ?e=8skUer" TargetMode="External"/><Relationship Id="rId678" Type="http://schemas.openxmlformats.org/officeDocument/2006/relationships/hyperlink" Target="https://agenciadeaduanapirazzoli-my.sharepoint.com/:b:/g/personal/mmorales_pirazzoli_cl/IQB6uvnk6Qg4SpDxw25F2QtKAa9B6RKUNtRj32pzvt60GH0?e=psRFER" TargetMode="External"/><Relationship Id="rId885" Type="http://schemas.openxmlformats.org/officeDocument/2006/relationships/hyperlink" Target="https://agenciadeaduanapirazzoli-my.sharepoint.com/:b:/g/personal/mmorales_pirazzoli_cl/IQA1C1S5rTGGTaNFuaDj8yKTARRkFjztuoXr2HEbHuNVBN8?e=N8R8t7" TargetMode="External"/><Relationship Id="rId1070" Type="http://schemas.openxmlformats.org/officeDocument/2006/relationships/hyperlink" Target="https://agenciadeaduanapirazzoli-my.sharepoint.com/:b:/g/personal/mmorales_pirazzoli_cl/IQC0jOSqnaUFTZ5W5Wx7KkK1AWskkPB0h1q9sdZXz3I2K0w?e=bQoSph" TargetMode="External"/><Relationship Id="rId28" Type="http://schemas.openxmlformats.org/officeDocument/2006/relationships/hyperlink" Target="https://agenciadeaduanapirazzoli-my.sharepoint.com/:b:/g/personal/mmorales_pirazzoli_cl/IQCI8VRy1bFATaW8DhQLXpm0AWzO00pdd2ZrOCpjiwpebYk?e=NvTFw2" TargetMode="External"/><Relationship Id="rId300" Type="http://schemas.openxmlformats.org/officeDocument/2006/relationships/hyperlink" Target="https://agenciadeaduanapirazzoli-my.sharepoint.com/:b:/g/personal/mmorales_pirazzoli_cl/IQA8DPcse6XuRL3U0NkqDCfjAU5WuUHYlsGX1Hws9OKTBSs?e=28jd8Q" TargetMode="External"/><Relationship Id="rId538" Type="http://schemas.openxmlformats.org/officeDocument/2006/relationships/hyperlink" Target="https://agenciadeaduanapirazzoli-my.sharepoint.com/:b:/g/personal/mmorales_pirazzoli_cl/IQCbUoze56yvTo-v8cvmqUq9AYeD9E56t9CxhroIZYGPmu4?e=XVt8aw" TargetMode="External"/><Relationship Id="rId745" Type="http://schemas.openxmlformats.org/officeDocument/2006/relationships/hyperlink" Target="https://agenciadeaduanapirazzoli-my.sharepoint.com/:b:/g/personal/mmorales_pirazzoli_cl/IQB9IO6lYW5-S4S5gnY8AWghAYZXWb0llnzDeUBJoWKsTBQ?e=fsOwed" TargetMode="External"/><Relationship Id="rId952" Type="http://schemas.openxmlformats.org/officeDocument/2006/relationships/hyperlink" Target="https://agenciadeaduanapirazzoli-my.sharepoint.com/:b:/g/personal/mmorales_pirazzoli_cl/IQALrpV973rUQZiryEWhKgc6AVSIDhpkKHFT3iJOI9aqE-Y?e=m62Tok" TargetMode="External"/><Relationship Id="rId1168" Type="http://schemas.openxmlformats.org/officeDocument/2006/relationships/hyperlink" Target="https://agenciadeaduanapirazzoli-my.sharepoint.com/:b:/g/personal/mmorales_pirazzoli_cl/IQDW3zDEru3bQJvKW6_iKmjOAZT2HqkzNUfcSniTwjOB36c?e=2zBUJH" TargetMode="External"/><Relationship Id="rId81" Type="http://schemas.openxmlformats.org/officeDocument/2006/relationships/hyperlink" Target="https://agenciadeaduanapirazzoli-my.sharepoint.com/:b:/g/personal/mmorales_pirazzoli_cl/IQCcT5QUFMSSQ6YqPBx0_M7rAe5TOX2Et062QkgDC20jHRw?e=hVf11Z" TargetMode="External"/><Relationship Id="rId177" Type="http://schemas.openxmlformats.org/officeDocument/2006/relationships/hyperlink" Target="https://agenciadeaduanapirazzoli-my.sharepoint.com/:b:/g/personal/mmorales_pirazzoli_cl/IQB_VZ3-ODHBTr6Bka_ecyfvAUo7cV_faN5rJYmvWABA4s4?e=PpjyeD" TargetMode="External"/><Relationship Id="rId384" Type="http://schemas.openxmlformats.org/officeDocument/2006/relationships/hyperlink" Target="https://agenciadeaduanapirazzoli-my.sharepoint.com/:b:/g/personal/mmorales_pirazzoli_cl/IQABmx68YvM6QoYAwBjCuolNAX6ScOQoofMd5w_jgw-7OXA?e=crVaeh" TargetMode="External"/><Relationship Id="rId591" Type="http://schemas.openxmlformats.org/officeDocument/2006/relationships/hyperlink" Target="https://agenciadeaduanapirazzoli-my.sharepoint.com/:b:/g/personal/mmorales_pirazzoli_cl/IQBQY05DKt4MRLZe9kAsY7fMAY38AGL_phRKcQwa_hX8zpc?e=UzgO8F" TargetMode="External"/><Relationship Id="rId605" Type="http://schemas.openxmlformats.org/officeDocument/2006/relationships/hyperlink" Target="https://agenciadeaduanapirazzoli-my.sharepoint.com/:b:/g/personal/mmorales_pirazzoli_cl/IQAw3KYp1B8hQ7n9KUNrKus8AUVd8daeLrJ671cqRw_xdDg?e=xbGqAS" TargetMode="External"/><Relationship Id="rId812" Type="http://schemas.openxmlformats.org/officeDocument/2006/relationships/hyperlink" Target="https://agenciadeaduanapirazzoli-my.sharepoint.com/:b:/g/personal/mmorales_pirazzoli_cl/IQCLYtsHEU6jQZT6fIFcENrMAfTbUnn-lMgHpOHmvItGJrs?e=n19jtJ" TargetMode="External"/><Relationship Id="rId1028" Type="http://schemas.openxmlformats.org/officeDocument/2006/relationships/hyperlink" Target="https://agenciadeaduanapirazzoli-my.sharepoint.com/:b:/g/personal/mmorales_pirazzoli_cl/IQDwPCWcxGjKRIECqFdns6HmAXja4aRzoSd6xPeqpaH_D7c?e=PG0qcf" TargetMode="External"/><Relationship Id="rId1235" Type="http://schemas.openxmlformats.org/officeDocument/2006/relationships/hyperlink" Target="https://agenciadeaduanapirazzoli-my.sharepoint.com/:b:/g/personal/mmorales_pirazzoli_cl/IQBGzZO5fzvUQ4diklCQmjkfAaZxRsGuefM1pN6zIdL46XQ?e=Mhp5wB" TargetMode="External"/><Relationship Id="rId244" Type="http://schemas.openxmlformats.org/officeDocument/2006/relationships/hyperlink" Target="https://agenciadeaduanapirazzoli-my.sharepoint.com/:b:/g/personal/mmorales_pirazzoli_cl/IQDFMc2OxGmEQZWo5N2ixmn8AR9wtlsbOjN-0rMs8AImveE?e=2Q6Qsd" TargetMode="External"/><Relationship Id="rId689" Type="http://schemas.openxmlformats.org/officeDocument/2006/relationships/hyperlink" Target="https://agenciadeaduanapirazzoli-my.sharepoint.com/:b:/g/personal/mmorales_pirazzoli_cl/IQA4CjwFraJVRJqcOl_6jOKnAedgp89EYMt2JGhKVd-i6Aw?e=faftV5" TargetMode="External"/><Relationship Id="rId896" Type="http://schemas.openxmlformats.org/officeDocument/2006/relationships/hyperlink" Target="https://agenciadeaduanapirazzoli-my.sharepoint.com/:b:/g/personal/mmorales_pirazzoli_cl/IQApvFU8e0VpQZ7psPt8wyEgASX2Qze4imteXQK9PHiTN1Y?e=KRozZR" TargetMode="External"/><Relationship Id="rId1081" Type="http://schemas.openxmlformats.org/officeDocument/2006/relationships/hyperlink" Target="https://agenciadeaduanapirazzoli-my.sharepoint.com/:b:/g/personal/mmorales_pirazzoli_cl/IQBVBG_F5uFZTYf2R9KV4_G8ARv4fAtOGA6-_rZ2NE3m0OU?e=9lMymL" TargetMode="External"/><Relationship Id="rId1302" Type="http://schemas.openxmlformats.org/officeDocument/2006/relationships/vmlDrawing" Target="../drawings/vmlDrawing1.vml"/><Relationship Id="rId39" Type="http://schemas.openxmlformats.org/officeDocument/2006/relationships/hyperlink" Target="https://agenciadeaduanapirazzoli-my.sharepoint.com/:b:/g/personal/mmorales_pirazzoli_cl/IQDhchmjj9XLRZ7KvynxZAQ7ARbx7emBC5Bt1kEOKVtFnxo?e=jbAyfy" TargetMode="External"/><Relationship Id="rId451" Type="http://schemas.openxmlformats.org/officeDocument/2006/relationships/hyperlink" Target="https://agenciadeaduanapirazzoli-my.sharepoint.com/:b:/g/personal/mmorales_pirazzoli_cl/IQC8TkeyPqffQYXAzlTaVz4WASnuxzUVm0peUu78S_rVQoM?e=KhrkYX" TargetMode="External"/><Relationship Id="rId549" Type="http://schemas.openxmlformats.org/officeDocument/2006/relationships/hyperlink" Target="https://agenciadeaduanapirazzoli-my.sharepoint.com/:b:/g/personal/mmorales_pirazzoli_cl/IQDRqy6P9V-HSbCOtz9uI8wMAfW79ZN8UFhQVe1X4yJaNFM?e=PkvrvN" TargetMode="External"/><Relationship Id="rId756" Type="http://schemas.openxmlformats.org/officeDocument/2006/relationships/hyperlink" Target="https://agenciadeaduanapirazzoli-my.sharepoint.com/:b:/g/personal/mmorales_pirazzoli_cl/IQDsalhT_KkzRrNfXeEFHg-8AXO6VkMjHaZMpdsbO8C8iBo?e=PQrKme" TargetMode="External"/><Relationship Id="rId1179" Type="http://schemas.openxmlformats.org/officeDocument/2006/relationships/hyperlink" Target="https://agenciadeaduanapirazzoli-my.sharepoint.com/:b:/g/personal/mmorales_pirazzoli_cl/IQBkPwjq7QXrR5DNtNJZiEyzAYL5VODfJTwEJkL1UkNhlsU?e=ru2VAB" TargetMode="External"/><Relationship Id="rId104" Type="http://schemas.openxmlformats.org/officeDocument/2006/relationships/hyperlink" Target="https://agenciadeaduanapirazzoli-my.sharepoint.com/:b:/g/personal/mmorales_pirazzoli_cl/IQAgd-fXueH4RJ8R2Kfpsj83AYMXFmw1bW_MZPJ6fbVGUvE?e=aHJbJn" TargetMode="External"/><Relationship Id="rId188" Type="http://schemas.openxmlformats.org/officeDocument/2006/relationships/hyperlink" Target="https://agenciadeaduanapirazzoli-my.sharepoint.com/:b:/g/personal/mmorales_pirazzoli_cl/IQC5FXC7J_yMRboS0PN1s_VIASvOUZIM3GviLCYjNWglI_U?e=wdvNtg" TargetMode="External"/><Relationship Id="rId311" Type="http://schemas.openxmlformats.org/officeDocument/2006/relationships/hyperlink" Target="https://agenciadeaduanapirazzoli-my.sharepoint.com/:b:/g/personal/mmorales_pirazzoli_cl/IQD80lAnQVJ9SJ6EcSn5B5_DAaji2IjQAk8co1TevRzZhas?e=T567tf" TargetMode="External"/><Relationship Id="rId395" Type="http://schemas.openxmlformats.org/officeDocument/2006/relationships/hyperlink" Target="https://agenciadeaduanapirazzoli-my.sharepoint.com/:b:/g/personal/mmorales_pirazzoli_cl/IQBAGdnFE4j-QoqPzJt1ICssAfTAiZ46V-CpncBppzHcfsE?e=dHx98y" TargetMode="External"/><Relationship Id="rId409" Type="http://schemas.openxmlformats.org/officeDocument/2006/relationships/hyperlink" Target="https://agenciadeaduanapirazzoli-my.sharepoint.com/:b:/g/personal/mmorales_pirazzoli_cl/IQA8nG4CTCCHSZbBl915ijVYAetTBRYj2HOcYRxY0LbjsLw?e=4AMbqG" TargetMode="External"/><Relationship Id="rId963" Type="http://schemas.openxmlformats.org/officeDocument/2006/relationships/hyperlink" Target="https://agenciadeaduanapirazzoli-my.sharepoint.com/:b:/g/personal/mmorales_pirazzoli_cl/IQDBC4wOzO0fRbrzMtoBLgQ3AZCWOvhFPyuBZrHimgPaPxQ?e=Gp49AN" TargetMode="External"/><Relationship Id="rId1039" Type="http://schemas.openxmlformats.org/officeDocument/2006/relationships/hyperlink" Target="https://agenciadeaduanapirazzoli-my.sharepoint.com/:b:/g/personal/mmorales_pirazzoli_cl/IQDuDHwj0vRHS7yir6IsCgFPAS_ff1TrjV4wdF-q6Ku0R8I?e=8RAJUE" TargetMode="External"/><Relationship Id="rId1246" Type="http://schemas.openxmlformats.org/officeDocument/2006/relationships/hyperlink" Target="https://agenciadeaduanapirazzoli-my.sharepoint.com/:b:/g/personal/mmorales_pirazzoli_cl/IQAaTFSaUMYnTILyhqoTuonCAXU1taMV1TNMAUQ1qxxN6gM?e=grh0tz" TargetMode="External"/><Relationship Id="rId92" Type="http://schemas.openxmlformats.org/officeDocument/2006/relationships/hyperlink" Target="https://agenciadeaduanapirazzoli-my.sharepoint.com/:b:/g/personal/mmorales_pirazzoli_cl/IQBalDVWetSeSLU9F3ftQUIPAWaBaCr_iGYGap7-yUIzxvU?e=sP4SQn" TargetMode="External"/><Relationship Id="rId616" Type="http://schemas.openxmlformats.org/officeDocument/2006/relationships/hyperlink" Target="https://agenciadeaduanapirazzoli-my.sharepoint.com/:b:/g/personal/mmorales_pirazzoli_cl/IQDFrL8pE8e7QpXvsG_FAhrqAWSXVfYeK0GYsmBml1qyIsA?e=BxZ0lP" TargetMode="External"/><Relationship Id="rId823" Type="http://schemas.openxmlformats.org/officeDocument/2006/relationships/hyperlink" Target="https://agenciadeaduanapirazzoli-my.sharepoint.com/:b:/g/personal/mmorales_pirazzoli_cl/IQBlrO1VJ56UQaZdf1lJbNL4AVfrev37lRKht26p_hQMMP0?e=9QywPZ" TargetMode="External"/><Relationship Id="rId255" Type="http://schemas.openxmlformats.org/officeDocument/2006/relationships/hyperlink" Target="https://agenciadeaduanapirazzoli-my.sharepoint.com/:b:/g/personal/mmorales_pirazzoli_cl/IQCNj8wdq_dzQJc5T0YUN8Z3AY1JGt4XJTVII4Q6XXPNU-I?e=xG5xGA" TargetMode="External"/><Relationship Id="rId462" Type="http://schemas.openxmlformats.org/officeDocument/2006/relationships/hyperlink" Target="https://agenciadeaduanapirazzoli-my.sharepoint.com/:b:/g/personal/mmorales_pirazzoli_cl/IQAnsNYEfFNVT7xrzFbbhM1TAe3-XK7AQxLg5khkubfCuso?e=HVCF1n" TargetMode="External"/><Relationship Id="rId1092" Type="http://schemas.openxmlformats.org/officeDocument/2006/relationships/hyperlink" Target="https://agenciadeaduanapirazzoli-my.sharepoint.com/:b:/g/personal/mmorales_pirazzoli_cl/IQCd947ta2hVTbVrMDdgXSLxAfGB8wtMkJs00y17QVGfj3w?e=43t2eF" TargetMode="External"/><Relationship Id="rId1106" Type="http://schemas.openxmlformats.org/officeDocument/2006/relationships/hyperlink" Target="https://agenciadeaduanapirazzoli-my.sharepoint.com/:b:/g/personal/mmorales_pirazzoli_cl/IQDc0c6IcYKOQql7hv-Mj8mwAUE5SOl1op9WGHfdUW-S89w?e=lwUURg" TargetMode="External"/><Relationship Id="rId115" Type="http://schemas.openxmlformats.org/officeDocument/2006/relationships/hyperlink" Target="https://agenciadeaduanapirazzoli-my.sharepoint.com/:b:/g/personal/mmorales_pirazzoli_cl/IQBUE5iFWsdZSoMjXBrQeS4KAW54EkssGg4ClJGGVD8Mm_Y?e=olN74K" TargetMode="External"/><Relationship Id="rId322" Type="http://schemas.openxmlformats.org/officeDocument/2006/relationships/hyperlink" Target="https://agenciadeaduanapirazzoli-my.sharepoint.com/:b:/g/personal/mmorales_pirazzoli_cl/IQBYkLsrJ8G0QJuDlhCjmATlAYyWQ6reh7WOAMW78MAkpxE?e=PEyD9R" TargetMode="External"/><Relationship Id="rId767" Type="http://schemas.openxmlformats.org/officeDocument/2006/relationships/hyperlink" Target="https://agenciadeaduanapirazzoli-my.sharepoint.com/:b:/g/personal/mmorales_pirazzoli_cl/IQAjZuqn8vfTR5PMixrQ0zEkAczRg7qcodfOgq9vKNLOks4?e=Q0dfku" TargetMode="External"/><Relationship Id="rId974" Type="http://schemas.openxmlformats.org/officeDocument/2006/relationships/hyperlink" Target="https://agenciadeaduanapirazzoli-my.sharepoint.com/:b:/g/personal/mmorales_pirazzoli_cl/IQBf8u3i387jSaD2VLpenRcUAdXKukoavVEiVI3y5M-7h44?e=oxfKAY" TargetMode="External"/><Relationship Id="rId199" Type="http://schemas.openxmlformats.org/officeDocument/2006/relationships/hyperlink" Target="https://agenciadeaduanapirazzoli-my.sharepoint.com/:b:/g/personal/mmorales_pirazzoli_cl/IQALFEV0iMRGRbx9hgz_tP5CAatazFz16qKJ3z3-D5KegIg?e=dcxYVr" TargetMode="External"/><Relationship Id="rId627" Type="http://schemas.openxmlformats.org/officeDocument/2006/relationships/hyperlink" Target="https://agenciadeaduanapirazzoli-my.sharepoint.com/:b:/g/personal/mmorales_pirazzoli_cl/IQAvEx3wMakHTrCDrGfj0QulAfb8e8JN32twUIYLXjYXH8A?e=SgL7Am" TargetMode="External"/><Relationship Id="rId834" Type="http://schemas.openxmlformats.org/officeDocument/2006/relationships/hyperlink" Target="https://agenciadeaduanapirazzoli-my.sharepoint.com/:b:/g/personal/mmorales_pirazzoli_cl/IQBwU923sQ0aRY3-_1btn-GrAVBVgu20sAfKj_sIr55WrAo?e=KU8GSZ" TargetMode="External"/><Relationship Id="rId1257" Type="http://schemas.openxmlformats.org/officeDocument/2006/relationships/hyperlink" Target="https://agenciadeaduanapirazzoli-my.sharepoint.com/:b:/g/personal/mmorales_pirazzoli_cl/IQC-DWmlQWehT6U8-FDdxz3GAfrsv5Zp-EbWDbtfgaWJxmQ?e=hgRagy" TargetMode="External"/><Relationship Id="rId266" Type="http://schemas.openxmlformats.org/officeDocument/2006/relationships/hyperlink" Target="https://agenciadeaduanapirazzoli-my.sharepoint.com/:b:/g/personal/mmorales_pirazzoli_cl/IQBw4zV5CpWBQJc5Xu1XBCULATLxwAZ_DMdzYWYoIoBG3HM?e=sYJEjs" TargetMode="External"/><Relationship Id="rId473" Type="http://schemas.openxmlformats.org/officeDocument/2006/relationships/hyperlink" Target="https://agenciadeaduanapirazzoli-my.sharepoint.com/:b:/g/personal/mmorales_pirazzoli_cl/IQAgTJ6K43OpQZJalnEgpqsNATq1XntJRjflh3Oydy5sfrc?e=f49xjt" TargetMode="External"/><Relationship Id="rId680" Type="http://schemas.openxmlformats.org/officeDocument/2006/relationships/hyperlink" Target="https://agenciadeaduanapirazzoli-my.sharepoint.com/:b:/g/personal/mmorales_pirazzoli_cl/IQBWXyfeKChTRLK2uE2VJGR4AbRyYdTWtpe3sR7wyqszjNE?e=6GKVAs" TargetMode="External"/><Relationship Id="rId901" Type="http://schemas.openxmlformats.org/officeDocument/2006/relationships/hyperlink" Target="https://agenciadeaduanapirazzoli-my.sharepoint.com/:b:/g/personal/mmorales_pirazzoli_cl/IQCGnuRl2Kw3QZaSYbKGu6IbAUQX5I1C7-NLnI0xBNcpDV4?e=CbGVvr" TargetMode="External"/><Relationship Id="rId1117" Type="http://schemas.openxmlformats.org/officeDocument/2006/relationships/hyperlink" Target="https://agenciadeaduanapirazzoli-my.sharepoint.com/:b:/g/personal/mmorales_pirazzoli_cl/IQDFCs3G7EpAQ7D0K21qkOszAX0XswxpUuH5iE442dxf1BE?e=E1toep" TargetMode="External"/><Relationship Id="rId30" Type="http://schemas.openxmlformats.org/officeDocument/2006/relationships/hyperlink" Target="https://agenciadeaduanapirazzoli-my.sharepoint.com/:b:/g/personal/mmorales_pirazzoli_cl/IQDouOrYD6SxQ7h3YoWZcvaxAXvAwb8oIq9rvtsMgTDpprI?e=RRylY5" TargetMode="External"/><Relationship Id="rId126" Type="http://schemas.openxmlformats.org/officeDocument/2006/relationships/hyperlink" Target="https://agenciadeaduanapirazzoli-my.sharepoint.com/:b:/g/personal/mmorales_pirazzoli_cl/IQA_U4dVEIEqQrw5cJGYFkSAASWSV7DyxpgPT9SpeaH7fL0?e=zZG8xs" TargetMode="External"/><Relationship Id="rId333" Type="http://schemas.openxmlformats.org/officeDocument/2006/relationships/hyperlink" Target="https://agenciadeaduanapirazzoli-my.sharepoint.com/:b:/g/personal/mmorales_pirazzoli_cl/IQBFNXrkLZAgSaM1O1c5OVqzAbXSY9u3pF9M7KG5mXMr-NA?e=wZtWeD" TargetMode="External"/><Relationship Id="rId540" Type="http://schemas.openxmlformats.org/officeDocument/2006/relationships/hyperlink" Target="https://agenciadeaduanapirazzoli-my.sharepoint.com/:b:/g/personal/mmorales_pirazzoli_cl/IQCcJmYd_byWRIG2OUnE1ylSATS8JVzjpnRr-_5FDKm7n30?e=exBNaV" TargetMode="External"/><Relationship Id="rId778" Type="http://schemas.openxmlformats.org/officeDocument/2006/relationships/hyperlink" Target="https://agenciadeaduanapirazzoli-my.sharepoint.com/:b:/g/personal/mmorales_pirazzoli_cl/IQARriYf17hoT4Yq6wxIeNlMASCUkiDG-rTN673EviJaFVw?e=PZkfbZ" TargetMode="External"/><Relationship Id="rId985" Type="http://schemas.openxmlformats.org/officeDocument/2006/relationships/hyperlink" Target="https://agenciadeaduanapirazzoli-my.sharepoint.com/:b:/g/personal/mmorales_pirazzoli_cl/IQCIKS52wVTeRrXuPxTOlN9ZAfna1BYezLC65AXhuA4GG3A?e=7TQKt7" TargetMode="External"/><Relationship Id="rId1170" Type="http://schemas.openxmlformats.org/officeDocument/2006/relationships/hyperlink" Target="https://agenciadeaduanapirazzoli-my.sharepoint.com/:b:/g/personal/mmorales_pirazzoli_cl/IQCn9b7QVGUyRataiXP73wIdAR3sQyCOe8-JaBzBUePjgYk?e=eSW2W2" TargetMode="External"/><Relationship Id="rId638" Type="http://schemas.openxmlformats.org/officeDocument/2006/relationships/hyperlink" Target="https://agenciadeaduanapirazzoli-my.sharepoint.com/:b:/g/personal/mmorales_pirazzoli_cl/IQA3gUuhxD9TTagwMjOwO-hQAQtXWnQ9t7pbTYlPpek8aGA?e=aehA4f" TargetMode="External"/><Relationship Id="rId845" Type="http://schemas.openxmlformats.org/officeDocument/2006/relationships/hyperlink" Target="https://agenciadeaduanapirazzoli-my.sharepoint.com/:b:/g/personal/mmorales_pirazzoli_cl/IQDtdedbyVo5T7Wz0kvnzVhrAYv5AZh7nX6S8hIkXY792xM?e=AxOso3" TargetMode="External"/><Relationship Id="rId1030" Type="http://schemas.openxmlformats.org/officeDocument/2006/relationships/hyperlink" Target="https://agenciadeaduanapirazzoli-my.sharepoint.com/:b:/g/personal/mmorales_pirazzoli_cl/IQDStFqC9C30Trfy1ZJRQJKrATpIQlhmKVzh2hqV7EosNEU?e=27BnNk" TargetMode="External"/><Relationship Id="rId1268" Type="http://schemas.openxmlformats.org/officeDocument/2006/relationships/hyperlink" Target="https://agenciadeaduanapirazzoli-my.sharepoint.com/:b:/g/personal/mmorales_pirazzoli_cl/IQBuvvrYzBNlRqDI4237g5uJARNxMpSA0KZzkcmFGMT-alY?e=GCvUkz" TargetMode="External"/><Relationship Id="rId277" Type="http://schemas.openxmlformats.org/officeDocument/2006/relationships/hyperlink" Target="https://agenciadeaduanapirazzoli-my.sharepoint.com/:b:/g/personal/mmorales_pirazzoli_cl/IQDy_tn9-joYQpQbMT-54RKLAUo7CvRPTzEbAjRX3PT-NxE?e=QhafAA" TargetMode="External"/><Relationship Id="rId400" Type="http://schemas.openxmlformats.org/officeDocument/2006/relationships/hyperlink" Target="https://agenciadeaduanapirazzoli-my.sharepoint.com/:b:/g/personal/mmorales_pirazzoli_cl/IQDAAf0P1SiORo-5FfD-wdaoARe0sX4-jtLBuKb74__GzTg?e=RMX656" TargetMode="External"/><Relationship Id="rId484" Type="http://schemas.openxmlformats.org/officeDocument/2006/relationships/hyperlink" Target="https://agenciadeaduanapirazzoli-my.sharepoint.com/:b:/g/personal/mmorales_pirazzoli_cl/IQDNjhM0yo1BRbq21E68xvVjAbld08Xd3FHdL0uKELUPqag?e=yNldcD" TargetMode="External"/><Relationship Id="rId705" Type="http://schemas.openxmlformats.org/officeDocument/2006/relationships/hyperlink" Target="https://agenciadeaduanapirazzoli-my.sharepoint.com/:b:/g/personal/mmorales_pirazzoli_cl/IQBeDGv8zfDXTp0LzgZ0zBeqAeDOPjw7eFLZmofxZNAEAUI?e=mx3tGR" TargetMode="External"/><Relationship Id="rId1128" Type="http://schemas.openxmlformats.org/officeDocument/2006/relationships/hyperlink" Target="https://agenciadeaduanapirazzoli-my.sharepoint.com/:b:/g/personal/mmorales_pirazzoli_cl/IQBwl5I1WFGUQo4r67n6G_q8Ac49u8kuFjI-dmmrZAI8H2g?e=ISPjig" TargetMode="External"/><Relationship Id="rId137" Type="http://schemas.openxmlformats.org/officeDocument/2006/relationships/hyperlink" Target="https://agenciadeaduanapirazzoli-my.sharepoint.com/:b:/g/personal/mmorales_pirazzoli_cl/IQBpoG57OnAvQp7sRj-Jq01aAe_DmVMw85uDyv8nLq_IvLo?e=2og1z2" TargetMode="External"/><Relationship Id="rId344" Type="http://schemas.openxmlformats.org/officeDocument/2006/relationships/hyperlink" Target="https://agenciadeaduanapirazzoli-my.sharepoint.com/:b:/g/personal/mmorales_pirazzoli_cl/IQBP7GSIJ6NsRapcC932vY1PARH6aqnrta8sfU5nfWCV3vM?e=hEgtZi" TargetMode="External"/><Relationship Id="rId691" Type="http://schemas.openxmlformats.org/officeDocument/2006/relationships/hyperlink" Target="https://agenciadeaduanapirazzoli-my.sharepoint.com/:b:/g/personal/mmorales_pirazzoli_cl/IQAptYW82aqVRKQm4UXZiiZ0ARNHQNtamfIgtrHiRHwzU3s?e=Mk0zkc" TargetMode="External"/><Relationship Id="rId789" Type="http://schemas.openxmlformats.org/officeDocument/2006/relationships/hyperlink" Target="https://agenciadeaduanapirazzoli-my.sharepoint.com/:b:/g/personal/mmorales_pirazzoli_cl/IQD7xF8gwnXuQLmmQ81FjaegAWejsiqbagEftmiZoR4AB2Q?e=Tstmk7" TargetMode="External"/><Relationship Id="rId912" Type="http://schemas.openxmlformats.org/officeDocument/2006/relationships/hyperlink" Target="https://agenciadeaduanapirazzoli-my.sharepoint.com/:b:/g/personal/mmorales_pirazzoli_cl/IQCauvJSYZzURLNvoses64tlAX7Nz5cwUB3uNJeAliF3GPQ?e=9SRbyn" TargetMode="External"/><Relationship Id="rId996" Type="http://schemas.openxmlformats.org/officeDocument/2006/relationships/hyperlink" Target="https://agenciadeaduanapirazzoli-my.sharepoint.com/:b:/g/personal/mmorales_pirazzoli_cl/IQCPeqxcKD5rR6FjJcuvJYG_AeCngwyWReiS9_0gKVR8wj8?e=5TqzPq" TargetMode="External"/><Relationship Id="rId41" Type="http://schemas.openxmlformats.org/officeDocument/2006/relationships/hyperlink" Target="https://agenciadeaduanapirazzoli-my.sharepoint.com/:b:/g/personal/mmorales_pirazzoli_cl/IQCXdD1jaJNQTqrFgNlAFowzAYj3xjfMb3DHH1RTKQhJaY4?e=9hsAdP" TargetMode="External"/><Relationship Id="rId551" Type="http://schemas.openxmlformats.org/officeDocument/2006/relationships/hyperlink" Target="https://agenciadeaduanapirazzoli-my.sharepoint.com/:b:/g/personal/mmorales_pirazzoli_cl/IQA__XDQzHwHQKWrR3rG9dPlASECPOGfFyMZ_WXdnJ6jq64?e=ipvbrM" TargetMode="External"/><Relationship Id="rId649" Type="http://schemas.openxmlformats.org/officeDocument/2006/relationships/hyperlink" Target="https://agenciadeaduanapirazzoli-my.sharepoint.com/:b:/g/personal/mmorales_pirazzoli_cl/IQC1Skpc8LduT6wCLjsbf1gGAaAzGiRVFGlkSiJC-wEeRAI?e=GqBNZh" TargetMode="External"/><Relationship Id="rId856" Type="http://schemas.openxmlformats.org/officeDocument/2006/relationships/hyperlink" Target="https://agenciadeaduanapirazzoli-my.sharepoint.com/:b:/g/personal/mmorales_pirazzoli_cl/IQAqcPsynVWSRrXEZyibGutHAftbYUOdvOD2XPiMtPUPsMI?e=GvZC99" TargetMode="External"/><Relationship Id="rId1181" Type="http://schemas.openxmlformats.org/officeDocument/2006/relationships/hyperlink" Target="https://agenciadeaduanapirazzoli-my.sharepoint.com/:b:/g/personal/mmorales_pirazzoli_cl/IQAGww8ucko8Sp7zEDdedUJ_AT52e7CJ9_fMbRRhnyqUDgE?e=KIeEM7" TargetMode="External"/><Relationship Id="rId1279" Type="http://schemas.openxmlformats.org/officeDocument/2006/relationships/hyperlink" Target="https://agenciadeaduanapirazzoli-my.sharepoint.com/:b:/g/personal/mmorales_pirazzoli_cl/IQB-hIGv1754R6HJ5-MRCSfqAWokNByN-m3MvEM9wkN8Bbo?e=4JjsMX" TargetMode="External"/><Relationship Id="rId190" Type="http://schemas.openxmlformats.org/officeDocument/2006/relationships/hyperlink" Target="https://agenciadeaduanapirazzoli-my.sharepoint.com/:b:/g/personal/mmorales_pirazzoli_cl/IQAI2ZiIX0mXSqzoomQbqJQCAb41qQXuxuVme_APLj9cQAw?e=2WaMAx" TargetMode="External"/><Relationship Id="rId204" Type="http://schemas.openxmlformats.org/officeDocument/2006/relationships/hyperlink" Target="https://agenciadeaduanapirazzoli-my.sharepoint.com/:b:/g/personal/mmorales_pirazzoli_cl/IQDkFzDIO7rvSqimVEXLu6R9ASpTXtbiipP265NG9-uzxv8?e=QIV4av" TargetMode="External"/><Relationship Id="rId288" Type="http://schemas.openxmlformats.org/officeDocument/2006/relationships/hyperlink" Target="https://agenciadeaduanapirazzoli-my.sharepoint.com/:b:/g/personal/mmorales_pirazzoli_cl/IQDTvgmKENgyQKj6-rNcucZdAdGuIYj8Yxl3K_4b926da8w?e=biMLCV" TargetMode="External"/><Relationship Id="rId411" Type="http://schemas.openxmlformats.org/officeDocument/2006/relationships/hyperlink" Target="https://agenciadeaduanapirazzoli-my.sharepoint.com/:b:/g/personal/mmorales_pirazzoli_cl/IQAlbPngyY3WQ4zCX6DcMyxrAXC5wnDU6lu5OaXj8HR_4DY?e=MZRGg4" TargetMode="External"/><Relationship Id="rId509" Type="http://schemas.openxmlformats.org/officeDocument/2006/relationships/hyperlink" Target="https://agenciadeaduanapirazzoli-my.sharepoint.com/:b:/g/personal/mmorales_pirazzoli_cl/IQAYPxSuM6FlQ5PQBxx5zReEAYymFfEmXRM5UO5NQKfhLQ8?e=tySvwX" TargetMode="External"/><Relationship Id="rId1041" Type="http://schemas.openxmlformats.org/officeDocument/2006/relationships/hyperlink" Target="https://agenciadeaduanapirazzoli-my.sharepoint.com/:b:/g/personal/mmorales_pirazzoli_cl/IQB0igsaPmE1QItCTun2FVPXAUesgVZQNHnCHYg_hqCV1jk?e=DbtbRa" TargetMode="External"/><Relationship Id="rId1139" Type="http://schemas.openxmlformats.org/officeDocument/2006/relationships/hyperlink" Target="https://agenciadeaduanapirazzoli-my.sharepoint.com/:b:/g/personal/mmorales_pirazzoli_cl/IQA2Kq0tGTbhTLBppFEGL4k0ATsIew3o11FLSw1TwKZjMg4?e=BjSPtZ" TargetMode="External"/><Relationship Id="rId495" Type="http://schemas.openxmlformats.org/officeDocument/2006/relationships/hyperlink" Target="https://agenciadeaduanapirazzoli-my.sharepoint.com/:b:/g/personal/mmorales_pirazzoli_cl/IQBeGqv2D-z6R7Ih38OnWi_4AePs6if7E9x3C1nnaipuSZ8?e=Hd7MyC" TargetMode="External"/><Relationship Id="rId716" Type="http://schemas.openxmlformats.org/officeDocument/2006/relationships/hyperlink" Target="https://agenciadeaduanapirazzoli-my.sharepoint.com/:b:/g/personal/mmorales_pirazzoli_cl/IQA2PgYcnhnOQa2y0gLwf5HUAdUYz32VcB292fODa-T3A-8?e=fYhe8P" TargetMode="External"/><Relationship Id="rId923" Type="http://schemas.openxmlformats.org/officeDocument/2006/relationships/hyperlink" Target="https://agenciadeaduanapirazzoli-my.sharepoint.com/:b:/g/personal/mmorales_pirazzoli_cl/IQD6G9NBhJ4PQoj-AD7qg8yjAUFyT-rwo2CwHzRRvtGftEs?e=aervLU" TargetMode="External"/><Relationship Id="rId52" Type="http://schemas.openxmlformats.org/officeDocument/2006/relationships/hyperlink" Target="https://agenciadeaduanapirazzoli-my.sharepoint.com/:b:/g/personal/mmorales_pirazzoli_cl/IQDIELqmORgKSIBsBoFm8I_5AT3WHHLxrNXsGl2QDcnN9Lw?e=KRJnGt" TargetMode="External"/><Relationship Id="rId148" Type="http://schemas.openxmlformats.org/officeDocument/2006/relationships/hyperlink" Target="https://agenciadeaduanapirazzoli-my.sharepoint.com/:b:/g/personal/mmorales_pirazzoli_cl/IQDQQaI5p9wmSYxDIKzWggSVAQ3YuduHcVtGwxaB2hc5kQA?e=0fyneo" TargetMode="External"/><Relationship Id="rId355" Type="http://schemas.openxmlformats.org/officeDocument/2006/relationships/hyperlink" Target="https://agenciadeaduanapirazzoli-my.sharepoint.com/:b:/g/personal/mmorales_pirazzoli_cl/IQA1JfsTVYjwRb63aTujmF6NARjPqC0_9T03RbUtkNMhcYc?e=kQQct3" TargetMode="External"/><Relationship Id="rId562" Type="http://schemas.openxmlformats.org/officeDocument/2006/relationships/hyperlink" Target="https://agenciadeaduanapirazzoli-my.sharepoint.com/:b:/g/personal/mmorales_pirazzoli_cl/IQBhTNzu2BwGTaxLQQJ1ZrQdAV_EQO0j-Hy7Oy9gxHKtWi8?e=Vlr5dB" TargetMode="External"/><Relationship Id="rId1192" Type="http://schemas.openxmlformats.org/officeDocument/2006/relationships/hyperlink" Target="https://agenciadeaduanapirazzoli-my.sharepoint.com/:b:/g/personal/mmorales_pirazzoli_cl/IQBKWNOPeLB3QZjwtSqdY60qAfdSdHGRbqOkJiNBQPEBvRs?e=pJx2CW" TargetMode="External"/><Relationship Id="rId1206" Type="http://schemas.openxmlformats.org/officeDocument/2006/relationships/hyperlink" Target="https://agenciadeaduanapirazzoli-my.sharepoint.com/:b:/g/personal/mmorales_pirazzoli_cl/IQAWTPQEbuaiSr8j-0Kaaa-6AcirYqlG3rjjhGQPJjCWKjo?e=AQdm0k" TargetMode="External"/><Relationship Id="rId215" Type="http://schemas.openxmlformats.org/officeDocument/2006/relationships/hyperlink" Target="https://agenciadeaduanapirazzoli-my.sharepoint.com/:b:/g/personal/mmorales_pirazzoli_cl/IQAnpcOWq4F7RL8y0kO1kbKLAVcqzo3U9h13H5oUAsoijTI?e=LbAy7K" TargetMode="External"/><Relationship Id="rId422" Type="http://schemas.openxmlformats.org/officeDocument/2006/relationships/hyperlink" Target="https://agenciadeaduanapirazzoli-my.sharepoint.com/:b:/g/personal/mmorales_pirazzoli_cl/IQDIllIK_Ga3T7XRylDKI1NrAbX6FJzeCfyiNGaEijzux_g?e=fNOqgU" TargetMode="External"/><Relationship Id="rId867" Type="http://schemas.openxmlformats.org/officeDocument/2006/relationships/hyperlink" Target="https://agenciadeaduanapirazzoli-my.sharepoint.com/:b:/g/personal/mmorales_pirazzoli_cl/IQCiVxKETVgRS63l_Zo6INAWAcydLuOZlGZlG8C39G-XprE?e=fJEf0Q" TargetMode="External"/><Relationship Id="rId1052" Type="http://schemas.openxmlformats.org/officeDocument/2006/relationships/hyperlink" Target="https://agenciadeaduanapirazzoli-my.sharepoint.com/:b:/g/personal/mmorales_pirazzoli_cl/IQCvIEofqSmhQZovDIcElRl8AeuBt53TKJLblvGkqHAizGk?e=R2ve4w" TargetMode="External"/><Relationship Id="rId299" Type="http://schemas.openxmlformats.org/officeDocument/2006/relationships/hyperlink" Target="https://agenciadeaduanapirazzoli-my.sharepoint.com/:b:/g/personal/mmorales_pirazzoli_cl/IQCRDLzMHbShQYevGZpY3zZzAfIGvmeLAerSUIKr6Oo2a_4?e=7v1HDD" TargetMode="External"/><Relationship Id="rId727" Type="http://schemas.openxmlformats.org/officeDocument/2006/relationships/hyperlink" Target="https://agenciadeaduanapirazzoli-my.sharepoint.com/:b:/g/personal/mmorales_pirazzoli_cl/IQBAttuFo62rSKRagAxjpN1SAfmhNEdM3_peSGMGPyYxhCA?e=ocGCdV" TargetMode="External"/><Relationship Id="rId934" Type="http://schemas.openxmlformats.org/officeDocument/2006/relationships/hyperlink" Target="https://agenciadeaduanapirazzoli-my.sharepoint.com/:b:/g/personal/mmorales_pirazzoli_cl/IQBzvp7lQAR_Sr1Jy2MenPGzAaf3X9HXOBaA0C-s1A56qYk?e=kwjAFf" TargetMode="External"/><Relationship Id="rId63" Type="http://schemas.openxmlformats.org/officeDocument/2006/relationships/hyperlink" Target="https://agenciadeaduanapirazzoli-my.sharepoint.com/:b:/g/personal/mmorales_pirazzoli_cl/IQD_j42M526GS67Omc7Hp0vGAbkWx69Ba3vu8R-u6gRH-V8?e=mGpwuv" TargetMode="External"/><Relationship Id="rId159" Type="http://schemas.openxmlformats.org/officeDocument/2006/relationships/hyperlink" Target="https://agenciadeaduanapirazzoli-my.sharepoint.com/:b:/g/personal/mmorales_pirazzoli_cl/IQBURPOEvsRrQol2MQHnpPvkAWLqijJnIaXkXVNmhbwCiPU?e=1MKkXv" TargetMode="External"/><Relationship Id="rId366" Type="http://schemas.openxmlformats.org/officeDocument/2006/relationships/hyperlink" Target="https://agenciadeaduanapirazzoli-my.sharepoint.com/:b:/g/personal/mmorales_pirazzoli_cl/IQAV91EvL8W9S5ah_mUqvNOkAX2U68ya1nhmqha4Osn3P9k?e=3tbMyt" TargetMode="External"/><Relationship Id="rId573" Type="http://schemas.openxmlformats.org/officeDocument/2006/relationships/hyperlink" Target="https://agenciadeaduanapirazzoli-my.sharepoint.com/:b:/g/personal/mmorales_pirazzoli_cl/IQBY0BRDE7jKTLGPXs8kOBkWAW4POUcaNdhCicMFJCyov7o?e=wGgnQi" TargetMode="External"/><Relationship Id="rId780" Type="http://schemas.openxmlformats.org/officeDocument/2006/relationships/hyperlink" Target="https://agenciadeaduanapirazzoli-my.sharepoint.com/:b:/g/personal/mmorales_pirazzoli_cl/IQAUrFJcQdnCR55M0X8AMDjpAay_CGlk5ge0jY0W3ngPuqc?e=xtFOZ0" TargetMode="External"/><Relationship Id="rId1217" Type="http://schemas.openxmlformats.org/officeDocument/2006/relationships/hyperlink" Target="https://agenciadeaduanapirazzoli-my.sharepoint.com/:b:/g/personal/mmorales_pirazzoli_cl/IQCJRm5kdO6XT70C4vrSKmgCAU3DHEun03IPWXl3Bd3FA8s?e=XFw8s5" TargetMode="External"/><Relationship Id="rId226" Type="http://schemas.openxmlformats.org/officeDocument/2006/relationships/hyperlink" Target="https://agenciadeaduanapirazzoli-my.sharepoint.com/:b:/g/personal/mmorales_pirazzoli_cl/IQBRpupZ5fHsTo_10QcoLtpXAQs2caSrLbMMUF7YMrWHjlM?e=tvEdw8" TargetMode="External"/><Relationship Id="rId433" Type="http://schemas.openxmlformats.org/officeDocument/2006/relationships/hyperlink" Target="https://agenciadeaduanapirazzoli-my.sharepoint.com/:b:/g/personal/mmorales_pirazzoli_cl/IQBKsLPZC1jaSrqfC-v5M7MBAcVcPHMyxSVb_9TfQZU81bU?e=twbpLI" TargetMode="External"/><Relationship Id="rId878" Type="http://schemas.openxmlformats.org/officeDocument/2006/relationships/hyperlink" Target="https://agenciadeaduanapirazzoli-my.sharepoint.com/:b:/g/personal/mmorales_pirazzoli_cl/IQA0iiSyBkqcQZkZp6k-UkuaASvmNRxJRLypkINvDz_kIPU?e=AU2pvP" TargetMode="External"/><Relationship Id="rId1063" Type="http://schemas.openxmlformats.org/officeDocument/2006/relationships/hyperlink" Target="https://agenciadeaduanapirazzoli-my.sharepoint.com/:b:/g/personal/mmorales_pirazzoli_cl/IQB8Vjjg2Y__RIQn3MA6ZrxhASmpuZSFYdUiWWrfj07tRdc?e=bNbqkE" TargetMode="External"/><Relationship Id="rId1270" Type="http://schemas.openxmlformats.org/officeDocument/2006/relationships/hyperlink" Target="https://agenciadeaduanapirazzoli-my.sharepoint.com/:b:/g/personal/mmorales_pirazzoli_cl/IQBFQj-X8hMUQ4sfjSRSy2ipAdM0OZXS7EC9x6C1QhR51Q8?e=8AQU01" TargetMode="External"/><Relationship Id="rId640" Type="http://schemas.openxmlformats.org/officeDocument/2006/relationships/hyperlink" Target="https://agenciadeaduanapirazzoli-my.sharepoint.com/:b:/g/personal/mmorales_pirazzoli_cl/IQDDwk-AO_YXSa7VVjvT5ZNWAa58BeKkRjtWao0kcyVOQXU?e=a9dNcB" TargetMode="External"/><Relationship Id="rId738" Type="http://schemas.openxmlformats.org/officeDocument/2006/relationships/hyperlink" Target="https://agenciadeaduanapirazzoli-my.sharepoint.com/:b:/g/personal/mmorales_pirazzoli_cl/IQBBP5QQnpZ-T5wEPbTY38EAAQvk9MVFCsVs4KaPRIpkyYw?e=gV9eZd" TargetMode="External"/><Relationship Id="rId945" Type="http://schemas.openxmlformats.org/officeDocument/2006/relationships/hyperlink" Target="https://agenciadeaduanapirazzoli-my.sharepoint.com/:b:/g/personal/mmorales_pirazzoli_cl/IQCQaKod1yYSRZ23O8smTIJpAcY3RendHM9S7r_YtQCL8bU?e=RRu0qO" TargetMode="External"/><Relationship Id="rId74" Type="http://schemas.openxmlformats.org/officeDocument/2006/relationships/hyperlink" Target="https://agenciadeaduanapirazzoli-my.sharepoint.com/:b:/g/personal/mmorales_pirazzoli_cl/IQBmV_PZunB7TZG1k3OFr0OnARbojzzpdBVcy2d5CEDTbbY?e=EoXBt6" TargetMode="External"/><Relationship Id="rId377" Type="http://schemas.openxmlformats.org/officeDocument/2006/relationships/hyperlink" Target="https://agenciadeaduanapirazzoli-my.sharepoint.com/:b:/g/personal/mmorales_pirazzoli_cl/IQCsr9u5zhe5QIKlpsETjDVdAZTxEh0qiEP64Y3rcTr6pDg?e=R1Ilwo" TargetMode="External"/><Relationship Id="rId500" Type="http://schemas.openxmlformats.org/officeDocument/2006/relationships/hyperlink" Target="https://agenciadeaduanapirazzoli-my.sharepoint.com/:b:/g/personal/mmorales_pirazzoli_cl/IQDVzzgeW6hjSoxbs8nxjJrtARARVCoCPmNYEo-Py9u25WA?e=88VZ7q" TargetMode="External"/><Relationship Id="rId584" Type="http://schemas.openxmlformats.org/officeDocument/2006/relationships/hyperlink" Target="https://agenciadeaduanapirazzoli-my.sharepoint.com/:b:/g/personal/mmorales_pirazzoli_cl/IQDnqZEZJd52RZzkkmnpEXnGAXnMh__PjY-qXfqF_iE_rmg?e=BT68oP" TargetMode="External"/><Relationship Id="rId805" Type="http://schemas.openxmlformats.org/officeDocument/2006/relationships/hyperlink" Target="https://agenciadeaduanapirazzoli-my.sharepoint.com/:b:/g/personal/mmorales_pirazzoli_cl/IQBpDSevA0uxSKGOKSErtyiEARhwqrYWHzFncB0r3tFmFHU?e=TXnUqV" TargetMode="External"/><Relationship Id="rId1130" Type="http://schemas.openxmlformats.org/officeDocument/2006/relationships/hyperlink" Target="https://agenciadeaduanapirazzoli-my.sharepoint.com/:b:/g/personal/mmorales_pirazzoli_cl/IQBRrIe_zC9yTakTsBTpy-O_AVLuA_HOKJFg6BH01fTfkOU?e=2ychrv" TargetMode="External"/><Relationship Id="rId1228" Type="http://schemas.openxmlformats.org/officeDocument/2006/relationships/hyperlink" Target="https://agenciadeaduanapirazzoli-my.sharepoint.com/:b:/g/personal/mmorales_pirazzoli_cl/IQCQNAmAf8aLTqLDxrMdztw4AWQ_4GEH-DY34hF0s2Y5TXE?e=zNVbYW" TargetMode="External"/><Relationship Id="rId5" Type="http://schemas.openxmlformats.org/officeDocument/2006/relationships/hyperlink" Target="https://agenciadeaduanapirazzoli-my.sharepoint.com/:b:/g/personal/mmorales_pirazzoli_cl/IQAgKJ3x4eTPQZJknJC8YWCFAUuuOkkrMePUejHvgOEBzj4?e=YAmzqC" TargetMode="External"/><Relationship Id="rId237" Type="http://schemas.openxmlformats.org/officeDocument/2006/relationships/hyperlink" Target="https://agenciadeaduanapirazzoli-my.sharepoint.com/:b:/g/personal/mmorales_pirazzoli_cl/IQDH40bnx-wqSJcOnOXsi-9bAW2yQ8DOMFYUTpx_gkYX_Zs?e=ZnsG4N" TargetMode="External"/><Relationship Id="rId791" Type="http://schemas.openxmlformats.org/officeDocument/2006/relationships/hyperlink" Target="https://agenciadeaduanapirazzoli-my.sharepoint.com/:b:/g/personal/mmorales_pirazzoli_cl/IQATFFQVQE7YQqFebh5nIZ7fARZmxKu9OUeVzeGMI5WKgB8?e=joseyh" TargetMode="External"/><Relationship Id="rId889" Type="http://schemas.openxmlformats.org/officeDocument/2006/relationships/hyperlink" Target="https://agenciadeaduanapirazzoli-my.sharepoint.com/:b:/g/personal/mmorales_pirazzoli_cl/IQDJYIcWdE_CS4Pmo7JEBUIvAf5SQJfQGJEKOFzn5VjMgLw?e=oroTRy" TargetMode="External"/><Relationship Id="rId1074" Type="http://schemas.openxmlformats.org/officeDocument/2006/relationships/hyperlink" Target="https://agenciadeaduanapirazzoli-my.sharepoint.com/:b:/g/personal/mmorales_pirazzoli_cl/IQBrGZ9iqtDQS5hAvlaNLai4AZ3nrvv1fjmwtR-BPZHc4oA?e=WfBxxO" TargetMode="External"/><Relationship Id="rId444" Type="http://schemas.openxmlformats.org/officeDocument/2006/relationships/hyperlink" Target="https://agenciadeaduanapirazzoli-my.sharepoint.com/:b:/g/personal/mmorales_pirazzoli_cl/IQCly7MJCM3DR6NrSmLxoaQ7ATap9tRSfI1nioP0ASOGG1Q?e=zdC8pV" TargetMode="External"/><Relationship Id="rId651" Type="http://schemas.openxmlformats.org/officeDocument/2006/relationships/hyperlink" Target="https://agenciadeaduanapirazzoli-my.sharepoint.com/:b:/g/personal/mmorales_pirazzoli_cl/IQAd0cClctfCQp5U8yvoZKGwAc4BwZBbX21fiqyGDRRSUio?e=1oZSe8" TargetMode="External"/><Relationship Id="rId749" Type="http://schemas.openxmlformats.org/officeDocument/2006/relationships/hyperlink" Target="https://agenciadeaduanapirazzoli-my.sharepoint.com/:b:/g/personal/mmorales_pirazzoli_cl/IQD9xE0N-3UrRKwrA76k-vsDAfeLH2_8Asr8fpdZSA0urvY?e=tlmyxP" TargetMode="External"/><Relationship Id="rId1281" Type="http://schemas.openxmlformats.org/officeDocument/2006/relationships/hyperlink" Target="https://agenciadeaduanapirazzoli-my.sharepoint.com/:b:/g/personal/mmorales_pirazzoli_cl/IQDLQezysRmyTIQiO7jD1YdsASz5hgo4yguMRAVJvXDJbZc?e=O8fJV2" TargetMode="External"/><Relationship Id="rId290" Type="http://schemas.openxmlformats.org/officeDocument/2006/relationships/hyperlink" Target="https://agenciadeaduanapirazzoli-my.sharepoint.com/:b:/g/personal/mmorales_pirazzoli_cl/IQCl9Vd_9p47R46ncA0BZFbMAVKGu9Mq_o_DYenA2IptlOE?e=gcEbVn" TargetMode="External"/><Relationship Id="rId304" Type="http://schemas.openxmlformats.org/officeDocument/2006/relationships/hyperlink" Target="https://agenciadeaduanapirazzoli-my.sharepoint.com/:b:/g/personal/mmorales_pirazzoli_cl/IQDyjQjWA9LTSaUcQpwvVlgbAUNz73fiTZClGomfb2fcGLQ?e=B6eH37" TargetMode="External"/><Relationship Id="rId388" Type="http://schemas.openxmlformats.org/officeDocument/2006/relationships/hyperlink" Target="https://agenciadeaduanapirazzoli-my.sharepoint.com/:b:/g/personal/mmorales_pirazzoli_cl/IQBsdUH_acbQSIhIDZyBq2_RAXUAdBtKFQpVLiPi9QWh_lo?e=kFjyyu" TargetMode="External"/><Relationship Id="rId511" Type="http://schemas.openxmlformats.org/officeDocument/2006/relationships/hyperlink" Target="https://agenciadeaduanapirazzoli-my.sharepoint.com/:b:/g/personal/mmorales_pirazzoli_cl/IQAo1krnZ9r8T50b61DBtEWTAYqg48aCt7zPnXFZN8IefAs?e=8s5z0u" TargetMode="External"/><Relationship Id="rId609" Type="http://schemas.openxmlformats.org/officeDocument/2006/relationships/hyperlink" Target="https://agenciadeaduanapirazzoli-my.sharepoint.com/:b:/g/personal/mmorales_pirazzoli_cl/IQAOq_UEDtswTIUXqFrbmIOxAX-P4n-DUv_N_IhbdssG39M?e=EwAJHf" TargetMode="External"/><Relationship Id="rId956" Type="http://schemas.openxmlformats.org/officeDocument/2006/relationships/hyperlink" Target="https://agenciadeaduanapirazzoli-my.sharepoint.com/:b:/g/personal/mmorales_pirazzoli_cl/IQCwo6Bh6FUkR7U8_yvyxmLlAb9RxdFUoGp53dQH6f4Huvw?e=6aZQ3Q" TargetMode="External"/><Relationship Id="rId1141" Type="http://schemas.openxmlformats.org/officeDocument/2006/relationships/hyperlink" Target="https://agenciadeaduanapirazzoli-my.sharepoint.com/:b:/g/personal/mmorales_pirazzoli_cl/IQDud4iK3t1fTbPEC4xA4q-AAUSwOVHcdkco9L0fvklACbM?e=hhXtBJ" TargetMode="External"/><Relationship Id="rId1239" Type="http://schemas.openxmlformats.org/officeDocument/2006/relationships/hyperlink" Target="https://agenciadeaduanapirazzoli-my.sharepoint.com/:b:/g/personal/mmorales_pirazzoli_cl/IQBq46KrRGQUT6QuGJ7MI-EgAVQX2OYekX9IyDMhEChuybA?e=cpGKUd" TargetMode="External"/><Relationship Id="rId85" Type="http://schemas.openxmlformats.org/officeDocument/2006/relationships/hyperlink" Target="https://agenciadeaduanapirazzoli-my.sharepoint.com/:b:/g/personal/mmorales_pirazzoli_cl/IQC3RLMNwGFpSqS-uemI7PUbAcs1nfVTAFyzQ_7fJ0T0Pr0?e=SWccKF" TargetMode="External"/><Relationship Id="rId150" Type="http://schemas.openxmlformats.org/officeDocument/2006/relationships/hyperlink" Target="https://agenciadeaduanapirazzoli-my.sharepoint.com/:b:/g/personal/mmorales_pirazzoli_cl/IQAfXKr19SfBSZi4F5a2s6odAVb0B5EfZn9XxOTTf8WC2hY?e=11nWJc" TargetMode="External"/><Relationship Id="rId595" Type="http://schemas.openxmlformats.org/officeDocument/2006/relationships/hyperlink" Target="https://agenciadeaduanapirazzoli-my.sharepoint.com/:b:/g/personal/mmorales_pirazzoli_cl/IQB7DWR-_mK0QLK59zGSgQKmAebuybLXrgAeWk50JX_fZJA?e=UsAUvh" TargetMode="External"/><Relationship Id="rId816" Type="http://schemas.openxmlformats.org/officeDocument/2006/relationships/hyperlink" Target="https://agenciadeaduanapirazzoli-my.sharepoint.com/:b:/g/personal/mmorales_pirazzoli_cl/IQAKFin0UJtvSakF2QfNkFmDAW6Ye1XEi1jPY9D6XbNKD5U?e=ChBKGo" TargetMode="External"/><Relationship Id="rId1001" Type="http://schemas.openxmlformats.org/officeDocument/2006/relationships/hyperlink" Target="https://agenciadeaduanapirazzoli-my.sharepoint.com/:b:/g/personal/mmorales_pirazzoli_cl/IQCN_NRuD8VvQLL3yBUGCZyQAbNqmQhvoh1XlNMXCWql9Kk?e=VGICpf" TargetMode="External"/><Relationship Id="rId248" Type="http://schemas.openxmlformats.org/officeDocument/2006/relationships/hyperlink" Target="https://agenciadeaduanapirazzoli-my.sharepoint.com/:b:/g/personal/mmorales_pirazzoli_cl/IQBFSa12n2_eS5Uq1lq4abw_AaVPQ-eq5hiz5Yw3rjrICTU?e=8d3gLp" TargetMode="External"/><Relationship Id="rId455" Type="http://schemas.openxmlformats.org/officeDocument/2006/relationships/hyperlink" Target="https://agenciadeaduanapirazzoli-my.sharepoint.com/:b:/g/personal/mmorales_pirazzoli_cl/IQDKBsZZhbfmT59EoPsrAaJHAdImLEyGoJTwd-Ye8_6xrNo?e=01AMSx" TargetMode="External"/><Relationship Id="rId662" Type="http://schemas.openxmlformats.org/officeDocument/2006/relationships/hyperlink" Target="https://agenciadeaduanapirazzoli-my.sharepoint.com/:b:/g/personal/mmorales_pirazzoli_cl/IQB7fzR1wMRASKVEtDNFX10OAdgAFmvP0RWTzZ9_BcetTUE?e=yYQ5Oh" TargetMode="External"/><Relationship Id="rId1085" Type="http://schemas.openxmlformats.org/officeDocument/2006/relationships/hyperlink" Target="https://agenciadeaduanapirazzoli-my.sharepoint.com/:b:/g/personal/mmorales_pirazzoli_cl/IQAtw4tiixY4TphX6LC9pzf-AZyxS8LE0mmbI_kIrlAzm0U?e=5oXfjI" TargetMode="External"/><Relationship Id="rId1292" Type="http://schemas.openxmlformats.org/officeDocument/2006/relationships/hyperlink" Target="https://agenciadeaduanapirazzoli-my.sharepoint.com/:b:/g/personal/mmorales_pirazzoli_cl/IQDG4_WAebkpTKhSSvDaFmybAYtV3DF1Pc_ShbK6rHyOsA0?e=sEGizy" TargetMode="External"/><Relationship Id="rId12" Type="http://schemas.openxmlformats.org/officeDocument/2006/relationships/hyperlink" Target="https://agenciadeaduanapirazzoli-my.sharepoint.com/:b:/g/personal/mmorales_pirazzoli_cl/IQDR0AlFJWOYTrOQKefH4L9ZAeI_poIRZxKVCyGYSQPyFM0?e=ku708A" TargetMode="External"/><Relationship Id="rId108" Type="http://schemas.openxmlformats.org/officeDocument/2006/relationships/hyperlink" Target="https://agenciadeaduanapirazzoli-my.sharepoint.com/:b:/g/personal/mmorales_pirazzoli_cl/IQDTqNfE8ZCcSbxz3pEPGUaWAR9V0o08075ACiZ8l2bisqE?e=TrWhH8" TargetMode="External"/><Relationship Id="rId315" Type="http://schemas.openxmlformats.org/officeDocument/2006/relationships/hyperlink" Target="https://agenciadeaduanapirazzoli-my.sharepoint.com/:b:/g/personal/mmorales_pirazzoli_cl/IQBmXv9snAmsQoSOhgxTz5pYAfECjwHUoiWh72icircz9HI?e=8xJq9a" TargetMode="External"/><Relationship Id="rId522" Type="http://schemas.openxmlformats.org/officeDocument/2006/relationships/hyperlink" Target="https://agenciadeaduanapirazzoli-my.sharepoint.com/:b:/g/personal/mmorales_pirazzoli_cl/IQBjHL25PgDVQ5M0Gc-8GAJeAe7k_1KMMLdQAH0hOrMX0IU?e=rS2fpr" TargetMode="External"/><Relationship Id="rId967" Type="http://schemas.openxmlformats.org/officeDocument/2006/relationships/hyperlink" Target="https://agenciadeaduanapirazzoli-my.sharepoint.com/:b:/g/personal/mmorales_pirazzoli_cl/IQBu1BbZYruKQZJXYTJu3xvUAa9lF7haumPXKIz8Mb-142s?e=zUfyIm" TargetMode="External"/><Relationship Id="rId1152" Type="http://schemas.openxmlformats.org/officeDocument/2006/relationships/hyperlink" Target="https://agenciadeaduanapirazzoli-my.sharepoint.com/:b:/g/personal/mmorales_pirazzoli_cl/IQCk8cp48xaQRaNL5CdQ6CpZAdoIPA6KmltZcbjwz-MUvQ0?e=Hrb6ZB" TargetMode="External"/><Relationship Id="rId96" Type="http://schemas.openxmlformats.org/officeDocument/2006/relationships/hyperlink" Target="https://agenciadeaduanapirazzoli-my.sharepoint.com/:b:/g/personal/mmorales_pirazzoli_cl/IQCXLuEHJO_DRLuSSD5uDDCXAVPkgvlThqktbzrhR2IMEC4?e=qZTufZ" TargetMode="External"/><Relationship Id="rId161" Type="http://schemas.openxmlformats.org/officeDocument/2006/relationships/hyperlink" Target="https://agenciadeaduanapirazzoli-my.sharepoint.com/:b:/g/personal/mmorales_pirazzoli_cl/IQB43C3Y5cR9Q7r4AQZBwmwdAc3dd90WfMzHbKaYbTbhsQs?e=wTpKyD" TargetMode="External"/><Relationship Id="rId399" Type="http://schemas.openxmlformats.org/officeDocument/2006/relationships/hyperlink" Target="https://agenciadeaduanapirazzoli-my.sharepoint.com/:b:/g/personal/mmorales_pirazzoli_cl/IQBXPCS-tsofTqgx6f2jCjycAa-WdnzkRfr34miX5dlc1_E?e=gpm5ww" TargetMode="External"/><Relationship Id="rId827" Type="http://schemas.openxmlformats.org/officeDocument/2006/relationships/hyperlink" Target="https://agenciadeaduanapirazzoli-my.sharepoint.com/:b:/g/personal/mmorales_pirazzoli_cl/IQDVQutSZqpMRLQIr3yYV0VRAbK-ydXds1seQJ6u64-6uZE?e=7slsRV" TargetMode="External"/><Relationship Id="rId1012" Type="http://schemas.openxmlformats.org/officeDocument/2006/relationships/hyperlink" Target="https://agenciadeaduanapirazzoli-my.sharepoint.com/:b:/g/personal/mmorales_pirazzoli_cl/IQAmr2cFKv8_T5eS71xf0PRIAWoqP72k_D4A4YXIaofLWjU?e=folWur" TargetMode="External"/><Relationship Id="rId259" Type="http://schemas.openxmlformats.org/officeDocument/2006/relationships/hyperlink" Target="https://agenciadeaduanapirazzoli-my.sharepoint.com/:b:/g/personal/mmorales_pirazzoli_cl/IQDU17ZeGtsxSYH8QMy_wupgAQTBG7Iu9ndfQGh70fS3fO0?e=RMuxcf" TargetMode="External"/><Relationship Id="rId466" Type="http://schemas.openxmlformats.org/officeDocument/2006/relationships/hyperlink" Target="https://agenciadeaduanapirazzoli-my.sharepoint.com/:b:/g/personal/mmorales_pirazzoli_cl/IQC87kaEfbomSIvzqTawxFziAcJ0qeDZlKLQLKfozxFzShI?e=Mfb8aR" TargetMode="External"/><Relationship Id="rId673" Type="http://schemas.openxmlformats.org/officeDocument/2006/relationships/hyperlink" Target="https://agenciadeaduanapirazzoli-my.sharepoint.com/:b:/g/personal/mmorales_pirazzoli_cl/IQBI6_Y3OuFsRZW1IhF9rHtvAVxXYrN_B4Qftnj5S1vOsVQ?e=Unehb0" TargetMode="External"/><Relationship Id="rId880" Type="http://schemas.openxmlformats.org/officeDocument/2006/relationships/hyperlink" Target="https://agenciadeaduanapirazzoli-my.sharepoint.com/:b:/g/personal/mmorales_pirazzoli_cl/IQBid_6TbiJ6TomlOytxJoW-AfF7W5tPqUik2QSHQUmccw4?e=cuKtby" TargetMode="External"/><Relationship Id="rId1096" Type="http://schemas.openxmlformats.org/officeDocument/2006/relationships/hyperlink" Target="https://agenciadeaduanapirazzoli-my.sharepoint.com/:b:/g/personal/mmorales_pirazzoli_cl/IQDoSdKW9-afSYBaodnRfiiBATgN7TGdEA1gFy-anFY8ar4?e=2hUdwB" TargetMode="External"/><Relationship Id="rId23" Type="http://schemas.openxmlformats.org/officeDocument/2006/relationships/hyperlink" Target="https://agenciadeaduanapirazzoli-my.sharepoint.com/:b:/g/personal/mmorales_pirazzoli_cl/IQAQLaSIupYJSZEWgPFfSxFxAUV6ux5H0CI9e2snGx3EFAg?e=vQfsC3" TargetMode="External"/><Relationship Id="rId119" Type="http://schemas.openxmlformats.org/officeDocument/2006/relationships/hyperlink" Target="https://agenciadeaduanapirazzoli-my.sharepoint.com/:b:/g/personal/mmorales_pirazzoli_cl/IQC9MezbbjT5TIxmUZ6UquwYAa-5kCeeZgH3FKO7oYTR5mc?e=wLsKY3" TargetMode="External"/><Relationship Id="rId326" Type="http://schemas.openxmlformats.org/officeDocument/2006/relationships/hyperlink" Target="https://agenciadeaduanapirazzoli-my.sharepoint.com/:b:/g/personal/mmorales_pirazzoli_cl/IQADAQiof64TTLTR5fzC9E34ATRPNgJQQzDR4-E9a3PaLRQ?e=o0r5lw" TargetMode="External"/><Relationship Id="rId533" Type="http://schemas.openxmlformats.org/officeDocument/2006/relationships/hyperlink" Target="https://agenciadeaduanapirazzoli-my.sharepoint.com/:b:/g/personal/mmorales_pirazzoli_cl/IQCvf4Vyt4m7Rr6nnt4CdSfDAY5lFpZjOfguc62HWKBifQs?e=nl4AZ5" TargetMode="External"/><Relationship Id="rId978" Type="http://schemas.openxmlformats.org/officeDocument/2006/relationships/hyperlink" Target="https://agenciadeaduanapirazzoli-my.sharepoint.com/:b:/g/personal/mmorales_pirazzoli_cl/IQARDWvPw4xqTIYBqxatyaMMAambBnNWtTMHw5RpPGQs0KQ?e=7BAZYT" TargetMode="External"/><Relationship Id="rId1163" Type="http://schemas.openxmlformats.org/officeDocument/2006/relationships/hyperlink" Target="https://agenciadeaduanapirazzoli-my.sharepoint.com/:b:/g/personal/mmorales_pirazzoli_cl/IQCnlfyMYneaSqpGt5DqwO9PAWTxz4Y7p00PSgLH_3mV_Mg?e=phKZyp" TargetMode="External"/><Relationship Id="rId740" Type="http://schemas.openxmlformats.org/officeDocument/2006/relationships/hyperlink" Target="https://agenciadeaduanapirazzoli-my.sharepoint.com/:b:/g/personal/mmorales_pirazzoli_cl/IQAGJrKM-AkNQq7YqE9OPuEMAeSfsEbIwIj3o-mghHt3ICk?e=xlwzKs" TargetMode="External"/><Relationship Id="rId838" Type="http://schemas.openxmlformats.org/officeDocument/2006/relationships/hyperlink" Target="https://agenciadeaduanapirazzoli-my.sharepoint.com/:b:/g/personal/mmorales_pirazzoli_cl/IQD-bU5mUqvxQI9LGxHU8X4WAZeMCiI5S71QExtlpKUNH1Y?e=suYcMm" TargetMode="External"/><Relationship Id="rId1023" Type="http://schemas.openxmlformats.org/officeDocument/2006/relationships/hyperlink" Target="https://agenciadeaduanapirazzoli-my.sharepoint.com/:b:/g/personal/mmorales_pirazzoli_cl/IQAP1PVqvJVnTqjesyN7dAg6AdD9SqEpEzIXjxHWCPlOyzE?e=RKsc0V" TargetMode="External"/><Relationship Id="rId172" Type="http://schemas.openxmlformats.org/officeDocument/2006/relationships/hyperlink" Target="https://agenciadeaduanapirazzoli-my.sharepoint.com/:b:/g/personal/mmorales_pirazzoli_cl/IQAblU9twvhnTKLT5D657Q7ZATqNhP8SWDHfrIiK6cFxOOg?e=KhqiHd" TargetMode="External"/><Relationship Id="rId477" Type="http://schemas.openxmlformats.org/officeDocument/2006/relationships/hyperlink" Target="https://agenciadeaduanapirazzoli-my.sharepoint.com/:b:/g/personal/mmorales_pirazzoli_cl/IQBdy6yFFUsESrCsWQ53GK5LAaKeyPAGbQM4WifkW0f3tuA?e=ctcDXd" TargetMode="External"/><Relationship Id="rId600" Type="http://schemas.openxmlformats.org/officeDocument/2006/relationships/hyperlink" Target="https://agenciadeaduanapirazzoli-my.sharepoint.com/:b:/g/personal/mmorales_pirazzoli_cl/IQD0jpB-5nknS50Z3t_AnnVgAU2tnmEXGuiHn68452e75PE?e=D1HZhs" TargetMode="External"/><Relationship Id="rId684" Type="http://schemas.openxmlformats.org/officeDocument/2006/relationships/hyperlink" Target="https://agenciadeaduanapirazzoli-my.sharepoint.com/:b:/g/personal/mmorales_pirazzoli_cl/IQDrzZy0bvxNQYhn0gZONOKyAY6QrgeO4aQTrpB6siIm86E?e=HvaGsP" TargetMode="External"/><Relationship Id="rId1230" Type="http://schemas.openxmlformats.org/officeDocument/2006/relationships/hyperlink" Target="https://agenciadeaduanapirazzoli-my.sharepoint.com/:b:/g/personal/mmorales_pirazzoli_cl/IQDRtZOuUL-LS5O25_a2_MZfAblsXv2wZYgzPGs85mzvhQE?e=vyNQOw" TargetMode="External"/><Relationship Id="rId337" Type="http://schemas.openxmlformats.org/officeDocument/2006/relationships/hyperlink" Target="https://agenciadeaduanapirazzoli-my.sharepoint.com/:b:/g/personal/mmorales_pirazzoli_cl/IQCqm0uAlSOCTo6Ubv62TuiGASoCtltO-sm1__XPpKrO5Y8?e=Cnsvjn" TargetMode="External"/><Relationship Id="rId891" Type="http://schemas.openxmlformats.org/officeDocument/2006/relationships/hyperlink" Target="https://agenciadeaduanapirazzoli-my.sharepoint.com/:b:/g/personal/mmorales_pirazzoli_cl/IQAsGOEyNBzvTaBenD78g4djAQZ83ILpYVH0L6TbbxFY2w8?e=BQyeX1" TargetMode="External"/><Relationship Id="rId905" Type="http://schemas.openxmlformats.org/officeDocument/2006/relationships/hyperlink" Target="https://agenciadeaduanapirazzoli-my.sharepoint.com/:b:/g/personal/mmorales_pirazzoli_cl/IQCwPDjiEGQMQ5weUywVL4hvAeqGxeXIsNkHfI8yePge4D0?e=thyhLO" TargetMode="External"/><Relationship Id="rId989" Type="http://schemas.openxmlformats.org/officeDocument/2006/relationships/hyperlink" Target="https://agenciadeaduanapirazzoli-my.sharepoint.com/:b:/g/personal/mmorales_pirazzoli_cl/IQCVAiFRo-jDSKFL21rPv7U6AcxRz3A7VyBm0JSVezICXm0?e=Il8jY1" TargetMode="External"/><Relationship Id="rId34" Type="http://schemas.openxmlformats.org/officeDocument/2006/relationships/hyperlink" Target="https://agenciadeaduanapirazzoli-my.sharepoint.com/:b:/g/personal/mmorales_pirazzoli_cl/IQCNrdo8lJZvRIgr7vCsS8BNAc321SSiFE_d2GFZCn5oUI4?e=q9FWpJ" TargetMode="External"/><Relationship Id="rId544" Type="http://schemas.openxmlformats.org/officeDocument/2006/relationships/hyperlink" Target="https://agenciadeaduanapirazzoli-my.sharepoint.com/:b:/g/personal/mmorales_pirazzoli_cl/IQBjAhmvmaieR6m21mD1tTUjAYHwjmVEqvhgTekN7fcUfUA?e=lxKWOi" TargetMode="External"/><Relationship Id="rId751" Type="http://schemas.openxmlformats.org/officeDocument/2006/relationships/hyperlink" Target="https://agenciadeaduanapirazzoli-my.sharepoint.com/:b:/g/personal/mmorales_pirazzoli_cl/IQCjVrc1U5-RSqmk3JqSFoByAbsPLV108qv1uhYmpIBvPyE?e=c0HxI1" TargetMode="External"/><Relationship Id="rId849" Type="http://schemas.openxmlformats.org/officeDocument/2006/relationships/hyperlink" Target="https://agenciadeaduanapirazzoli-my.sharepoint.com/:b:/g/personal/mmorales_pirazzoli_cl/IQDNkGO38V5CQrqRUcq4I7RYASAQiLqaLIxbApQDN4D4294?e=s1RGTR" TargetMode="External"/><Relationship Id="rId1174" Type="http://schemas.openxmlformats.org/officeDocument/2006/relationships/hyperlink" Target="https://agenciadeaduanapirazzoli-my.sharepoint.com/:b:/g/personal/mmorales_pirazzoli_cl/IQBGuf5lxyyARoEj_7wLhf2rAQmrqc1gx0oUwqxdyFc3j7M?e=HDvnN3" TargetMode="External"/><Relationship Id="rId183" Type="http://schemas.openxmlformats.org/officeDocument/2006/relationships/hyperlink" Target="https://agenciadeaduanapirazzoli-my.sharepoint.com/:b:/g/personal/mmorales_pirazzoli_cl/IQCVrXfbD1h0S79-b2A0BzIKATIGxyL_iMtpLk-DDGWrXo8?e=aaqPyy" TargetMode="External"/><Relationship Id="rId390" Type="http://schemas.openxmlformats.org/officeDocument/2006/relationships/hyperlink" Target="https://agenciadeaduanapirazzoli-my.sharepoint.com/:b:/g/personal/mmorales_pirazzoli_cl/IQD1K5t3GbpESr01iTB-BE8gAcQ1TrYdL46giujc3rk_aBs?e=Mu2gsG" TargetMode="External"/><Relationship Id="rId404" Type="http://schemas.openxmlformats.org/officeDocument/2006/relationships/hyperlink" Target="https://agenciadeaduanapirazzoli-my.sharepoint.com/:b:/g/personal/mmorales_pirazzoli_cl/IQDVK0PvLZ5jTYhPsKJXcKBGAZt6zmbg0VisoSLKqcA-DRc?e=LVLIiz" TargetMode="External"/><Relationship Id="rId611" Type="http://schemas.openxmlformats.org/officeDocument/2006/relationships/hyperlink" Target="https://agenciadeaduanapirazzoli-my.sharepoint.com/:b:/g/personal/mmorales_pirazzoli_cl/IQD7IshylAHaR6PF9mc2b1K2AdHRgnB9ud7mxxkdIkT4BBI?e=h3RMYN" TargetMode="External"/><Relationship Id="rId1034" Type="http://schemas.openxmlformats.org/officeDocument/2006/relationships/hyperlink" Target="https://agenciadeaduanapirazzoli-my.sharepoint.com/:b:/g/personal/mmorales_pirazzoli_cl/IQCUFzoYyVlgQLcGqOyTLl7DAVCmnLvWpDj3g9BTCRBDmSg?e=mAGv8H" TargetMode="External"/><Relationship Id="rId1241" Type="http://schemas.openxmlformats.org/officeDocument/2006/relationships/hyperlink" Target="https://agenciadeaduanapirazzoli-my.sharepoint.com/:b:/g/personal/mmorales_pirazzoli_cl/IQC5Q3UN7EiAT744v8ElgvTiAUEnZT8xKGg4IRKa0aD4Y_k?e=L1kUiR" TargetMode="External"/><Relationship Id="rId250" Type="http://schemas.openxmlformats.org/officeDocument/2006/relationships/hyperlink" Target="https://agenciadeaduanapirazzoli-my.sharepoint.com/:b:/g/personal/mmorales_pirazzoli_cl/IQCtBStm6eErTqJ50rt-_ILkAXzbBASSJstlms_Lkls9R4A?e=ScwdsR" TargetMode="External"/><Relationship Id="rId488" Type="http://schemas.openxmlformats.org/officeDocument/2006/relationships/hyperlink" Target="https://agenciadeaduanapirazzoli-my.sharepoint.com/:b:/g/personal/mmorales_pirazzoli_cl/IQA5tq33CUlXRIkLyr5C0H1SAYvGhzj1V0bxGv8mrEhqYmI?e=hwQCs7" TargetMode="External"/><Relationship Id="rId695" Type="http://schemas.openxmlformats.org/officeDocument/2006/relationships/hyperlink" Target="https://agenciadeaduanapirazzoli-my.sharepoint.com/:b:/g/personal/mmorales_pirazzoli_cl/IQCwPtcZkbpSQany-UEei2Q-Acp4vaBqwYazOdc7noGseiY?e=AZGOBP" TargetMode="External"/><Relationship Id="rId709" Type="http://schemas.openxmlformats.org/officeDocument/2006/relationships/hyperlink" Target="https://agenciadeaduanapirazzoli-my.sharepoint.com/:b:/g/personal/mmorales_pirazzoli_cl/IQB3yqUiheelRafOkdNbGiHXAZT-sOIg5n_WMZqg_m51r7o?e=ZyMifq" TargetMode="External"/><Relationship Id="rId916" Type="http://schemas.openxmlformats.org/officeDocument/2006/relationships/hyperlink" Target="https://agenciadeaduanapirazzoli-my.sharepoint.com/:b:/g/personal/mmorales_pirazzoli_cl/IQBHcADgZdR1T5WOfX6PjHFLAbtaPbpMd9UaSMNcrt9WiIU?e=Spuf7y" TargetMode="External"/><Relationship Id="rId1101" Type="http://schemas.openxmlformats.org/officeDocument/2006/relationships/hyperlink" Target="https://agenciadeaduanapirazzoli-my.sharepoint.com/:b:/g/personal/mmorales_pirazzoli_cl/IQCud7j-tciOQ4smmxQxlTKBAe4ifAZFaxxFL6peD3PcllI?e=ma30CI" TargetMode="External"/><Relationship Id="rId45" Type="http://schemas.openxmlformats.org/officeDocument/2006/relationships/hyperlink" Target="https://agenciadeaduanapirazzoli-my.sharepoint.com/:b:/g/personal/mmorales_pirazzoli_cl/IQAbF-YkeaTDSZMKHCeFZ39AAS-FzKs4IzkgJ31x41NZu8k?e=4Phxvl" TargetMode="External"/><Relationship Id="rId110" Type="http://schemas.openxmlformats.org/officeDocument/2006/relationships/hyperlink" Target="https://agenciadeaduanapirazzoli-my.sharepoint.com/:b:/g/personal/mmorales_pirazzoli_cl/IQBOAUbenQgXTaLMiaZDG7UoARjdBiJ31Qs6lYxgvt35zvI?e=7U3t3l" TargetMode="External"/><Relationship Id="rId348" Type="http://schemas.openxmlformats.org/officeDocument/2006/relationships/hyperlink" Target="https://agenciadeaduanapirazzoli-my.sharepoint.com/:b:/g/personal/mmorales_pirazzoli_cl/IQDNTsmEIyjiRKzal7Df7UlEAZGR9JEi8UCQ0KvZs0vwt44?e=TOXcJ2" TargetMode="External"/><Relationship Id="rId555" Type="http://schemas.openxmlformats.org/officeDocument/2006/relationships/hyperlink" Target="https://agenciadeaduanapirazzoli-my.sharepoint.com/:b:/g/personal/mmorales_pirazzoli_cl/IQBk76T_V5GEQKozneGVw2IHAcUhRMsGiAU6gR6CLHCEnPM?e=2V3PaW" TargetMode="External"/><Relationship Id="rId762" Type="http://schemas.openxmlformats.org/officeDocument/2006/relationships/hyperlink" Target="https://agenciadeaduanapirazzoli-my.sharepoint.com/:b:/g/personal/mmorales_pirazzoli_cl/IQAfvIn41_ljSpCqmxd9BIxRATizhxNW3qL8JGMQY4FQ778?e=YaeV69" TargetMode="External"/><Relationship Id="rId1185" Type="http://schemas.openxmlformats.org/officeDocument/2006/relationships/hyperlink" Target="https://agenciadeaduanapirazzoli-my.sharepoint.com/:b:/g/personal/mmorales_pirazzoli_cl/IQBQpmvM9fcWTquIRdI14mH3AeNIvEarwETzeJwZ0EMNgKg?e=SgFf4l" TargetMode="External"/><Relationship Id="rId194" Type="http://schemas.openxmlformats.org/officeDocument/2006/relationships/hyperlink" Target="https://agenciadeaduanapirazzoli-my.sharepoint.com/:b:/g/personal/mmorales_pirazzoli_cl/IQASW-V69KkCQZz6-7mZL7oQAVJxSK0Wm0VszX__wuMrXl8?e=0Jaixq" TargetMode="External"/><Relationship Id="rId208" Type="http://schemas.openxmlformats.org/officeDocument/2006/relationships/hyperlink" Target="https://agenciadeaduanapirazzoli-my.sharepoint.com/:b:/g/personal/mmorales_pirazzoli_cl/IQDjT5Q8rUoCRpouScbH5ReBASi1dOV8p-4CrhBS3wY3kP0?e=a93RRb" TargetMode="External"/><Relationship Id="rId415" Type="http://schemas.openxmlformats.org/officeDocument/2006/relationships/hyperlink" Target="https://agenciadeaduanapirazzoli-my.sharepoint.com/:b:/g/personal/mmorales_pirazzoli_cl/IQDbGpPbVPUhTb0JEf6iBMnrAXuU0nJm_eP-YV0rIokNCn4?e=SN9AdM" TargetMode="External"/><Relationship Id="rId622" Type="http://schemas.openxmlformats.org/officeDocument/2006/relationships/hyperlink" Target="https://agenciadeaduanapirazzoli-my.sharepoint.com/:b:/g/personal/mmorales_pirazzoli_cl/IQAU5xoiJ5IKSIozSfzrwE5aAdKM9pzLZkARsj3vck06M_A?e=A7zayc" TargetMode="External"/><Relationship Id="rId1045" Type="http://schemas.openxmlformats.org/officeDocument/2006/relationships/hyperlink" Target="https://agenciadeaduanapirazzoli-my.sharepoint.com/:b:/g/personal/mmorales_pirazzoli_cl/IQBONV7F4Ia0Sae4aliKD_j4AUznueLBWOUfHCdI8r5WffE?e=0LYFN4" TargetMode="External"/><Relationship Id="rId1252" Type="http://schemas.openxmlformats.org/officeDocument/2006/relationships/hyperlink" Target="https://agenciadeaduanapirazzoli-my.sharepoint.com/:b:/g/personal/mmorales_pirazzoli_cl/IQDSxZOmhzQMRJ2S33adBdJCAVZrerautecU-JTrwC9tp4c?e=CAeR7T" TargetMode="External"/><Relationship Id="rId261" Type="http://schemas.openxmlformats.org/officeDocument/2006/relationships/hyperlink" Target="https://agenciadeaduanapirazzoli-my.sharepoint.com/:b:/g/personal/mmorales_pirazzoli_cl/IQBKINRg_rwOTLpC6UygYhB3AZAx6zMC8D3kRIjrD8wGUM0?e=iXP92c" TargetMode="External"/><Relationship Id="rId499" Type="http://schemas.openxmlformats.org/officeDocument/2006/relationships/hyperlink" Target="https://agenciadeaduanapirazzoli-my.sharepoint.com/:b:/g/personal/mmorales_pirazzoli_cl/IQAxpa2gZ0cIQZFvPP421ZWvARCZe9CmSsOqab3LsuZNn-o?e=sif2Pc" TargetMode="External"/><Relationship Id="rId927" Type="http://schemas.openxmlformats.org/officeDocument/2006/relationships/hyperlink" Target="https://agenciadeaduanapirazzoli-my.sharepoint.com/:b:/g/personal/mmorales_pirazzoli_cl/IQCsbInwy5vsRIQow2dkpGfqARxzc2PiR4t7A10x9FKAgH4?e=iMwmNR" TargetMode="External"/><Relationship Id="rId1112" Type="http://schemas.openxmlformats.org/officeDocument/2006/relationships/hyperlink" Target="https://agenciadeaduanapirazzoli-my.sharepoint.com/:b:/g/personal/mmorales_pirazzoli_cl/IQCeTn6Eq7JQTajdqc7NDsb_AWbjs4NqOMyDW6Fl9NC5wFQ?e=z9vF33" TargetMode="External"/><Relationship Id="rId56" Type="http://schemas.openxmlformats.org/officeDocument/2006/relationships/hyperlink" Target="https://agenciadeaduanapirazzoli-my.sharepoint.com/:b:/g/personal/mmorales_pirazzoli_cl/IQD_kGAm2_aoRIGwKWiimpZcAU_cRdRtzTw15DWsHbsfvE8?e=SZh6cU" TargetMode="External"/><Relationship Id="rId359" Type="http://schemas.openxmlformats.org/officeDocument/2006/relationships/hyperlink" Target="https://agenciadeaduanapirazzoli-my.sharepoint.com/:b:/g/personal/mmorales_pirazzoli_cl/IQD-Hh-6taqsS6OnB447GaF-AdMOsslilT01DoKN0qCpN88?e=lnvz05" TargetMode="External"/><Relationship Id="rId566" Type="http://schemas.openxmlformats.org/officeDocument/2006/relationships/hyperlink" Target="https://agenciadeaduanapirazzoli-my.sharepoint.com/:b:/g/personal/mmorales_pirazzoli_cl/IQBObMmpjmGNRIpt7g8Rqhc0AQc_9Ci2fbyxpOxD5GJ4W5E?e=LmLODj" TargetMode="External"/><Relationship Id="rId773" Type="http://schemas.openxmlformats.org/officeDocument/2006/relationships/hyperlink" Target="https://agenciadeaduanapirazzoli-my.sharepoint.com/:b:/g/personal/mmorales_pirazzoli_cl/IQD-ie-rzr8KQYOKS1uGswANAcAh5VeoB1H8KqB7LCu84FY?e=dh9Pax" TargetMode="External"/><Relationship Id="rId1196" Type="http://schemas.openxmlformats.org/officeDocument/2006/relationships/hyperlink" Target="https://agenciadeaduanapirazzoli-my.sharepoint.com/:b:/g/personal/mmorales_pirazzoli_cl/IQDoaRyl0jx-TaHsma6GIGlgAUQFlLcKvqSxIB9l1H7UWrM?e=iEjtnr" TargetMode="External"/><Relationship Id="rId121" Type="http://schemas.openxmlformats.org/officeDocument/2006/relationships/hyperlink" Target="https://agenciadeaduanapirazzoli-my.sharepoint.com/:b:/g/personal/mmorales_pirazzoli_cl/IQCqujHHVVDPT6-tUohdHS8yAcEiGmwMGLFzAa0xZMWFM7k?e=5fg7Pf" TargetMode="External"/><Relationship Id="rId219" Type="http://schemas.openxmlformats.org/officeDocument/2006/relationships/hyperlink" Target="https://agenciadeaduanapirazzoli-my.sharepoint.com/:b:/g/personal/mmorales_pirazzoli_cl/IQC_SH-hoaH2RJWN2_TicqmnAbHZXbgkFirHeo4wyDReNPQ?e=xeYjWY" TargetMode="External"/><Relationship Id="rId426" Type="http://schemas.openxmlformats.org/officeDocument/2006/relationships/hyperlink" Target="https://agenciadeaduanapirazzoli-my.sharepoint.com/:b:/g/personal/mmorales_pirazzoli_cl/IQAeYrW8q_eIRLF3eI20wAg8AZyCtB_pIOU5h3CH2eYdCRU?e=M0tOmd" TargetMode="External"/><Relationship Id="rId633" Type="http://schemas.openxmlformats.org/officeDocument/2006/relationships/hyperlink" Target="https://agenciadeaduanapirazzoli-my.sharepoint.com/:b:/g/personal/mmorales_pirazzoli_cl/IQAIgXy5-u0ZSoTeEbWRp8odAfWNF3iNblqzXPCyJRYv3gI?e=wSvja3" TargetMode="External"/><Relationship Id="rId980" Type="http://schemas.openxmlformats.org/officeDocument/2006/relationships/hyperlink" Target="https://agenciadeaduanapirazzoli-my.sharepoint.com/:b:/g/personal/mmorales_pirazzoli_cl/IQB7qQ4GmmHyRYdN9jd3RNbTAffLWUL71ztg9CN_ZBnxKrE?e=VbGT9v" TargetMode="External"/><Relationship Id="rId1056" Type="http://schemas.openxmlformats.org/officeDocument/2006/relationships/hyperlink" Target="https://agenciadeaduanapirazzoli-my.sharepoint.com/:b:/g/personal/mmorales_pirazzoli_cl/IQBd8K0QFAYbQ7IiMcMONpBnASFxlpVxI93q6gMVsG-LsXY?e=RFW6h4" TargetMode="External"/><Relationship Id="rId1263" Type="http://schemas.openxmlformats.org/officeDocument/2006/relationships/hyperlink" Target="https://agenciadeaduanapirazzoli-my.sharepoint.com/:b:/g/personal/mmorales_pirazzoli_cl/IQAap6_oeHtbS6MESqd-_mO4AfB5p_g2R6tuf4lQ0o8Bza8?e=Irme3t" TargetMode="External"/><Relationship Id="rId840" Type="http://schemas.openxmlformats.org/officeDocument/2006/relationships/hyperlink" Target="https://agenciadeaduanapirazzoli-my.sharepoint.com/:b:/g/personal/mmorales_pirazzoli_cl/IQDjU4OSV23NSKxoGJAfVsITAY459_709k8N385MFZ-UuVk?e=3Mjt5h" TargetMode="External"/><Relationship Id="rId938" Type="http://schemas.openxmlformats.org/officeDocument/2006/relationships/hyperlink" Target="https://agenciadeaduanapirazzoli-my.sharepoint.com/:b:/g/personal/mmorales_pirazzoli_cl/IQCjylzT_V-yTqq5thkyqH1UAQeXt1fBbznfIVJUbnBkTRI?e=MYVt4F" TargetMode="External"/><Relationship Id="rId67" Type="http://schemas.openxmlformats.org/officeDocument/2006/relationships/hyperlink" Target="https://agenciadeaduanapirazzoli-my.sharepoint.com/:b:/g/personal/mmorales_pirazzoli_cl/IQABrj6xadZJTo2iFCffuWqZAY5a2UjYPIGiPyj0BcInIkA?e=mfz9mY" TargetMode="External"/><Relationship Id="rId272" Type="http://schemas.openxmlformats.org/officeDocument/2006/relationships/hyperlink" Target="https://agenciadeaduanapirazzoli-my.sharepoint.com/:b:/g/personal/mmorales_pirazzoli_cl/IQAoKrYXGL6NQ4Sk2oorXIt9AWrtcAmchR4HqOkK78IDmOI?e=rFprhB" TargetMode="External"/><Relationship Id="rId577" Type="http://schemas.openxmlformats.org/officeDocument/2006/relationships/hyperlink" Target="https://agenciadeaduanapirazzoli-my.sharepoint.com/:b:/g/personal/mmorales_pirazzoli_cl/IQB3o-bemkDbS7EwdQP_D4VDARaK3olV_91KV-pq3d-Hh1k?e=aJ2wNN" TargetMode="External"/><Relationship Id="rId700" Type="http://schemas.openxmlformats.org/officeDocument/2006/relationships/hyperlink" Target="https://agenciadeaduanapirazzoli-my.sharepoint.com/:b:/g/personal/mmorales_pirazzoli_cl/IQDKMNxmCPaKSqEc7IHoeCQIAedGtDt4SqhJWyBVrR8H8QE?e=jWbKMS" TargetMode="External"/><Relationship Id="rId1123" Type="http://schemas.openxmlformats.org/officeDocument/2006/relationships/hyperlink" Target="https://agenciadeaduanapirazzoli-my.sharepoint.com/:b:/g/personal/mmorales_pirazzoli_cl/IQB8UrW-zmZOQroxqaOG6I7eAR1HZsrMCfANhz7wBrAlcpM?e=J6rE1J" TargetMode="External"/><Relationship Id="rId132" Type="http://schemas.openxmlformats.org/officeDocument/2006/relationships/hyperlink" Target="https://agenciadeaduanapirazzoli-my.sharepoint.com/:b:/g/personal/mmorales_pirazzoli_cl/IQAFIZdrO-VdQ5I6H_Ci0OhhAcPB0hw7upemwyl_NNulrYo?e=uzobUP" TargetMode="External"/><Relationship Id="rId784" Type="http://schemas.openxmlformats.org/officeDocument/2006/relationships/hyperlink" Target="https://agenciadeaduanapirazzoli-my.sharepoint.com/:b:/g/personal/mmorales_pirazzoli_cl/IQDGKsGR3GvsSaaDGWO_29hMATCmRIQ6btofhKyZ4uq6RmU?e=LenFqk" TargetMode="External"/><Relationship Id="rId991" Type="http://schemas.openxmlformats.org/officeDocument/2006/relationships/hyperlink" Target="https://agenciadeaduanapirazzoli-my.sharepoint.com/:b:/g/personal/mmorales_pirazzoli_cl/IQB8VVcYnH8LS54RIMtBk176AWWyZguP9UhRJzYmJOy-Vpw?e=bbSW1E" TargetMode="External"/><Relationship Id="rId1067" Type="http://schemas.openxmlformats.org/officeDocument/2006/relationships/hyperlink" Target="https://agenciadeaduanapirazzoli-my.sharepoint.com/:b:/g/personal/mmorales_pirazzoli_cl/IQC38bVb2I7USrjohcO6YrAhAdHLNHe_I2JmffXNJUVLLX0?e=6sYR02" TargetMode="External"/><Relationship Id="rId437" Type="http://schemas.openxmlformats.org/officeDocument/2006/relationships/hyperlink" Target="https://agenciadeaduanapirazzoli-my.sharepoint.com/:b:/g/personal/mmorales_pirazzoli_cl/IQDvGg9zD7sDQpIBKKoOCI8BARMKH8IcGPNNhknLYqEue0U?e=Y0XOYR" TargetMode="External"/><Relationship Id="rId644" Type="http://schemas.openxmlformats.org/officeDocument/2006/relationships/hyperlink" Target="https://agenciadeaduanapirazzoli-my.sharepoint.com/:b:/g/personal/mmorales_pirazzoli_cl/IQA4709MueAzTZ2vpjsXFcW_AQMKvjUluv1SpqwKr_t-UDY?e=FGPHEK" TargetMode="External"/><Relationship Id="rId851" Type="http://schemas.openxmlformats.org/officeDocument/2006/relationships/hyperlink" Target="https://agenciadeaduanapirazzoli-my.sharepoint.com/:b:/g/personal/mmorales_pirazzoli_cl/IQAtOQb4DrU1QIv-HCBKNkhdARjpCMNbu3co9PFF3BKh_7o?e=zTqiP6" TargetMode="External"/><Relationship Id="rId1274" Type="http://schemas.openxmlformats.org/officeDocument/2006/relationships/hyperlink" Target="https://agenciadeaduanapirazzoli-my.sharepoint.com/:b:/g/personal/mmorales_pirazzoli_cl/IQCZWB-iT8eoRa1dTRst8s2sAY7D1x7Za8s29hGJdNj94S4?e=03bLZW" TargetMode="External"/><Relationship Id="rId283" Type="http://schemas.openxmlformats.org/officeDocument/2006/relationships/hyperlink" Target="https://agenciadeaduanapirazzoli-my.sharepoint.com/:b:/g/personal/mmorales_pirazzoli_cl/IQBeo9n1Ybg1SalbC28uqFyKAeVmqB3S0wAZOqgRsD21L8U?e=suNlbA" TargetMode="External"/><Relationship Id="rId490" Type="http://schemas.openxmlformats.org/officeDocument/2006/relationships/hyperlink" Target="https://agenciadeaduanapirazzoli-my.sharepoint.com/:b:/g/personal/mmorales_pirazzoli_cl/IQAnNRXik4lkT4TNnz890TcaAS9HPeVBB52yMO1ddl4GiVc?e=zpxawn" TargetMode="External"/><Relationship Id="rId504" Type="http://schemas.openxmlformats.org/officeDocument/2006/relationships/hyperlink" Target="https://agenciadeaduanapirazzoli-my.sharepoint.com/:b:/g/personal/mmorales_pirazzoli_cl/IQBAR_1QWphRR4vBnGDKa5SiAdpf73ZbjpnHobDFGQ3r96c?e=FAtaUL" TargetMode="External"/><Relationship Id="rId711" Type="http://schemas.openxmlformats.org/officeDocument/2006/relationships/hyperlink" Target="https://agenciadeaduanapirazzoli-my.sharepoint.com/:b:/g/personal/mmorales_pirazzoli_cl/IQCE64-_PnTiTKpxBgIKkG_XATLoQchZ_0iG4wn4qCYaGxI?e=bOosKw" TargetMode="External"/><Relationship Id="rId949" Type="http://schemas.openxmlformats.org/officeDocument/2006/relationships/hyperlink" Target="https://agenciadeaduanapirazzoli-my.sharepoint.com/:b:/g/personal/mmorales_pirazzoli_cl/IQCI74j3qQn7TZUR7hBGoPvwAZXuFN8kDy8egBCVquwPIjY?e=Ze5fRP" TargetMode="External"/><Relationship Id="rId1134" Type="http://schemas.openxmlformats.org/officeDocument/2006/relationships/hyperlink" Target="https://agenciadeaduanapirazzoli-my.sharepoint.com/:b:/g/personal/mmorales_pirazzoli_cl/IQAI87_c8jx7Tq5iNXOT2XTJAZqkdLzt0svk2jyCBCfl3qE?e=qjVIDE" TargetMode="External"/><Relationship Id="rId78" Type="http://schemas.openxmlformats.org/officeDocument/2006/relationships/hyperlink" Target="https://agenciadeaduanapirazzoli-my.sharepoint.com/:b:/g/personal/mmorales_pirazzoli_cl/IQDpQBeX5nzcQL81XaGYhi2MAbBZFf64gK1y5kh3xFQq5V8?e=bTMnfE" TargetMode="External"/><Relationship Id="rId143" Type="http://schemas.openxmlformats.org/officeDocument/2006/relationships/hyperlink" Target="https://agenciadeaduanapirazzoli-my.sharepoint.com/:b:/g/personal/mmorales_pirazzoli_cl/IQCGWEROSwYpT7DB-BOwd4nJAeknN4pzGvuI3Y99_9Vhpq0?e=SBViZu" TargetMode="External"/><Relationship Id="rId350" Type="http://schemas.openxmlformats.org/officeDocument/2006/relationships/hyperlink" Target="https://agenciadeaduanapirazzoli-my.sharepoint.com/:b:/g/personal/mmorales_pirazzoli_cl/IQD6gfoCF_3fSbu_0wkxoSC7AdkXfSHyV5nvBezhbJ9Yp-c?e=iCVo9i" TargetMode="External"/><Relationship Id="rId588" Type="http://schemas.openxmlformats.org/officeDocument/2006/relationships/hyperlink" Target="https://agenciadeaduanapirazzoli-my.sharepoint.com/:b:/g/personal/mmorales_pirazzoli_cl/IQDOQgZ3SXGAT7Xrx_t6L8T5AdYrJ0Zol-cB29bHAQBuD_Y?e=BvBaIp" TargetMode="External"/><Relationship Id="rId795" Type="http://schemas.openxmlformats.org/officeDocument/2006/relationships/hyperlink" Target="https://agenciadeaduanapirazzoli-my.sharepoint.com/:b:/g/personal/mmorales_pirazzoli_cl/IQDF859Zep0ZTaWVnZyUk4A2AdY9gdqcNPMEs_23awUdnKs?e=ZzjWM0" TargetMode="External"/><Relationship Id="rId809" Type="http://schemas.openxmlformats.org/officeDocument/2006/relationships/hyperlink" Target="https://agenciadeaduanapirazzoli-my.sharepoint.com/:b:/g/personal/mmorales_pirazzoli_cl/IQCXpRIHfgbUTKY1ioZlc4s1AfnVRnaYN-soa_uoaEB0E_E?e=OWM7wT" TargetMode="External"/><Relationship Id="rId1201" Type="http://schemas.openxmlformats.org/officeDocument/2006/relationships/hyperlink" Target="https://agenciadeaduanapirazzoli-my.sharepoint.com/:b:/g/personal/mmorales_pirazzoli_cl/IQAEVES9k3QMTqztquIahsBZAXxYQGFcpAQ6NT3NzySV_v4?e=EiaBYJ" TargetMode="External"/><Relationship Id="rId9" Type="http://schemas.openxmlformats.org/officeDocument/2006/relationships/hyperlink" Target="https://agenciadeaduanapirazzoli-my.sharepoint.com/:b:/g/personal/mmorales_pirazzoli_cl/IQCRAHoV1wL9Spwnn-aD-z_2AUduPtoW7JyO0VHZTHfRUG0?e=ddZs4T" TargetMode="External"/><Relationship Id="rId210" Type="http://schemas.openxmlformats.org/officeDocument/2006/relationships/hyperlink" Target="https://agenciadeaduanapirazzoli-my.sharepoint.com/:b:/g/personal/mmorales_pirazzoli_cl/IQDKi_RspWpJS5koTYFV9MkPAW5bo_20jFugUWywuhjXXYk?e=3EW83W" TargetMode="External"/><Relationship Id="rId448" Type="http://schemas.openxmlformats.org/officeDocument/2006/relationships/hyperlink" Target="https://agenciadeaduanapirazzoli-my.sharepoint.com/:b:/g/personal/mmorales_pirazzoli_cl/IQBnbI-L2WHgSY-GkotWnipRAbEwDeSvGEiwVQ3m4UEgY1I?e=S9p1Jr" TargetMode="External"/><Relationship Id="rId655" Type="http://schemas.openxmlformats.org/officeDocument/2006/relationships/hyperlink" Target="https://agenciadeaduanapirazzoli-my.sharepoint.com/:b:/g/personal/mmorales_pirazzoli_cl/IQAo1krnZ9r8T50b61DBtEWTAYqg48aCt7zPnXFZN8IefAs?e=emui7D" TargetMode="External"/><Relationship Id="rId862" Type="http://schemas.openxmlformats.org/officeDocument/2006/relationships/hyperlink" Target="https://agenciadeaduanapirazzoli-my.sharepoint.com/:b:/g/personal/mmorales_pirazzoli_cl/IQAz3tiJbrBTRpamLyO0IsE7AZJjt6FxFEQdQL5ZMB1lM-g?e=KfsxKR" TargetMode="External"/><Relationship Id="rId1078" Type="http://schemas.openxmlformats.org/officeDocument/2006/relationships/hyperlink" Target="https://agenciadeaduanapirazzoli-my.sharepoint.com/:b:/g/personal/mmorales_pirazzoli_cl/IQDHsbUP5VTfSIIVqry8vEW7AYUAf9qQjQX95t5N8-UEsOs?e=CybjAi" TargetMode="External"/><Relationship Id="rId1285" Type="http://schemas.openxmlformats.org/officeDocument/2006/relationships/hyperlink" Target="https://agenciadeaduanapirazzoli-my.sharepoint.com/:b:/g/personal/mmorales_pirazzoli_cl/IQCtX3giI0yLTq3NXsI56OuaAfDK8TZH6FyHyVCqVVl11d0?e=h1yC0I" TargetMode="External"/><Relationship Id="rId294" Type="http://schemas.openxmlformats.org/officeDocument/2006/relationships/hyperlink" Target="https://agenciadeaduanapirazzoli-my.sharepoint.com/:b:/g/personal/mmorales_pirazzoli_cl/IQDdlixdfe4eSr6czFe5gLZ0ATUCB7XynCnJmw4LDvBd3jI?e=dbwQ9s" TargetMode="External"/><Relationship Id="rId308" Type="http://schemas.openxmlformats.org/officeDocument/2006/relationships/hyperlink" Target="https://agenciadeaduanapirazzoli-my.sharepoint.com/:b:/g/personal/mmorales_pirazzoli_cl/IQCtxiTgTwmsRpCVYdN2lpGVAbpmg-V0UxpWH5-SAL4qNbE?e=fntx1S" TargetMode="External"/><Relationship Id="rId515" Type="http://schemas.openxmlformats.org/officeDocument/2006/relationships/hyperlink" Target="https://agenciadeaduanapirazzoli-my.sharepoint.com/:b:/g/personal/mmorales_pirazzoli_cl/IQDIKuflQBkmQqIjWdffRntWAVD0hDymz9cBDhGR0hBRpKg?e=dYlw21" TargetMode="External"/><Relationship Id="rId722" Type="http://schemas.openxmlformats.org/officeDocument/2006/relationships/hyperlink" Target="https://agenciadeaduanapirazzoli-my.sharepoint.com/:b:/g/personal/mmorales_pirazzoli_cl/IQANy9unSxnMS6TEbkzLtUTgAaSEHgLluz5GaOrd_W_iaog?e=2jWG5p" TargetMode="External"/><Relationship Id="rId1145" Type="http://schemas.openxmlformats.org/officeDocument/2006/relationships/hyperlink" Target="https://agenciadeaduanapirazzoli-my.sharepoint.com/:b:/g/personal/mmorales_pirazzoli_cl/IQD3oKojixxAS4j8Z7WurPpNARBK-wYtvpuXqBSO0Qf3Nl4?e=g3lggr" TargetMode="External"/><Relationship Id="rId89" Type="http://schemas.openxmlformats.org/officeDocument/2006/relationships/hyperlink" Target="https://agenciadeaduanapirazzoli-my.sharepoint.com/:b:/g/personal/mmorales_pirazzoli_cl/IQAlpPTnJw1cToM_odqpG9C0AY4rK71v96G-Udn_EMVCMw4?e=c44sUr" TargetMode="External"/><Relationship Id="rId154" Type="http://schemas.openxmlformats.org/officeDocument/2006/relationships/hyperlink" Target="https://agenciadeaduanapirazzoli-my.sharepoint.com/:b:/g/personal/mmorales_pirazzoli_cl/IQC0pRJiH3slSrnYAGbEnzK8AStxKtacw8tUrQmlE1drVbE?e=hUjq3i" TargetMode="External"/><Relationship Id="rId361" Type="http://schemas.openxmlformats.org/officeDocument/2006/relationships/hyperlink" Target="https://agenciadeaduanapirazzoli-my.sharepoint.com/:b:/g/personal/mmorales_pirazzoli_cl/IQC4s-ldZjl4TYVjGrB1BkMzAQMXnYAdRJdYIarXOiVfXZQ?e=rYVUfr" TargetMode="External"/><Relationship Id="rId599" Type="http://schemas.openxmlformats.org/officeDocument/2006/relationships/hyperlink" Target="https://agenciadeaduanapirazzoli-my.sharepoint.com/:b:/g/personal/mmorales_pirazzoli_cl/IQALqzEzZY5OTYhWC8eQ3lDMAfX8KLHIswdzjZpDRViO42k?e=rIco7c" TargetMode="External"/><Relationship Id="rId1005" Type="http://schemas.openxmlformats.org/officeDocument/2006/relationships/hyperlink" Target="https://agenciadeaduanapirazzoli-my.sharepoint.com/:b:/g/personal/mmorales_pirazzoli_cl/IQB1BO56-nlbTbck5sHI_mjsAYp9Bj1AkJNXjxiOiEcUmrA?e=yKHirv" TargetMode="External"/><Relationship Id="rId1212" Type="http://schemas.openxmlformats.org/officeDocument/2006/relationships/hyperlink" Target="https://agenciadeaduanapirazzoli-my.sharepoint.com/:b:/g/personal/mmorales_pirazzoli_cl/IQDvSeEAsDcpTqlGxHTrD9h6AQWK1dkFSuvmBlKldgoFf78?e=rUNKpB" TargetMode="External"/><Relationship Id="rId459" Type="http://schemas.openxmlformats.org/officeDocument/2006/relationships/hyperlink" Target="https://agenciadeaduanapirazzoli-my.sharepoint.com/:b:/g/personal/mmorales_pirazzoli_cl/IQD3DSxBUbEeSbcEEA99UFoGASI8rTBL_zDP4Lsg1KI_LhI?e=PDHcCJ" TargetMode="External"/><Relationship Id="rId666" Type="http://schemas.openxmlformats.org/officeDocument/2006/relationships/hyperlink" Target="https://agenciadeaduanapirazzoli-my.sharepoint.com/:b:/g/personal/mmorales_pirazzoli_cl/IQANNNCd_3B3RLKjEgpycREbAfPJfwe-8X6Tn0D09roTVuE?e=P155lg" TargetMode="External"/><Relationship Id="rId873" Type="http://schemas.openxmlformats.org/officeDocument/2006/relationships/hyperlink" Target="https://agenciadeaduanapirazzoli-my.sharepoint.com/:b:/g/personal/mmorales_pirazzoli_cl/IQCryCnWZImBQ7oB-uAUtqboAXynI4zsG9gaG0pUPFAvmUE?e=3UtqSb" TargetMode="External"/><Relationship Id="rId1089" Type="http://schemas.openxmlformats.org/officeDocument/2006/relationships/hyperlink" Target="https://agenciadeaduanapirazzoli-my.sharepoint.com/:b:/g/personal/mmorales_pirazzoli_cl/IQDS-APL-tE3TJqROiTxQ7BOAYCRYt2wi4ew9mwEaDM2moQ?e=soIOwe" TargetMode="External"/><Relationship Id="rId1296" Type="http://schemas.openxmlformats.org/officeDocument/2006/relationships/hyperlink" Target="https://agenciadeaduanapirazzoli-my.sharepoint.com/:b:/g/personal/mmorales_pirazzoli_cl/IQA1Q1V1oMq9SL6nnhvIKOPoARUeq4oMGN2SAvfIUKmHs4M?e=njZdZq" TargetMode="External"/><Relationship Id="rId16" Type="http://schemas.openxmlformats.org/officeDocument/2006/relationships/hyperlink" Target="https://agenciadeaduanapirazzoli-my.sharepoint.com/:b:/g/personal/mmorales_pirazzoli_cl/IQBWAz6pZ-lvRYZvhF90TMCPAaLpBPdpV6gi7qcAzsH_B-4?e=hH6ChG" TargetMode="External"/><Relationship Id="rId221" Type="http://schemas.openxmlformats.org/officeDocument/2006/relationships/hyperlink" Target="https://agenciadeaduanapirazzoli-my.sharepoint.com/:b:/g/personal/mmorales_pirazzoli_cl/IQD3rBcgpM2KTYLGvQ2AHZzOAaMkK1QXtEFg7_zfmMEX93Q?e=GeSzAl" TargetMode="External"/><Relationship Id="rId319" Type="http://schemas.openxmlformats.org/officeDocument/2006/relationships/hyperlink" Target="https://agenciadeaduanapirazzoli-my.sharepoint.com/:b:/g/personal/mmorales_pirazzoli_cl/IQAjGAuRgh43SKf1edA5opg6AdDcLNbyVIbgJfC32tC4ANc?e=XAO3xE" TargetMode="External"/><Relationship Id="rId526" Type="http://schemas.openxmlformats.org/officeDocument/2006/relationships/hyperlink" Target="https://agenciadeaduanapirazzoli-my.sharepoint.com/:b:/g/personal/mmorales_pirazzoli_cl/IQDF9kUmorGiQpiCsfZOAxn8AZ61gVugBLkeI7AO7HZ3VvA?e=r0XujE" TargetMode="External"/><Relationship Id="rId1156" Type="http://schemas.openxmlformats.org/officeDocument/2006/relationships/hyperlink" Target="https://agenciadeaduanapirazzoli-my.sharepoint.com/:b:/g/personal/mmorales_pirazzoli_cl/IQCVWem1rY7yT5X16HHTqnxeATBKy11X6fIDi0ml6ITwz5E?e=PpzpNx" TargetMode="External"/><Relationship Id="rId733" Type="http://schemas.openxmlformats.org/officeDocument/2006/relationships/hyperlink" Target="https://agenciadeaduanapirazzoli-my.sharepoint.com/:b:/g/personal/mmorales_pirazzoli_cl/IQDe3NxNri_uQoeiIJuKnessAZCutW81o_NFZ8S009gYVfw?e=gC7yR4" TargetMode="External"/><Relationship Id="rId940" Type="http://schemas.openxmlformats.org/officeDocument/2006/relationships/hyperlink" Target="https://agenciadeaduanapirazzoli-my.sharepoint.com/:b:/g/personal/mmorales_pirazzoli_cl/IQCvdnlu2_IOT7nMgLKHi52vAUtfoi7-AY_TK1bsSpio-pI?e=7zTxw9" TargetMode="External"/><Relationship Id="rId1016" Type="http://schemas.openxmlformats.org/officeDocument/2006/relationships/hyperlink" Target="https://agenciadeaduanapirazzoli-my.sharepoint.com/:b:/g/personal/mmorales_pirazzoli_cl/IQAZf5bx-C30TI7UGqNt64QzAQaoMnbQ4-Z2E-DTltzU7ts?e=yjteYZ" TargetMode="External"/><Relationship Id="rId165" Type="http://schemas.openxmlformats.org/officeDocument/2006/relationships/hyperlink" Target="https://agenciadeaduanapirazzoli-my.sharepoint.com/:b:/g/personal/mmorales_pirazzoli_cl/IQDZRv8A2KqfRLJo-obzfOb4AagjA8KcqEkvNbp2SIc6N2Q?e=3hFfZ3" TargetMode="External"/><Relationship Id="rId372" Type="http://schemas.openxmlformats.org/officeDocument/2006/relationships/hyperlink" Target="https://agenciadeaduanapirazzoli-my.sharepoint.com/:b:/g/personal/mmorales_pirazzoli_cl/IQB9kq-oJgdjRr_HDfRE2WO7ARLtQuii0r3dIEyB7WSt9_k?e=IXOYQv" TargetMode="External"/><Relationship Id="rId677" Type="http://schemas.openxmlformats.org/officeDocument/2006/relationships/hyperlink" Target="https://agenciadeaduanapirazzoli-my.sharepoint.com/:b:/g/personal/mmorales_pirazzoli_cl/IQDST-XA5iZ3S4QYHaSY8OlcAcowgAMj2NCBHvylqoRShrA?e=zXu9SR" TargetMode="External"/><Relationship Id="rId800" Type="http://schemas.openxmlformats.org/officeDocument/2006/relationships/hyperlink" Target="https://agenciadeaduanapirazzoli-my.sharepoint.com/:b:/g/personal/mmorales_pirazzoli_cl/IQBxYhrJwjWNRKc65-HgTBTrAf2-eYqqZ5RpoxV6EwB9qwg?e=geRHLG" TargetMode="External"/><Relationship Id="rId1223" Type="http://schemas.openxmlformats.org/officeDocument/2006/relationships/hyperlink" Target="https://agenciadeaduanapirazzoli-my.sharepoint.com/:b:/g/personal/mmorales_pirazzoli_cl/IQAtZ6BT1ALgRrn4TmEanSBqAW0FEODyJLKRg_rVJ_wza8g?e=TC5Qfl" TargetMode="External"/><Relationship Id="rId232" Type="http://schemas.openxmlformats.org/officeDocument/2006/relationships/hyperlink" Target="https://agenciadeaduanapirazzoli-my.sharepoint.com/:b:/g/personal/mmorales_pirazzoli_cl/IQBK5tfZKLcRToCWQO0kFXj0AdSc5W_8a63MfhCNIc65Hjc?e=BnPvtR" TargetMode="External"/><Relationship Id="rId884" Type="http://schemas.openxmlformats.org/officeDocument/2006/relationships/hyperlink" Target="https://agenciadeaduanapirazzoli-my.sharepoint.com/:b:/g/personal/mmorales_pirazzoli_cl/IQDO4y6H5ahGTZeeCOTQmsjXAZIu-DdazXRro92r7yPa55A?e=0E7lrT" TargetMode="External"/><Relationship Id="rId27" Type="http://schemas.openxmlformats.org/officeDocument/2006/relationships/hyperlink" Target="https://agenciadeaduanapirazzoli-my.sharepoint.com/:b:/g/personal/mmorales_pirazzoli_cl/IQDV9rZF5bfEQIMc6Cnjsq5kAZopQ7T1wzLD-d6FjcvXS9I?e=bReGUT" TargetMode="External"/><Relationship Id="rId537" Type="http://schemas.openxmlformats.org/officeDocument/2006/relationships/hyperlink" Target="https://agenciadeaduanapirazzoli-my.sharepoint.com/:b:/g/personal/mmorales_pirazzoli_cl/IQAbKTxi17boSpqXhht6cr8VAdNh2ZOPyCDHowLrCuecAdc?e=3G79m3" TargetMode="External"/><Relationship Id="rId744" Type="http://schemas.openxmlformats.org/officeDocument/2006/relationships/hyperlink" Target="https://agenciadeaduanapirazzoli-my.sharepoint.com/:b:/g/personal/mmorales_pirazzoli_cl/IQDggHNP1Y9DS6XWPkToL8tDAUXlkcSd77gAOlX27nDzwqM?e=qQMVr9" TargetMode="External"/><Relationship Id="rId951" Type="http://schemas.openxmlformats.org/officeDocument/2006/relationships/hyperlink" Target="https://agenciadeaduanapirazzoli-my.sharepoint.com/:b:/g/personal/mmorales_pirazzoli_cl/IQAbzY09rsUvSqfpLB76a7e5AV5WcJAWlj-2tbL29wM1wYQ?e=aGWo13" TargetMode="External"/><Relationship Id="rId1167" Type="http://schemas.openxmlformats.org/officeDocument/2006/relationships/hyperlink" Target="https://agenciadeaduanapirazzoli-my.sharepoint.com/:b:/g/personal/mmorales_pirazzoli_cl/IQCyQH0cv6HtSarlkMvVeTfvAUEbGktlOIMevkCE9GVJ_mE?e=YOVykG" TargetMode="External"/><Relationship Id="rId80" Type="http://schemas.openxmlformats.org/officeDocument/2006/relationships/hyperlink" Target="https://agenciadeaduanapirazzoli-my.sharepoint.com/:b:/g/personal/mmorales_pirazzoli_cl/IQAnVTh5HaOXTpVlQ1A3XHvmAewXr9CPHJaWplU-S-eBvlA?e=ASsqyd" TargetMode="External"/><Relationship Id="rId176" Type="http://schemas.openxmlformats.org/officeDocument/2006/relationships/hyperlink" Target="https://agenciadeaduanapirazzoli-my.sharepoint.com/:b:/g/personal/mmorales_pirazzoli_cl/IQA5LLN5zUsQQ4q-6JfTCuAnAXDf0MgqPB9AY9V8u6mQ49g?e=I6pjLc" TargetMode="External"/><Relationship Id="rId383" Type="http://schemas.openxmlformats.org/officeDocument/2006/relationships/hyperlink" Target="https://agenciadeaduanapirazzoli-my.sharepoint.com/:b:/g/personal/mmorales_pirazzoli_cl/IQDj_egqr9dSQrY19fMfrgNxAdPAg6DQuoAnbapRj3v8fwM?e=7C0UZg" TargetMode="External"/><Relationship Id="rId590" Type="http://schemas.openxmlformats.org/officeDocument/2006/relationships/hyperlink" Target="https://agenciadeaduanapirazzoli-my.sharepoint.com/:b:/g/personal/mmorales_pirazzoli_cl/IQBq1Ue76TIcRo8VRLJyxEjQAYKihHL6uWnVSmDSFJ8kZF4?e=aNCVCz" TargetMode="External"/><Relationship Id="rId604" Type="http://schemas.openxmlformats.org/officeDocument/2006/relationships/hyperlink" Target="https://agenciadeaduanapirazzoli-my.sharepoint.com/:b:/g/personal/mmorales_pirazzoli_cl/IQA7heIPwncVQK0btsiY4gehAaVObOEirKEeugPNoxQHlEo?e=gvH5py" TargetMode="External"/><Relationship Id="rId811" Type="http://schemas.openxmlformats.org/officeDocument/2006/relationships/hyperlink" Target="https://agenciadeaduanapirazzoli-my.sharepoint.com/:b:/g/personal/mmorales_pirazzoli_cl/IQCV5GZqtfAHSZ6tZHPVionAAZY4Ig749r3UAzM27L26W8w?e=OBmadT" TargetMode="External"/><Relationship Id="rId1027" Type="http://schemas.openxmlformats.org/officeDocument/2006/relationships/hyperlink" Target="https://agenciadeaduanapirazzoli-my.sharepoint.com/:b:/g/personal/mmorales_pirazzoli_cl/IQA0FDTWFMfkTrFXSBdNfCqoAV_a9o7S_lm4ES-MtX9NHSs?e=3Kxs6C" TargetMode="External"/><Relationship Id="rId1234" Type="http://schemas.openxmlformats.org/officeDocument/2006/relationships/hyperlink" Target="https://agenciadeaduanapirazzoli-my.sharepoint.com/:b:/g/personal/mmorales_pirazzoli_cl/IQC6MRvZ2aJzSZCXcK0TcbNqAckOzzPmeTw-mLxf0RyLf-0?e=8slivf" TargetMode="External"/><Relationship Id="rId243" Type="http://schemas.openxmlformats.org/officeDocument/2006/relationships/hyperlink" Target="https://agenciadeaduanapirazzoli-my.sharepoint.com/:b:/g/personal/mmorales_pirazzoli_cl/IQB75EgU-CqiRJOX1vrjialsATW0RsqT2cDFT3dfFhbnLPU?e=dRBLfh" TargetMode="External"/><Relationship Id="rId450" Type="http://schemas.openxmlformats.org/officeDocument/2006/relationships/hyperlink" Target="https://agenciadeaduanapirazzoli-my.sharepoint.com/:b:/g/personal/mmorales_pirazzoli_cl/IQDQtq6TZI8RS5TvJwRtzB4-Ae2Ie98L2dR0rIuniqWSjtY?e=5GhUYX" TargetMode="External"/><Relationship Id="rId688" Type="http://schemas.openxmlformats.org/officeDocument/2006/relationships/hyperlink" Target="https://agenciadeaduanapirazzoli-my.sharepoint.com/:b:/g/personal/mmorales_pirazzoli_cl/IQAjbgXGgbbXR4x66zFiOcPeAcVB90rJjEKVyFlG1-_etlk?e=8QOVXB" TargetMode="External"/><Relationship Id="rId895" Type="http://schemas.openxmlformats.org/officeDocument/2006/relationships/hyperlink" Target="https://agenciadeaduanapirazzoli-my.sharepoint.com/:b:/g/personal/mmorales_pirazzoli_cl/IQCkal9k3JcjTKOFkhFvNdAzAaNj_54B_LsNdInaBqWwrgY?e=yMt0wV" TargetMode="External"/><Relationship Id="rId909" Type="http://schemas.openxmlformats.org/officeDocument/2006/relationships/hyperlink" Target="https://agenciadeaduanapirazzoli-my.sharepoint.com/:b:/g/personal/mmorales_pirazzoli_cl/IQA2wxin5JTmRaUCL31B68FxAfcB2zN_DjLFgpkZPR10BII?e=QqKxEj" TargetMode="External"/><Relationship Id="rId1080" Type="http://schemas.openxmlformats.org/officeDocument/2006/relationships/hyperlink" Target="https://agenciadeaduanapirazzoli-my.sharepoint.com/:b:/g/personal/mmorales_pirazzoli_cl/IQCejjgiFeEXT7qzrHeE5W6iAcHcOjl7SQV-P5sehY2OEk0?e=LsE3rH" TargetMode="External"/><Relationship Id="rId1301" Type="http://schemas.openxmlformats.org/officeDocument/2006/relationships/hyperlink" Target="https://agenciadeaduanapirazzoli-my.sharepoint.com/:b:/g/personal/mmorales_pirazzoli_cl/IQA6gAGKsJFaSbmFO7HPohI6AcZyJpBLKRaKx0yGJIP3qnk?e=wk9BEY" TargetMode="External"/><Relationship Id="rId38" Type="http://schemas.openxmlformats.org/officeDocument/2006/relationships/hyperlink" Target="https://agenciadeaduanapirazzoli-my.sharepoint.com/:b:/g/personal/mmorales_pirazzoli_cl/IQB53PU7p4zTTp3NzRBhA4xHAbSLZ02-21v_Aml_BFJOXqY?e=hAagQC" TargetMode="External"/><Relationship Id="rId103" Type="http://schemas.openxmlformats.org/officeDocument/2006/relationships/hyperlink" Target="https://agenciadeaduanapirazzoli-my.sharepoint.com/:b:/g/personal/mmorales_pirazzoli_cl/IQButXBS2PR9RJhpwVnT5d6eAeZnEMwvM-h_CFh4v-IGwKU?e=tC3c4r" TargetMode="External"/><Relationship Id="rId310" Type="http://schemas.openxmlformats.org/officeDocument/2006/relationships/hyperlink" Target="https://agenciadeaduanapirazzoli-my.sharepoint.com/:b:/g/personal/mmorales_pirazzoli_cl/IQCFC5m-UjoKSIupu1Y3piSwAbFfv9-Hqelvb1KIdZHoBFI?e=bBFtPq" TargetMode="External"/><Relationship Id="rId548" Type="http://schemas.openxmlformats.org/officeDocument/2006/relationships/hyperlink" Target="https://agenciadeaduanapirazzoli-my.sharepoint.com/:b:/g/personal/mmorales_pirazzoli_cl/IQD6AmxyfS2kQZUxX-80Jqg5AV5Uqo6PrcUqA6LlALmxKlA?e=qae4E2" TargetMode="External"/><Relationship Id="rId755" Type="http://schemas.openxmlformats.org/officeDocument/2006/relationships/hyperlink" Target="https://agenciadeaduanapirazzoli-my.sharepoint.com/:b:/g/personal/mmorales_pirazzoli_cl/IQA0sJa83CUeQLcH_96lnApkAQdq-6C5HoAQKQB_Nk2S-go?e=QV9xGG" TargetMode="External"/><Relationship Id="rId962" Type="http://schemas.openxmlformats.org/officeDocument/2006/relationships/hyperlink" Target="https://agenciadeaduanapirazzoli-my.sharepoint.com/:b:/g/personal/mmorales_pirazzoli_cl/IQD7GM7jVu1JRK9dhJ6TajtnAQuk-_0T12JEuMM0vopsF_8?e=ndIPkV" TargetMode="External"/><Relationship Id="rId1178" Type="http://schemas.openxmlformats.org/officeDocument/2006/relationships/hyperlink" Target="https://agenciadeaduanapirazzoli-my.sharepoint.com/:b:/g/personal/mmorales_pirazzoli_cl/IQAMlu8mO3u0SaPjP34Kxn-BAUmEHBod2OIETSytU4TktHQ?e=5EqCMU" TargetMode="External"/><Relationship Id="rId91" Type="http://schemas.openxmlformats.org/officeDocument/2006/relationships/hyperlink" Target="https://agenciadeaduanapirazzoli-my.sharepoint.com/:b:/g/personal/mmorales_pirazzoli_cl/IQDb9W2O7Ce_RpOihQTp8L3-AYgHB5Ui-o_6O069BCzbt74?e=d2R4sP" TargetMode="External"/><Relationship Id="rId187" Type="http://schemas.openxmlformats.org/officeDocument/2006/relationships/hyperlink" Target="https://agenciadeaduanapirazzoli-my.sharepoint.com/:b:/g/personal/mmorales_pirazzoli_cl/IQC3-e2Jy1IhSLVkhIZusE5rAbUBHXB7H1OAJUQtckSdcYc?e=d2E1Dz" TargetMode="External"/><Relationship Id="rId394" Type="http://schemas.openxmlformats.org/officeDocument/2006/relationships/hyperlink" Target="https://agenciadeaduanapirazzoli-my.sharepoint.com/:b:/g/personal/mmorales_pirazzoli_cl/IQBKwTBKB7GoSYbtDfrAcEUPAek22o4NXkqjjT7XomvTYHE?e=ApywnV" TargetMode="External"/><Relationship Id="rId408" Type="http://schemas.openxmlformats.org/officeDocument/2006/relationships/hyperlink" Target="https://agenciadeaduanapirazzoli-my.sharepoint.com/:b:/g/personal/mmorales_pirazzoli_cl/IQAkOWH8Q4kIS5A-MrA2g8wIAZlAIfw3Sz6o1duEGMd82Ts?e=gR2swW" TargetMode="External"/><Relationship Id="rId615" Type="http://schemas.openxmlformats.org/officeDocument/2006/relationships/hyperlink" Target="https://agenciadeaduanapirazzoli-my.sharepoint.com/:b:/g/personal/mmorales_pirazzoli_cl/IQDNd0Ibwg25QpdGNuqT7-CnAYyQFnoCEZwfx6Yw2r44fc0?e=VkmiGs" TargetMode="External"/><Relationship Id="rId822" Type="http://schemas.openxmlformats.org/officeDocument/2006/relationships/hyperlink" Target="https://agenciadeaduanapirazzoli-my.sharepoint.com/:b:/g/personal/mmorales_pirazzoli_cl/IQBNf252S0hlQasYt1njZmXUAYb193iYba5EIRP1-_27JpU?e=DBjzgO" TargetMode="External"/><Relationship Id="rId1038" Type="http://schemas.openxmlformats.org/officeDocument/2006/relationships/hyperlink" Target="https://agenciadeaduanapirazzoli-my.sharepoint.com/:b:/g/personal/mmorales_pirazzoli_cl/IQBOlU94r0qgTancpwN9sIFOAb7Rt1Ll97yzxI2cXCKEVpc?e=LoTleh" TargetMode="External"/><Relationship Id="rId1245" Type="http://schemas.openxmlformats.org/officeDocument/2006/relationships/hyperlink" Target="https://agenciadeaduanapirazzoli-my.sharepoint.com/:b:/g/personal/mmorales_pirazzoli_cl/IQDJuGT8a1MqSZJCtqmm1lWjAWYYxZmnvhCfsmnfij67H5Q?e=YANVCK" TargetMode="External"/><Relationship Id="rId254" Type="http://schemas.openxmlformats.org/officeDocument/2006/relationships/hyperlink" Target="https://agenciadeaduanapirazzoli-my.sharepoint.com/:b:/g/personal/mmorales_pirazzoli_cl/IQBnVwKdiIcMT7TBbbU5PY3IAf0gh8PYlH0o1wD1qS8kJO8?e=bXjtXu" TargetMode="External"/><Relationship Id="rId699" Type="http://schemas.openxmlformats.org/officeDocument/2006/relationships/hyperlink" Target="https://agenciadeaduanapirazzoli-my.sharepoint.com/:b:/g/personal/mmorales_pirazzoli_cl/IQCutAxjbl8GSo8_Kf_cY92hAWIwlAu-8LXRcb8-Q4vCXmk?e=yBmw1H" TargetMode="External"/><Relationship Id="rId1091" Type="http://schemas.openxmlformats.org/officeDocument/2006/relationships/hyperlink" Target="https://agenciadeaduanapirazzoli-my.sharepoint.com/:b:/g/personal/mmorales_pirazzoli_cl/IQD23IRiig4VSo_roFmCi8NxAaND82BSQIxXN4Pcr2HKujg?e=69ZI7F" TargetMode="External"/><Relationship Id="rId1105" Type="http://schemas.openxmlformats.org/officeDocument/2006/relationships/hyperlink" Target="https://agenciadeaduanapirazzoli-my.sharepoint.com/:b:/g/personal/mmorales_pirazzoli_cl/IQC5hjorLTh7R47MkwbMHje-AZD0RuIUJPghRW0K6rIPeQU?e=Ltxq6b" TargetMode="External"/><Relationship Id="rId49" Type="http://schemas.openxmlformats.org/officeDocument/2006/relationships/hyperlink" Target="https://agenciadeaduanapirazzoli-my.sharepoint.com/:b:/g/personal/mmorales_pirazzoli_cl/IQBx-mPgGb0OTr7AzdjhjJtLAbxukwZnQ-FgvfThY8Q6Kcs?e=6soqGc" TargetMode="External"/><Relationship Id="rId114" Type="http://schemas.openxmlformats.org/officeDocument/2006/relationships/hyperlink" Target="https://agenciadeaduanapirazzoli-my.sharepoint.com/:b:/g/personal/mmorales_pirazzoli_cl/IQDC1ym1D43FRqL7MGejZF_6AYGiqiOdxpu81VZHG676eTs?e=IK0dUV" TargetMode="External"/><Relationship Id="rId461" Type="http://schemas.openxmlformats.org/officeDocument/2006/relationships/hyperlink" Target="https://agenciadeaduanapirazzoli-my.sharepoint.com/:b:/g/personal/mmorales_pirazzoli_cl/IQDpeWtaslTaTojHxmbK-AfAAWb8JwuNfp6tdGSTEpxhbWM?e=R4xC0L" TargetMode="External"/><Relationship Id="rId559" Type="http://schemas.openxmlformats.org/officeDocument/2006/relationships/hyperlink" Target="https://agenciadeaduanapirazzoli-my.sharepoint.com/:b:/g/personal/mmorales_pirazzoli_cl/IQC54vP6_CMkRbXX1ssYOogTAZlMVFLUXjZeCILeR4YeCc4?e=bhUtJj" TargetMode="External"/><Relationship Id="rId766" Type="http://schemas.openxmlformats.org/officeDocument/2006/relationships/hyperlink" Target="https://agenciadeaduanapirazzoli-my.sharepoint.com/:b:/g/personal/mmorales_pirazzoli_cl/IQAKGwE6RFiiTKJA_QLn1pptAfusP8J759LwtpawTpPOam8?e=N85HNr" TargetMode="External"/><Relationship Id="rId1189" Type="http://schemas.openxmlformats.org/officeDocument/2006/relationships/hyperlink" Target="https://agenciadeaduanapirazzoli-my.sharepoint.com/:b:/g/personal/mmorales_pirazzoli_cl/IQAc12s8gBCgSo2GBJx00nnNAdYOe4qNi87IxHZRcI0RQEA?e=wCPzRV" TargetMode="External"/><Relationship Id="rId198" Type="http://schemas.openxmlformats.org/officeDocument/2006/relationships/hyperlink" Target="https://agenciadeaduanapirazzoli-my.sharepoint.com/:b:/g/personal/mmorales_pirazzoli_cl/IQDcQ1I9u7tZTLqCR47E3Hf8AQ974P7yNw0Ezzu3EJgPeQM?e=IF0JJ8" TargetMode="External"/><Relationship Id="rId321" Type="http://schemas.openxmlformats.org/officeDocument/2006/relationships/hyperlink" Target="https://agenciadeaduanapirazzoli-my.sharepoint.com/:b:/g/personal/mmorales_pirazzoli_cl/IQAO0z1E823KQbBrdLsyT7fJAQaCpRxHUqN7qxQWUZx-5PQ?e=hQ5faD" TargetMode="External"/><Relationship Id="rId419" Type="http://schemas.openxmlformats.org/officeDocument/2006/relationships/hyperlink" Target="https://agenciadeaduanapirazzoli-my.sharepoint.com/:b:/g/personal/mmorales_pirazzoli_cl/IQDOpMU_rJA9TaMnSo85qNm0AUMUKjkVFjr4nOmqSscka7I?e=61pctW" TargetMode="External"/><Relationship Id="rId626" Type="http://schemas.openxmlformats.org/officeDocument/2006/relationships/hyperlink" Target="https://agenciadeaduanapirazzoli-my.sharepoint.com/:b:/g/personal/mmorales_pirazzoli_cl/IQBSgYu4qQa-Rpk4A-S37fy3AYEWOqlg7O4tChK9rirCF2c?e=znZfqE" TargetMode="External"/><Relationship Id="rId973" Type="http://schemas.openxmlformats.org/officeDocument/2006/relationships/hyperlink" Target="https://agenciadeaduanapirazzoli-my.sharepoint.com/:b:/g/personal/mmorales_pirazzoli_cl/IQB4zfWtB11kT7xipqHivY4KAUIgw8tw9TLuaYQsFig71G0?e=s1TvIa" TargetMode="External"/><Relationship Id="rId1049" Type="http://schemas.openxmlformats.org/officeDocument/2006/relationships/hyperlink" Target="https://agenciadeaduanapirazzoli-my.sharepoint.com/:b:/g/personal/mmorales_pirazzoli_cl/IQCbFWGPtV2rT7-13XjzSixdAc0_DeWGzVo8CbPG04wyGqM?e=5CxT46" TargetMode="External"/><Relationship Id="rId1256" Type="http://schemas.openxmlformats.org/officeDocument/2006/relationships/hyperlink" Target="https://agenciadeaduanapirazzoli-my.sharepoint.com/:b:/g/personal/mmorales_pirazzoli_cl/IQAjRrKHVTFXRJToA0V7Q-Y6AXSq5ip9daVQCf9Vg-jtMNE?e=hHbrAa" TargetMode="External"/><Relationship Id="rId833" Type="http://schemas.openxmlformats.org/officeDocument/2006/relationships/hyperlink" Target="https://agenciadeaduanapirazzoli-my.sharepoint.com/:b:/g/personal/mmorales_pirazzoli_cl/IQC-VpIyuthWQZCxEXqrqG0gAXTCV1535JhyeAxIT52BuDQ?e=hYHCHg" TargetMode="External"/><Relationship Id="rId1116" Type="http://schemas.openxmlformats.org/officeDocument/2006/relationships/hyperlink" Target="https://agenciadeaduanapirazzoli-my.sharepoint.com/:b:/g/personal/mmorales_pirazzoli_cl/IQAZsDeoaXBHSLG1u_em79nrAa_IqP1Hy9dxw0w44shAF3U?e=35iaUs" TargetMode="External"/><Relationship Id="rId265" Type="http://schemas.openxmlformats.org/officeDocument/2006/relationships/hyperlink" Target="https://agenciadeaduanapirazzoli-my.sharepoint.com/:b:/g/personal/mmorales_pirazzoli_cl/IQCGD37O0HvIQr53nq6G_8O0ATq6HvntVpbmOrjRkh_uZSs?e=VWnbGW" TargetMode="External"/><Relationship Id="rId472" Type="http://schemas.openxmlformats.org/officeDocument/2006/relationships/hyperlink" Target="https://agenciadeaduanapirazzoli-my.sharepoint.com/:b:/g/personal/mmorales_pirazzoli_cl/IQAxiE7CR9EcRKl0VVokQwR-Acdc4LL_KyuUoAXdA6AVT68?e=uw5hPr" TargetMode="External"/><Relationship Id="rId900" Type="http://schemas.openxmlformats.org/officeDocument/2006/relationships/hyperlink" Target="https://agenciadeaduanapirazzoli-my.sharepoint.com/:b:/g/personal/mmorales_pirazzoli_cl/IQBwbHjuQKsOSqtQA2O3xie5AXXiyQj7kg9lOIEyynF0dsk?e=MTs25C" TargetMode="External"/><Relationship Id="rId125" Type="http://schemas.openxmlformats.org/officeDocument/2006/relationships/hyperlink" Target="https://agenciadeaduanapirazzoli-my.sharepoint.com/:b:/g/personal/mmorales_pirazzoli_cl/IQAofk1dxvanSKcTRJvJ-jk1AdFAF_QsEeZkhiZayXHja34?e=lGmapQ" TargetMode="External"/><Relationship Id="rId332" Type="http://schemas.openxmlformats.org/officeDocument/2006/relationships/hyperlink" Target="https://agenciadeaduanapirazzoli-my.sharepoint.com/:b:/g/personal/mmorales_pirazzoli_cl/IQDDLfg9K-FQT52QjcZ8767fAe1BMvStntZcZhJOOg92eLs?e=p9byaL" TargetMode="External"/><Relationship Id="rId777" Type="http://schemas.openxmlformats.org/officeDocument/2006/relationships/hyperlink" Target="https://agenciadeaduanapirazzoli-my.sharepoint.com/:b:/g/personal/mmorales_pirazzoli_cl/IQCdm5vMdJfwTq2b2qcAk3AuAW_I8jtYO0E1WXxjgWncAC0?e=y6TTHJ" TargetMode="External"/><Relationship Id="rId984" Type="http://schemas.openxmlformats.org/officeDocument/2006/relationships/hyperlink" Target="https://agenciadeaduanapirazzoli-my.sharepoint.com/:b:/g/personal/mmorales_pirazzoli_cl/IQCh1pXmTPYnRbsYKiEcumctAVnGlFEDxLrpRhok0XxWi_Y?e=jU77OI" TargetMode="External"/><Relationship Id="rId637" Type="http://schemas.openxmlformats.org/officeDocument/2006/relationships/hyperlink" Target="https://agenciadeaduanapirazzoli-my.sharepoint.com/:b:/g/personal/mmorales_pirazzoli_cl/IQCDIyS-HIywQr6a5TryHnoiAZ-DsrQc0ep08eqqP90jKPA?e=Bo3tAK" TargetMode="External"/><Relationship Id="rId844" Type="http://schemas.openxmlformats.org/officeDocument/2006/relationships/hyperlink" Target="https://agenciadeaduanapirazzoli-my.sharepoint.com/:b:/g/personal/mmorales_pirazzoli_cl/IQC-4ZvYYuODRIJf5Hlga-L0AWfx-_MA-INfyMxeaH2F5Pc?e=09WD65" TargetMode="External"/><Relationship Id="rId1267" Type="http://schemas.openxmlformats.org/officeDocument/2006/relationships/hyperlink" Target="https://agenciadeaduanapirazzoli-my.sharepoint.com/:b:/g/personal/mmorales_pirazzoli_cl/IQATd0LKOIsCSqnM5WZiqUJgAcgHq3OOvwmlPeQupBZqs6k?e=bARGNo" TargetMode="External"/><Relationship Id="rId276" Type="http://schemas.openxmlformats.org/officeDocument/2006/relationships/hyperlink" Target="https://agenciadeaduanapirazzoli-my.sharepoint.com/:b:/g/personal/mmorales_pirazzoli_cl/IQALV_a3WXI_RIWua1SM0hL2AQgsjLl7Dfpg4mLw_cO3zmY?e=qkG9DR" TargetMode="External"/><Relationship Id="rId483" Type="http://schemas.openxmlformats.org/officeDocument/2006/relationships/hyperlink" Target="https://agenciadeaduanapirazzoli-my.sharepoint.com/:b:/g/personal/mmorales_pirazzoli_cl/IQCD-V0-Hv4aS4maM5Ebk7AyATAOjiIZNWX6FodC0bVicug?e=OPxTzj" TargetMode="External"/><Relationship Id="rId690" Type="http://schemas.openxmlformats.org/officeDocument/2006/relationships/hyperlink" Target="https://agenciadeaduanapirazzoli-my.sharepoint.com/:b:/g/personal/mmorales_pirazzoli_cl/IQA8qp43vOOoQLbbor1owUMOAfTdwi4QkHmD43Se7DBE4Nk?e=jkebUD" TargetMode="External"/><Relationship Id="rId704" Type="http://schemas.openxmlformats.org/officeDocument/2006/relationships/hyperlink" Target="https://agenciadeaduanapirazzoli-my.sharepoint.com/:b:/g/personal/mmorales_pirazzoli_cl/IQCBLJ8pViQQR5fc27H0w5OAASQY6RQyl3ZIph18uj0gSVY?e=hIkGNZ" TargetMode="External"/><Relationship Id="rId911" Type="http://schemas.openxmlformats.org/officeDocument/2006/relationships/hyperlink" Target="https://agenciadeaduanapirazzoli-my.sharepoint.com/:b:/g/personal/mmorales_pirazzoli_cl/IQCASfQKMIkLRb4zW3delr7sAYpj2B2GrhXj97nQptO58IE?e=kugZwh" TargetMode="External"/><Relationship Id="rId1127" Type="http://schemas.openxmlformats.org/officeDocument/2006/relationships/hyperlink" Target="https://agenciadeaduanapirazzoli-my.sharepoint.com/:b:/g/personal/mmorales_pirazzoli_cl/IQAOBvGiqK-ZS6ArYxvrTi9kAT_4SYNUwkD28oPe8f7-Ius?e=dhMLP2" TargetMode="External"/><Relationship Id="rId40" Type="http://schemas.openxmlformats.org/officeDocument/2006/relationships/hyperlink" Target="https://agenciadeaduanapirazzoli-my.sharepoint.com/:b:/g/personal/mmorales_pirazzoli_cl/IQBwOZ7r3eZ8T65w544cc4PEAYjlTOvPlMJGcxAvDv6AcTY?e=eonjnO" TargetMode="External"/><Relationship Id="rId136" Type="http://schemas.openxmlformats.org/officeDocument/2006/relationships/hyperlink" Target="https://agenciadeaduanapirazzoli-my.sharepoint.com/:b:/g/personal/mmorales_pirazzoli_cl/IQA-FeysQ0GRRa0KNXa8bUo9Aenj5uDu90vqr8szD71TGXI?e=RdikGe" TargetMode="External"/><Relationship Id="rId343" Type="http://schemas.openxmlformats.org/officeDocument/2006/relationships/hyperlink" Target="https://agenciadeaduanapirazzoli-my.sharepoint.com/:b:/g/personal/mmorales_pirazzoli_cl/IQAU0i3sH0z_Q660ezcg1J0yAYqACv0C2XJFDa6tCBsa6Ig?e=DxKz5v" TargetMode="External"/><Relationship Id="rId550" Type="http://schemas.openxmlformats.org/officeDocument/2006/relationships/hyperlink" Target="https://agenciadeaduanapirazzoli-my.sharepoint.com/:b:/g/personal/mmorales_pirazzoli_cl/IQCXfu60WTYySIGii3QTQbNdAYxL_qC3rTwdgAyQQincy7I?e=0df6HS" TargetMode="External"/><Relationship Id="rId788" Type="http://schemas.openxmlformats.org/officeDocument/2006/relationships/hyperlink" Target="https://0520260015072cda/" TargetMode="External"/><Relationship Id="rId995" Type="http://schemas.openxmlformats.org/officeDocument/2006/relationships/hyperlink" Target="https://agenciadeaduanapirazzoli-my.sharepoint.com/:b:/g/personal/mmorales_pirazzoli_cl/IQARVUNdrF1fS66WK9I-l7HcAaa0ty2LhMVkreEZdbIzSUg?e=MkQieX" TargetMode="External"/><Relationship Id="rId1180" Type="http://schemas.openxmlformats.org/officeDocument/2006/relationships/hyperlink" Target="https://agenciadeaduanapirazzoli-my.sharepoint.com/:b:/g/personal/mmorales_pirazzoli_cl/IQBq54Gvhs4NTJROI9BiLtJDAVWmZ4L-S2xSIOlRJTzsWDM?e=5vJmZ5" TargetMode="External"/><Relationship Id="rId203" Type="http://schemas.openxmlformats.org/officeDocument/2006/relationships/hyperlink" Target="https://agenciadeaduanapirazzoli-my.sharepoint.com/:b:/g/personal/mmorales_pirazzoli_cl/IQBrt6xL4X34SpXfuXBkS8auAQHm31AYkPOOcCum9cRld3c?e=0Sx8Qj" TargetMode="External"/><Relationship Id="rId648" Type="http://schemas.openxmlformats.org/officeDocument/2006/relationships/hyperlink" Target="https://agenciadeaduanapirazzoli-my.sharepoint.com/:b:/g/personal/mmorales_pirazzoli_cl/IQAGif4yc549RLDkX8bUwn_jAewaeiGjYvOkxtl785HaEdA?e=i5VAA8" TargetMode="External"/><Relationship Id="rId855" Type="http://schemas.openxmlformats.org/officeDocument/2006/relationships/hyperlink" Target="https://agenciadeaduanapirazzoli-my.sharepoint.com/:b:/g/personal/mmorales_pirazzoli_cl/IQBmaPcvs_-uT6YG3Si08K54AbrIETwVBRYCwiTLpfAAlDc?e=Pb0G4e" TargetMode="External"/><Relationship Id="rId1040" Type="http://schemas.openxmlformats.org/officeDocument/2006/relationships/hyperlink" Target="https://agenciadeaduanapirazzoli-my.sharepoint.com/:b:/g/personal/mmorales_pirazzoli_cl/IQAazPbp7JM2Q5c9BsQsPXtEAegLgv3vExcGEay8WKidi2U?e=TxluIS" TargetMode="External"/><Relationship Id="rId1278" Type="http://schemas.openxmlformats.org/officeDocument/2006/relationships/hyperlink" Target="https://agenciadeaduanapirazzoli-my.sharepoint.com/:b:/g/personal/mmorales_pirazzoli_cl/IQBj72Kfj7I7QacNxBmRxY8lAfkcpQpKEJUs2ZbnLUjcHGU?e=Hg0G2G" TargetMode="External"/><Relationship Id="rId287" Type="http://schemas.openxmlformats.org/officeDocument/2006/relationships/hyperlink" Target="https://agenciadeaduanapirazzoli-my.sharepoint.com/:b:/g/personal/mmorales_pirazzoli_cl/IQAzfdDkJv1dQ71eyfV_F44gAdcNEoQsenMO_OCxFZz8hoQ?e=kGMjcH" TargetMode="External"/><Relationship Id="rId410" Type="http://schemas.openxmlformats.org/officeDocument/2006/relationships/hyperlink" Target="https://agenciadeaduanapirazzoli-my.sharepoint.com/:b:/g/personal/mmorales_pirazzoli_cl/IQASW9MDiz39QoVRv2Z9OeEDAQOhU3H9zSBeT_lFRl5NMiw?e=iYkgJ5" TargetMode="External"/><Relationship Id="rId494" Type="http://schemas.openxmlformats.org/officeDocument/2006/relationships/hyperlink" Target="https://agenciadeaduanapirazzoli-my.sharepoint.com/:b:/g/personal/mmorales_pirazzoli_cl/IQCZ8-OaUaGATKrIs5iUbihWARC1VS44TFXraImQcg4lRz0?e=MqP0y1" TargetMode="External"/><Relationship Id="rId508" Type="http://schemas.openxmlformats.org/officeDocument/2006/relationships/hyperlink" Target="https://agenciadeaduanapirazzoli-my.sharepoint.com/:b:/g/personal/mmorales_pirazzoli_cl/IQDaJ912prg7SI7bmxvo7EBOAYrJ7AOKfUyhmGE56V4-uZY?e=GkoctA" TargetMode="External"/><Relationship Id="rId715" Type="http://schemas.openxmlformats.org/officeDocument/2006/relationships/hyperlink" Target="https://agenciadeaduanapirazzoli-my.sharepoint.com/:b:/g/personal/mmorales_pirazzoli_cl/IQAPTCd7barWRb5Z2m1p2cYTAeLBf_bUrVRE7oN0VzVTOMc?e=8Zu8DV" TargetMode="External"/><Relationship Id="rId922" Type="http://schemas.openxmlformats.org/officeDocument/2006/relationships/hyperlink" Target="https://agenciadeaduanapirazzoli-my.sharepoint.com/:b:/g/personal/mmorales_pirazzoli_cl/IQCJSv2NO9bbS50ggPydtWpZATxnkXV3RcfIpiv_GiuVjFQ?e=Q3Skao" TargetMode="External"/><Relationship Id="rId1138" Type="http://schemas.openxmlformats.org/officeDocument/2006/relationships/hyperlink" Target="https://agenciadeaduanapirazzoli-my.sharepoint.com/:b:/g/personal/mmorales_pirazzoli_cl/IQCsg32x9LsmR53qqvnHxjqDASIZZEUm32bn1Js9OWx6_MA?e=Kq2p58" TargetMode="External"/><Relationship Id="rId147" Type="http://schemas.openxmlformats.org/officeDocument/2006/relationships/hyperlink" Target="https://agenciadeaduanapirazzoli-my.sharepoint.com/:b:/g/personal/mmorales_pirazzoli_cl/IQDAXLZ0yl5SS559tsRYH2cDAb9_CCMhs3aho5Lc3qbIqR8?e=orHKrf" TargetMode="External"/><Relationship Id="rId354" Type="http://schemas.openxmlformats.org/officeDocument/2006/relationships/hyperlink" Target="https://agenciadeaduanapirazzoli-my.sharepoint.com/:b:/g/personal/mmorales_pirazzoli_cl/IQBdBfPywbxASZbPu4vj1xqBAWcxK_M7W3qomFW1wG1Hs5Q?e=gw96Ye" TargetMode="External"/><Relationship Id="rId799" Type="http://schemas.openxmlformats.org/officeDocument/2006/relationships/hyperlink" Target="https://agenciadeaduanapirazzoli-my.sharepoint.com/:b:/g/personal/mmorales_pirazzoli_cl/IQBQzp9GrYZkTLwbCPnTrrzJAQ_KOMiH3i3ZIyzR8wXKd-Q?e=0O4cld" TargetMode="External"/><Relationship Id="rId1191" Type="http://schemas.openxmlformats.org/officeDocument/2006/relationships/hyperlink" Target="https://agenciadeaduanapirazzoli-my.sharepoint.com/:b:/g/personal/mmorales_pirazzoli_cl/IQD0zcui3e_qRraZXMAuDgidAV0ZKIkIRJhsFQ9fVEFJ9dw?e=SPaf6y" TargetMode="External"/><Relationship Id="rId1205" Type="http://schemas.openxmlformats.org/officeDocument/2006/relationships/hyperlink" Target="https://agenciadeaduanapirazzoli-my.sharepoint.com/:b:/g/personal/mmorales_pirazzoli_cl/IQAx-BzqM03FTqSQwf749SBxAd-FRcdYPkHK5X6e8dAzK1U?e=rKbwOB" TargetMode="External"/><Relationship Id="rId51" Type="http://schemas.openxmlformats.org/officeDocument/2006/relationships/hyperlink" Target="https://agenciadeaduanapirazzoli-my.sharepoint.com/:b:/g/personal/mmorales_pirazzoli_cl/IQCdv31XtOu3QaIQSvidz50bAcqejHtwcm4A5yy8DwzCvmo?e=b2MlEi" TargetMode="External"/><Relationship Id="rId561" Type="http://schemas.openxmlformats.org/officeDocument/2006/relationships/hyperlink" Target="https://agenciadeaduanapirazzoli-my.sharepoint.com/:b:/g/personal/mmorales_pirazzoli_cl/IQDdjEwkcKQRRpaQFjvI08OnAaE5C5WvtalAuSOBM9rEjYc?e=AmFEYK" TargetMode="External"/><Relationship Id="rId659" Type="http://schemas.openxmlformats.org/officeDocument/2006/relationships/hyperlink" Target="https://agenciadeaduanapirazzoli-my.sharepoint.com/:b:/g/personal/mmorales_pirazzoli_cl/IQAs28B-U2PqQqZbaRGh6FwxAdPKPmCl1XdubfyW7rJoAZQ?e=0B9gN9" TargetMode="External"/><Relationship Id="rId866" Type="http://schemas.openxmlformats.org/officeDocument/2006/relationships/hyperlink" Target="https://agenciadeaduanapirazzoli-my.sharepoint.com/:b:/g/personal/mmorales_pirazzoli_cl/IQDO5IOeAVUdT6_k0z9jtV3XAY_Dnegurj-hRW3YZ13KZ5w?e=WAPaT5" TargetMode="External"/><Relationship Id="rId1289" Type="http://schemas.openxmlformats.org/officeDocument/2006/relationships/hyperlink" Target="https://agenciadeaduanapirazzoli-my.sharepoint.com/:b:/g/personal/mmorales_pirazzoli_cl/IQA4Wxx1ow9oT4Iv1fKb-J_aAdspkeuvn9seO_P24Eg6vbE?e=FoY3w5" TargetMode="External"/><Relationship Id="rId214" Type="http://schemas.openxmlformats.org/officeDocument/2006/relationships/hyperlink" Target="https://agenciadeaduanapirazzoli-my.sharepoint.com/:b:/g/personal/mmorales_pirazzoli_cl/IQBal9-fD012QaKmLQ9m0JguAfRbwbw66LaS08G2WtXcVYk?e=mnXbVc" TargetMode="External"/><Relationship Id="rId298" Type="http://schemas.openxmlformats.org/officeDocument/2006/relationships/hyperlink" Target="https://agenciadeaduanapirazzoli-my.sharepoint.com/:b:/g/personal/mmorales_pirazzoli_cl/IQBwvaH6kzdfQ7YICC24WrI0AYJDxftQeOvbY56l64AKvlc?e=kdxRiZ" TargetMode="External"/><Relationship Id="rId421" Type="http://schemas.openxmlformats.org/officeDocument/2006/relationships/hyperlink" Target="https://agenciadeaduanapirazzoli-my.sharepoint.com/:b:/g/personal/mmorales_pirazzoli_cl/IQCCWDhJBUZ2RK-1_nRlalgXAa_yyIozqyxiv2QLFF0tz2M?e=llVMQp" TargetMode="External"/><Relationship Id="rId519" Type="http://schemas.openxmlformats.org/officeDocument/2006/relationships/hyperlink" Target="https://agenciadeaduanapirazzoli-my.sharepoint.com/:b:/g/personal/mmorales_pirazzoli_cl/IQBXRUX4ETouQ6Bbl6RC9E3hAcdXlOV0kK4dWxyMk0p3PmU?e=EpuGz1" TargetMode="External"/><Relationship Id="rId1051" Type="http://schemas.openxmlformats.org/officeDocument/2006/relationships/hyperlink" Target="https://agenciadeaduanapirazzoli-my.sharepoint.com/:b:/g/personal/mmorales_pirazzoli_cl/IQCt7R9jjoEuS4kdnOOul_e_AbtoMdNlvEOC970M_N8z7q8?e=fmUB0x" TargetMode="External"/><Relationship Id="rId1149" Type="http://schemas.openxmlformats.org/officeDocument/2006/relationships/hyperlink" Target="https://agenciadeaduanapirazzoli-my.sharepoint.com/:b:/g/personal/mmorales_pirazzoli_cl/IQCxgPkZpD2VToyocAZJoKNuAcK7Otz94gW8sycdqaROSVo?e=R8bz4c" TargetMode="External"/><Relationship Id="rId158" Type="http://schemas.openxmlformats.org/officeDocument/2006/relationships/hyperlink" Target="https://agenciadeaduanapirazzoli-my.sharepoint.com/:b:/g/personal/mmorales_pirazzoli_cl/IQB-MPkJ0OA1RbyD8wA89ACCAaJsnR-JxPMAJClY_YOQ26Q?e=fW2egn" TargetMode="External"/><Relationship Id="rId726" Type="http://schemas.openxmlformats.org/officeDocument/2006/relationships/hyperlink" Target="https://agenciadeaduanapirazzoli-my.sharepoint.com/:b:/g/personal/mmorales_pirazzoli_cl/IQDjChM7TDyHTZjzJFcuPeBjAZQTbqgNJjxW_W5P1uGwDCY?e=oiXhX1" TargetMode="External"/><Relationship Id="rId933" Type="http://schemas.openxmlformats.org/officeDocument/2006/relationships/hyperlink" Target="https://agenciadeaduanapirazzoli-my.sharepoint.com/:b:/g/personal/mmorales_pirazzoli_cl/IQAkuQ4Tn6MgRKZozdAPK58LAcFb-UGGm9PN2J56mgIahOk?e=cXg4H5" TargetMode="External"/><Relationship Id="rId1009" Type="http://schemas.openxmlformats.org/officeDocument/2006/relationships/hyperlink" Target="https://agenciadeaduanapirazzoli-my.sharepoint.com/:b:/g/personal/mmorales_pirazzoli_cl/IQCTbclCkLwBSZepl2SgYNQzAXCXYmvYnzPqSlM049HJSPs?e=ve7dfN" TargetMode="External"/><Relationship Id="rId62" Type="http://schemas.openxmlformats.org/officeDocument/2006/relationships/hyperlink" Target="https://agenciadeaduanapirazzoli-my.sharepoint.com/:b:/g/personal/mmorales_pirazzoli_cl/IQDfrgVfs6ZnRp8KlQZi-UokAT14Tl-d5vO0KVtr8vvzfLo?e=HeouFw" TargetMode="External"/><Relationship Id="rId365" Type="http://schemas.openxmlformats.org/officeDocument/2006/relationships/hyperlink" Target="https://agenciadeaduanapirazzoli-my.sharepoint.com/:b:/g/personal/mmorales_pirazzoli_cl/IQCKaxkwfxZTQpkCmlUHMa8oAevwm2yxxlrAzuXyFt9AryI?e=9Bk1LF" TargetMode="External"/><Relationship Id="rId572" Type="http://schemas.openxmlformats.org/officeDocument/2006/relationships/hyperlink" Target="https://agenciadeaduanapirazzoli-my.sharepoint.com/:b:/g/personal/mmorales_pirazzoli_cl/IQD3aS-AjgHYT6KNQ91cVbvEAbPCPjLziFr8lYQdTSNJjto?e=GuVaIj" TargetMode="External"/><Relationship Id="rId1216" Type="http://schemas.openxmlformats.org/officeDocument/2006/relationships/hyperlink" Target="https://agenciadeaduanapirazzoli-my.sharepoint.com/:b:/g/personal/mmorales_pirazzoli_cl/IQCefkBwyhX7S4QJjZa8jneOAbXqeKEGhWsRBdRmfzSZ5kM?e=epkpfS" TargetMode="External"/><Relationship Id="rId225" Type="http://schemas.openxmlformats.org/officeDocument/2006/relationships/hyperlink" Target="https://agenciadeaduanapirazzoli-my.sharepoint.com/:b:/g/personal/mmorales_pirazzoli_cl/IQC5IaxETIceR7eygdzPa0q_AWLEAQYzSqGysJx0b43tp98?e=TVWQDf" TargetMode="External"/><Relationship Id="rId432" Type="http://schemas.openxmlformats.org/officeDocument/2006/relationships/hyperlink" Target="https://agenciadeaduanapirazzoli-my.sharepoint.com/:b:/g/personal/mmorales_pirazzoli_cl/IQA2C4tAzbZNS449lnnEujLgAXUFdptGe2KZEFZDSOmcE1Q?e=2JJs8N" TargetMode="External"/><Relationship Id="rId877" Type="http://schemas.openxmlformats.org/officeDocument/2006/relationships/hyperlink" Target="https://agenciadeaduanapirazzoli-my.sharepoint.com/:b:/g/personal/mmorales_pirazzoli_cl/IQAgiMBb4TWmTLKHhlaSH_mxAYMqO-SnIrRcPdX31Jgt-zs?e=M4SFRR" TargetMode="External"/><Relationship Id="rId1062" Type="http://schemas.openxmlformats.org/officeDocument/2006/relationships/hyperlink" Target="https://agenciadeaduanapirazzoli-my.sharepoint.com/:b:/g/personal/mmorales_pirazzoli_cl/IQCZdvI-WxhMR4Keh4ZyZanEAbHFqnMYqiBcgEM49Hmm7Ss?e=Tr5MvR" TargetMode="External"/><Relationship Id="rId737" Type="http://schemas.openxmlformats.org/officeDocument/2006/relationships/hyperlink" Target="https://agenciadeaduanapirazzoli-my.sharepoint.com/:b:/g/personal/mmorales_pirazzoli_cl/IQA_ZKR90EgWRYXscoYwEOmQAZlOR7motlm9iBEhBpx_4v4?e=5N6uA8" TargetMode="External"/><Relationship Id="rId944" Type="http://schemas.openxmlformats.org/officeDocument/2006/relationships/hyperlink" Target="https://agenciadeaduanapirazzoli-my.sharepoint.com/:b:/g/personal/mmorales_pirazzoli_cl/IQAC1dGFGlKlRZtqzwri4mYWAXf8mkKm-c1978gA4bTq1II?e=pdcWVL" TargetMode="External"/><Relationship Id="rId73" Type="http://schemas.openxmlformats.org/officeDocument/2006/relationships/hyperlink" Target="https://agenciadeaduanapirazzoli-my.sharepoint.com/:b:/g/personal/mmorales_pirazzoli_cl/IQA0nSt4ckb9RKzBwtcUtqf5AbkRvGQ_HSYXntqwCILJFZI?e=vsK8pf" TargetMode="External"/><Relationship Id="rId169" Type="http://schemas.openxmlformats.org/officeDocument/2006/relationships/hyperlink" Target="https://agenciadeaduanapirazzoli-my.sharepoint.com/:b:/g/personal/mmorales_pirazzoli_cl/IQDuRL-P8gbWR5IY4nkNWdIQAZRDGpLKq_KKs8qukbKMk8k?e=TSEBWI" TargetMode="External"/><Relationship Id="rId376" Type="http://schemas.openxmlformats.org/officeDocument/2006/relationships/hyperlink" Target="https://agenciadeaduanapirazzoli-my.sharepoint.com/:b:/g/personal/mmorales_pirazzoli_cl/IQAqngGoixXPQpJspjFbhRlGAebDxVhMPnPv0Eo-nKADujU?e=GR0B7a" TargetMode="External"/><Relationship Id="rId583" Type="http://schemas.openxmlformats.org/officeDocument/2006/relationships/hyperlink" Target="https://agenciadeaduanapirazzoli-my.sharepoint.com/:b:/g/personal/mmorales_pirazzoli_cl/IQD4On0-8XIbSq_nLmf-5xIXAQtVk3YvZ-eT_C_CJeTHCzo?e=vhsajc" TargetMode="External"/><Relationship Id="rId790" Type="http://schemas.openxmlformats.org/officeDocument/2006/relationships/hyperlink" Target="https://agenciadeaduanapirazzoli-my.sharepoint.com/:b:/g/personal/mmorales_pirazzoli_cl/IQBF7xMaAZAKSLpE4b1vYsDYAWi44_2cVMNrgmqfYlgblt0?e=oDS3dv" TargetMode="External"/><Relationship Id="rId804" Type="http://schemas.openxmlformats.org/officeDocument/2006/relationships/hyperlink" Target="https://agenciadeaduanapirazzoli-my.sharepoint.com/:b:/g/personal/mmorales_pirazzoli_cl/IQB9tEXL_luFSLlIvkWqpra8ASum9vMo3DLa4fGMPXzFK44?e=HwfyCm" TargetMode="External"/><Relationship Id="rId1227" Type="http://schemas.openxmlformats.org/officeDocument/2006/relationships/hyperlink" Target="https://agenciadeaduanapirazzoli-my.sharepoint.com/:b:/g/personal/mmorales_pirazzoli_cl/IQCRC0FgfhV6TJ-UvdauvPm1ASmgknujrdCo29HxK21He8A?e=NBQeAa" TargetMode="External"/><Relationship Id="rId4" Type="http://schemas.openxmlformats.org/officeDocument/2006/relationships/hyperlink" Target="https://agenciadeaduanapirazzoli-my.sharepoint.com/:b:/g/personal/mmorales_pirazzoli_cl/IQD4NfLqodWjR4nhKnuMZkKlATpTyGahfG2cEwl8jfcfTVU?e=GNsepx" TargetMode="External"/><Relationship Id="rId236" Type="http://schemas.openxmlformats.org/officeDocument/2006/relationships/hyperlink" Target="https://agenciadeaduanapirazzoli-my.sharepoint.com/:b:/g/personal/mmorales_pirazzoli_cl/IQBlxSiO-SYVQ72WEnaHQRfEAd74IHplC88b-wXcakfzFTM?e=ZOCfA6" TargetMode="External"/><Relationship Id="rId443" Type="http://schemas.openxmlformats.org/officeDocument/2006/relationships/hyperlink" Target="https://agenciadeaduanapirazzoli-my.sharepoint.com/:b:/g/personal/mmorales_pirazzoli_cl/IQA7Z3tkdFzUToVIbypDSSc-Aa_YhJDszCkMzYtDoxFAgz4?e=uOAOYp" TargetMode="External"/><Relationship Id="rId650" Type="http://schemas.openxmlformats.org/officeDocument/2006/relationships/hyperlink" Target="https://agenciadeaduanapirazzoli-my.sharepoint.com/:b:/g/personal/mmorales_pirazzoli_cl/IQD3LfgUtBfESL8WMLPdTkLSAcSDSm79RpiqaY6l5_l7D2c?e=kHrzix" TargetMode="External"/><Relationship Id="rId888" Type="http://schemas.openxmlformats.org/officeDocument/2006/relationships/hyperlink" Target="https://agenciadeaduanapirazzoli-my.sharepoint.com/:b:/g/personal/mmorales_pirazzoli_cl/IQAh6sJzFfa6TKfjhckZhQddAa0DXaMEXqEgItWMO5GyF04?e=4SYb9n" TargetMode="External"/><Relationship Id="rId1073" Type="http://schemas.openxmlformats.org/officeDocument/2006/relationships/hyperlink" Target="https://agenciadeaduanapirazzoli-my.sharepoint.com/:b:/g/personal/mmorales_pirazzoli_cl/IQBlspIi7hbBTZCf4Yu0KAV1AWx237MdL1gBSx38dmEyD4Q?e=CsLGjo" TargetMode="External"/><Relationship Id="rId1280" Type="http://schemas.openxmlformats.org/officeDocument/2006/relationships/hyperlink" Target="https://agenciadeaduanapirazzoli-my.sharepoint.com/:b:/g/personal/mmorales_pirazzoli_cl/IQCe0Jcu5FQlTrNJu0PgMFFZAYGaSBfKGCrSLN6_JZy1FCc?e=Qdjs1I" TargetMode="External"/><Relationship Id="rId303" Type="http://schemas.openxmlformats.org/officeDocument/2006/relationships/hyperlink" Target="https://agenciadeaduanapirazzoli-my.sharepoint.com/:b:/g/personal/mmorales_pirazzoli_cl/IQDKgJWZxBxjR7SGJ2ZDcTV0Afor7uB4B7JTO4X-OEs-gW8?e=Q4xcZW" TargetMode="External"/><Relationship Id="rId748" Type="http://schemas.openxmlformats.org/officeDocument/2006/relationships/hyperlink" Target="https://agenciadeaduanapirazzoli-my.sharepoint.com/:b:/g/personal/mmorales_pirazzoli_cl/IQAYD-wBLON5RJj6xykZi9E3AetCAnFIRKE7oX2RSjees_E?e=fUOisA" TargetMode="External"/><Relationship Id="rId955" Type="http://schemas.openxmlformats.org/officeDocument/2006/relationships/hyperlink" Target="https://agenciadeaduanapirazzoli-my.sharepoint.com/:b:/g/personal/mmorales_pirazzoli_cl/IQA7iqlzGhjiT5PuptxoFW3eAQkZPA_HYqfmsAHVuyOfK7g?e=0SkDhT" TargetMode="External"/><Relationship Id="rId1140" Type="http://schemas.openxmlformats.org/officeDocument/2006/relationships/hyperlink" Target="https://agenciadeaduanapirazzoli-my.sharepoint.com/:b:/g/personal/mmorales_pirazzoli_cl/IQApiL0jvIK_T6gISHT6JLwKAYW3A0diVIJzW_KBmDYR1GA?e=m8Zyc9" TargetMode="External"/><Relationship Id="rId84" Type="http://schemas.openxmlformats.org/officeDocument/2006/relationships/hyperlink" Target="https://agenciadeaduanapirazzoli-my.sharepoint.com/:b:/g/personal/mmorales_pirazzoli_cl/IQC3RLMNwGFpSqS-uemI7PUbAcs1nfVTAFyzQ_7fJ0T0Pr0?e=SWccKF" TargetMode="External"/><Relationship Id="rId387" Type="http://schemas.openxmlformats.org/officeDocument/2006/relationships/hyperlink" Target="https://agenciadeaduanapirazzoli-my.sharepoint.com/:b:/g/personal/mmorales_pirazzoli_cl/IQDAbEv20N1QSayT-BUGH69kAX3hV1EkzYGEUO1Oy1zetng?e=YT7IJG" TargetMode="External"/><Relationship Id="rId510" Type="http://schemas.openxmlformats.org/officeDocument/2006/relationships/hyperlink" Target="https://agenciadeaduanapirazzoli-my.sharepoint.com/:b:/g/personal/mmorales_pirazzoli_cl/IQDwlV29R1meRpZoieNlDwFHAQY63u4Ia3FT4BYD5zPUsLY?e=9jFtZX" TargetMode="External"/><Relationship Id="rId594" Type="http://schemas.openxmlformats.org/officeDocument/2006/relationships/hyperlink" Target="https://agenciadeaduanapirazzoli-my.sharepoint.com/:b:/g/personal/mmorales_pirazzoli_cl/IQDadcQbvyCcSr3g0YlV7IvDAYWzD2_cl3wMeiK1jdlBeRA?e=dvf6At" TargetMode="External"/><Relationship Id="rId608" Type="http://schemas.openxmlformats.org/officeDocument/2006/relationships/hyperlink" Target="https://agenciadeaduanapirazzoli-my.sharepoint.com/:b:/g/personal/mmorales_pirazzoli_cl/IQDk8UeHErE7TJwomT2FDPE-AUfu036Hg6USuEYfhwG4Fok?e=I0i6p0" TargetMode="External"/><Relationship Id="rId815" Type="http://schemas.openxmlformats.org/officeDocument/2006/relationships/hyperlink" Target="https://agenciadeaduanapirazzoli-my.sharepoint.com/:b:/g/personal/mmorales_pirazzoli_cl/IQCTUJaYmS4NSZlAlt7rRO_nASG43toR0kLbX25CtUSAZv4?e=3Mfa2j" TargetMode="External"/><Relationship Id="rId1238" Type="http://schemas.openxmlformats.org/officeDocument/2006/relationships/hyperlink" Target="https://agenciadeaduanapirazzoli-my.sharepoint.com/:b:/g/personal/mmorales_pirazzoli_cl/IQCbUT83TPV3T7Jk2I7Obu8nAWVnmhRhC6fQEnAYK5VYst4?e=jOqVxs" TargetMode="External"/><Relationship Id="rId247" Type="http://schemas.openxmlformats.org/officeDocument/2006/relationships/hyperlink" Target="https://agenciadeaduanapirazzoli-my.sharepoint.com/:b:/g/personal/mmorales_pirazzoli_cl/IQC13-iZgbJfQ7bHznHk-rb7AaNBIDuhOsqsi04OPbyg2LY?e=FeTTOs" TargetMode="External"/><Relationship Id="rId899" Type="http://schemas.openxmlformats.org/officeDocument/2006/relationships/hyperlink" Target="https://agenciadeaduanapirazzoli-my.sharepoint.com/:b:/g/personal/mmorales_pirazzoli_cl/IQAt-jOto0ThRqGidK3b9cJZAYt9kAGIM5Tz3kyhxi2jHVc?e=Key67L" TargetMode="External"/><Relationship Id="rId1000" Type="http://schemas.openxmlformats.org/officeDocument/2006/relationships/hyperlink" Target="https://agenciadeaduanapirazzoli-my.sharepoint.com/:b:/g/personal/mmorales_pirazzoli_cl/IQD0QQKkpmR_Sa6Fcw14ddL9AWGM1HyWANQZfRVeQwXYInI?e=iB6T5s" TargetMode="External"/><Relationship Id="rId1084" Type="http://schemas.openxmlformats.org/officeDocument/2006/relationships/hyperlink" Target="https://agenciadeaduanapirazzoli-my.sharepoint.com/:b:/g/personal/mmorales_pirazzoli_cl/IQCvsQD-58i-SZyeSy0VEbpbAY5wnjxvHwaEUDyGgf2Qh4M?e=Hcw4qa" TargetMode="External"/><Relationship Id="rId107" Type="http://schemas.openxmlformats.org/officeDocument/2006/relationships/hyperlink" Target="https://agenciadeaduanapirazzoli-my.sharepoint.com/:b:/g/personal/mmorales_pirazzoli_cl/IQBnR4yUkrQ7TYWOISPyrCInAYfWiBZy1qLz1N-_3bfQ3Jk?e=viN2Ja" TargetMode="External"/><Relationship Id="rId454" Type="http://schemas.openxmlformats.org/officeDocument/2006/relationships/hyperlink" Target="https://agenciadeaduanapirazzoli-my.sharepoint.com/:b:/g/personal/mmorales_pirazzoli_cl/IQAMYCsI0CPDQJ4Jpm-RCU1fAam7F0VME6iOMBYdTEWYSCY?e=BcNfEx" TargetMode="External"/><Relationship Id="rId661" Type="http://schemas.openxmlformats.org/officeDocument/2006/relationships/hyperlink" Target="https://agenciadeaduanapirazzoli-my.sharepoint.com/:b:/g/personal/mmorales_pirazzoli_cl/IQBbzLFWmNlESrKAH5XTT84sAWAc9s_yVpl4qtXzRnN7Yrw?e=FXFB4Y" TargetMode="External"/><Relationship Id="rId759" Type="http://schemas.openxmlformats.org/officeDocument/2006/relationships/hyperlink" Target="https://agenciadeaduanapirazzoli-my.sharepoint.com/:b:/g/personal/mmorales_pirazzoli_cl/IQAiiSogvdanQI-DI7FzXLOHASbZTrTdD5bTYOA-01w0Z4g?e=XKhpg0" TargetMode="External"/><Relationship Id="rId966" Type="http://schemas.openxmlformats.org/officeDocument/2006/relationships/hyperlink" Target="https://agenciadeaduanapirazzoli-my.sharepoint.com/:b:/g/personal/mmorales_pirazzoli_cl/IQBT2JD7Smg0QoiuJ5vxNf99AddMUCFFf6Of_u0KA-tVOBs?e=iRR1Jo" TargetMode="External"/><Relationship Id="rId1291" Type="http://schemas.openxmlformats.org/officeDocument/2006/relationships/hyperlink" Target="https://agenciadeaduanapirazzoli-my.sharepoint.com/:b:/g/personal/mmorales_pirazzoli_cl/IQBsQ3zPLnpDSJaZ12I89jT4Aancb2xKn22K8Y6cLVmFR78?e=TruWwJ" TargetMode="External"/><Relationship Id="rId11" Type="http://schemas.openxmlformats.org/officeDocument/2006/relationships/hyperlink" Target="https://agenciadeaduanapirazzoli-my.sharepoint.com/:b:/g/personal/mmorales_pirazzoli_cl/IQBMc0BlEARqSpqayGdMO1V9AYfqgOMEEE1eFd7Xd6sBca4?e=RF7Ayc" TargetMode="External"/><Relationship Id="rId314" Type="http://schemas.openxmlformats.org/officeDocument/2006/relationships/hyperlink" Target="https://agenciadeaduanapirazzoli-my.sharepoint.com/:b:/g/personal/mmorales_pirazzoli_cl/IQB0lalwx6yBRam9D8GqzhwxAaibrkqm4kvzTxFvy0vf9TE?e=ghp1kS" TargetMode="External"/><Relationship Id="rId398" Type="http://schemas.openxmlformats.org/officeDocument/2006/relationships/hyperlink" Target="https://agenciadeaduanapirazzoli-my.sharepoint.com/:b:/g/personal/mmorales_pirazzoli_cl/IQBJy2wH0joURqhmKqxe7TPVAaIfmBtD9yLQAvhMRe8hM0w?e=XHwCn8" TargetMode="External"/><Relationship Id="rId521" Type="http://schemas.openxmlformats.org/officeDocument/2006/relationships/hyperlink" Target="https://agenciadeaduanapirazzoli-my.sharepoint.com/:b:/g/personal/mmorales_pirazzoli_cl/IQBVAAc2QLIsS4XDya9G3s8sAbOS3DCkCint5MToi7fzORs?e=ez6h1r" TargetMode="External"/><Relationship Id="rId619" Type="http://schemas.openxmlformats.org/officeDocument/2006/relationships/hyperlink" Target="https://agenciadeaduanapirazzoli-my.sharepoint.com/:b:/g/personal/mmorales_pirazzoli_cl/IQDzH54IghcESIkeZXD3tcHlAfzHpHwDj5ywgsiEsRqOQrY?e=NIc5U1" TargetMode="External"/><Relationship Id="rId1151" Type="http://schemas.openxmlformats.org/officeDocument/2006/relationships/hyperlink" Target="https://agenciadeaduanapirazzoli-my.sharepoint.com/:b:/g/personal/mmorales_pirazzoli_cl/IQCzwpSVeOrjSYVJkrpRDDUsAcUYMGdx8A4ZE8q-Ygk7RU8?e=6byR9k" TargetMode="External"/><Relationship Id="rId1249" Type="http://schemas.openxmlformats.org/officeDocument/2006/relationships/hyperlink" Target="https://agenciadeaduanapirazzoli-my.sharepoint.com/:b:/g/personal/mmorales_pirazzoli_cl/IQC2IMLMXQx2QY3nPlMcpDAOAXDxJRUeBgq7Fg36oK2hdaI?e=S5Vsab" TargetMode="External"/><Relationship Id="rId95" Type="http://schemas.openxmlformats.org/officeDocument/2006/relationships/hyperlink" Target="https://agenciadeaduanapirazzoli-my.sharepoint.com/:b:/g/personal/mmorales_pirazzoli_cl/IQB1tactyNf3SLKcqA7DiU46AUMnUObbq3zOMBOUN3uA0U4?e=7YEauV" TargetMode="External"/><Relationship Id="rId160" Type="http://schemas.openxmlformats.org/officeDocument/2006/relationships/hyperlink" Target="https://agenciadeaduanapirazzoli-my.sharepoint.com/:b:/g/personal/mmorales_pirazzoli_cl/IQCcRppkMMTQQZsY_Dj6i1b_AVOo9lOJOMai4d21VdPL6rM?e=jcdGe9" TargetMode="External"/><Relationship Id="rId826" Type="http://schemas.openxmlformats.org/officeDocument/2006/relationships/hyperlink" Target="https://agenciadeaduanapirazzoli-my.sharepoint.com/:b:/g/personal/mmorales_pirazzoli_cl/IQBkWh6mey7USKB4R_Ic4eIgAXg_YTc8wwOAynVmv7j_vus?e=6V0I67" TargetMode="External"/><Relationship Id="rId1011" Type="http://schemas.openxmlformats.org/officeDocument/2006/relationships/hyperlink" Target="https://agenciadeaduanapirazzoli-my.sharepoint.com/:b:/g/personal/mmorales_pirazzoli_cl/IQBvmxp4TBhEQ4gZmE-PldJzASK-ee3rjYLf-w4blMUuPg0?e=W9wGvQ" TargetMode="External"/><Relationship Id="rId1109" Type="http://schemas.openxmlformats.org/officeDocument/2006/relationships/hyperlink" Target="https://agenciadeaduanapirazzoli-my.sharepoint.com/:b:/g/personal/mmorales_pirazzoli_cl/IQBUGJk1bRpNTYbhctsYdYGIAbXJpB0BEPnuYrrMTy17Lxk?e=ZsEutj" TargetMode="External"/><Relationship Id="rId258" Type="http://schemas.openxmlformats.org/officeDocument/2006/relationships/hyperlink" Target="https://agenciadeaduanapirazzoli-my.sharepoint.com/:b:/g/personal/mmorales_pirazzoli_cl/IQD0z4A_VTQQQ6wuKzogK81gAT2vSfpqkkHsOn9cPVokhQY?e=zVast8" TargetMode="External"/><Relationship Id="rId465" Type="http://schemas.openxmlformats.org/officeDocument/2006/relationships/hyperlink" Target="https://agenciadeaduanapirazzoli-my.sharepoint.com/:b:/g/personal/mmorales_pirazzoli_cl/IQBOeGXKdGU1T49kHjFPcPIBASRkF0_9FuL5gAlMlB2FoSI?e=vGzOiR" TargetMode="External"/><Relationship Id="rId672" Type="http://schemas.openxmlformats.org/officeDocument/2006/relationships/hyperlink" Target="https://agenciadeaduanapirazzoli-my.sharepoint.com/:b:/g/personal/mmorales_pirazzoli_cl/IQB7KIfmf4EpR4GgQI6ClonDAQWKgNa2GPbvjWwUhZN0FHc?e=04aytV" TargetMode="External"/><Relationship Id="rId1095" Type="http://schemas.openxmlformats.org/officeDocument/2006/relationships/hyperlink" Target="https://agenciadeaduanapirazzoli-my.sharepoint.com/:b:/g/personal/mmorales_pirazzoli_cl/IQDG5F2FTbBiTqX7ItgUk21SASSmZp5aKJQxMvBjkdiN0Nk?e=HbHB0R" TargetMode="External"/><Relationship Id="rId22" Type="http://schemas.openxmlformats.org/officeDocument/2006/relationships/hyperlink" Target="https://agenciadeaduanapirazzoli-my.sharepoint.com/:b:/g/personal/mmorales_pirazzoli_cl/IQAnWlkLqfMOQpcrNwrT-pziAcoh66xskZTu_UZJkt_X5yk?e=UXOIGp" TargetMode="External"/><Relationship Id="rId118" Type="http://schemas.openxmlformats.org/officeDocument/2006/relationships/hyperlink" Target="https://agenciadeaduanapirazzoli-my.sharepoint.com/:b:/g/personal/mmorales_pirazzoli_cl/IQA5ogpBd-k6TpuyTj7wa2kGAbCN8h_W0VQCGaIud7Yh-SI?e=HyjZo7" TargetMode="External"/><Relationship Id="rId325" Type="http://schemas.openxmlformats.org/officeDocument/2006/relationships/hyperlink" Target="https://agenciadeaduanapirazzoli-my.sharepoint.com/:b:/g/personal/mmorales_pirazzoli_cl/IQBSt_L9dDlJRIn1xrm-04HNAaLmJ8s-BSya2Ko_IByGCNo?e=gvoWKm" TargetMode="External"/><Relationship Id="rId532" Type="http://schemas.openxmlformats.org/officeDocument/2006/relationships/hyperlink" Target="https://agenciadeaduanapirazzoli-my.sharepoint.com/:b:/g/personal/mmorales_pirazzoli_cl/IQAOO-lcrPSYSb5bMWpgHbvTAdWv3PSMYbrjwLFiREFzHmc?e=jmHgf8" TargetMode="External"/><Relationship Id="rId977" Type="http://schemas.openxmlformats.org/officeDocument/2006/relationships/hyperlink" Target="https://agenciadeaduanapirazzoli-my.sharepoint.com/:b:/g/personal/mmorales_pirazzoli_cl/IQCowT4zpBWuSpHXRlZ7PpkQAan-qp_R0_BLXg8JV2N3ayw?e=qwenC6" TargetMode="External"/><Relationship Id="rId1162" Type="http://schemas.openxmlformats.org/officeDocument/2006/relationships/hyperlink" Target="https://agenciadeaduanapirazzoli-my.sharepoint.com/:b:/g/personal/mmorales_pirazzoli_cl/IQAag6ceqjjLS6wkF0KAAm_2AV-twu4trq7JPrulitvhf5Y?e=j34Czx" TargetMode="External"/><Relationship Id="rId171" Type="http://schemas.openxmlformats.org/officeDocument/2006/relationships/hyperlink" Target="https://agenciadeaduanapirazzoli-my.sharepoint.com/:b:/g/personal/mmorales_pirazzoli_cl/IQAKYzc1IVQ0SKi6YjH3jklHAW8MD2IgGuEcQfB3SXkk3N8?e=anOZ3Y" TargetMode="External"/><Relationship Id="rId837" Type="http://schemas.openxmlformats.org/officeDocument/2006/relationships/hyperlink" Target="https://agenciadeaduanapirazzoli-my.sharepoint.com/:b:/g/personal/mmorales_pirazzoli_cl/IQBt__sMhOjKR4ZyJcUn2kMsAdmL9HYX8hxZVmJaSM2GgRg?e=6Ri7Gp" TargetMode="External"/><Relationship Id="rId1022" Type="http://schemas.openxmlformats.org/officeDocument/2006/relationships/hyperlink" Target="https://agenciadeaduanapirazzoli-my.sharepoint.com/:b:/g/personal/mmorales_pirazzoli_cl/IQD6JXFsBaHSTY-ID0QKo_0IARMBdJR1o54dWpPvRGzRm9k?e=gb1qW2" TargetMode="External"/><Relationship Id="rId269" Type="http://schemas.openxmlformats.org/officeDocument/2006/relationships/hyperlink" Target="https://agenciadeaduanapirazzoli-my.sharepoint.com/:b:/g/personal/mmorales_pirazzoli_cl/IQAcJakqnlYiTq7tzKKMZ4ztAQq_J1m9I9f5gDiocogtFp0?e=MigDJU" TargetMode="External"/><Relationship Id="rId476" Type="http://schemas.openxmlformats.org/officeDocument/2006/relationships/hyperlink" Target="https://agenciadeaduanapirazzoli-my.sharepoint.com/:b:/g/personal/mmorales_pirazzoli_cl/IQDAxAA9ecM_QKOESay-HIaTAVhGqP6d7rmjzRABHANPkOo?e=V1byOB" TargetMode="External"/><Relationship Id="rId683" Type="http://schemas.openxmlformats.org/officeDocument/2006/relationships/hyperlink" Target="https://agenciadeaduanapirazzoli-my.sharepoint.com/:b:/g/personal/mmorales_pirazzoli_cl/IQDvfer5aH-LQLxdF8fTzt0zAS1xexFGPWYvwrOtzJ_17x4?e=Lxqjy9" TargetMode="External"/><Relationship Id="rId890" Type="http://schemas.openxmlformats.org/officeDocument/2006/relationships/hyperlink" Target="https://agenciadeaduanapirazzoli-my.sharepoint.com/:b:/g/personal/mmorales_pirazzoli_cl/IQDEzjHp8kwNSLsWLEdPG5BEAR_t5ljaXPAhWJeZPXhQJcg?e=MzmF0z" TargetMode="External"/><Relationship Id="rId904" Type="http://schemas.openxmlformats.org/officeDocument/2006/relationships/hyperlink" Target="https://agenciadeaduanapirazzoli-my.sharepoint.com/:b:/g/personal/mmorales_pirazzoli_cl/IQCWm-3FiIEtSJ6PPV-H7u5yAQrbVrpjoECVZMlMlbo-8k8?e=p2ZOmZ" TargetMode="External"/><Relationship Id="rId33" Type="http://schemas.openxmlformats.org/officeDocument/2006/relationships/hyperlink" Target="https://agenciadeaduanapirazzoli-my.sharepoint.com/:b:/g/personal/mmorales_pirazzoli_cl/IQDvbbk0T9TVTJxiUFScGpXEAWv5vJ5NMzW8FMDIoiksSVY?e=DzHJN1" TargetMode="External"/><Relationship Id="rId129" Type="http://schemas.openxmlformats.org/officeDocument/2006/relationships/hyperlink" Target="https://agenciadeaduanapirazzoli-my.sharepoint.com/:b:/g/personal/mmorales_pirazzoli_cl/IQBSu1rxy3JFSZ-fspNfeWbuAeSOnIpxhBO3yNimXZKtWQ4?e=E22Ecx" TargetMode="External"/><Relationship Id="rId336" Type="http://schemas.openxmlformats.org/officeDocument/2006/relationships/hyperlink" Target="https://agenciadeaduanapirazzoli-my.sharepoint.com/:b:/g/personal/mmorales_pirazzoli_cl/IQA_jNso5zo6RZolPtITON2fAVUTKUYpbAp0YLXJj3AtOWU?e=OGAhAk" TargetMode="External"/><Relationship Id="rId543" Type="http://schemas.openxmlformats.org/officeDocument/2006/relationships/hyperlink" Target="https://agenciadeaduanapirazzoli-my.sharepoint.com/:b:/g/personal/mmorales_pirazzoli_cl/IQC475rvTzeoSaCnYIj4hstFAWynbFDhKABfqY2mSWJMq78?e=IZ37sU" TargetMode="External"/><Relationship Id="rId988" Type="http://schemas.openxmlformats.org/officeDocument/2006/relationships/hyperlink" Target="https://agenciadeaduanapirazzoli-my.sharepoint.com/:b:/g/personal/mmorales_pirazzoli_cl/IQDr6JACZUPUR6gqG2JD8t7kAbqCW8oUIeBjw-SzWuAx4Nw?e=WBG0Db" TargetMode="External"/><Relationship Id="rId1173" Type="http://schemas.openxmlformats.org/officeDocument/2006/relationships/hyperlink" Target="https://agenciadeaduanapirazzoli-my.sharepoint.com/:b:/g/personal/mmorales_pirazzoli_cl/IQB_6bU8e9WpTrBkbOCSHUnKAWwkQpkIP8qBj2do-MbFUbI?e=vnPxmu" TargetMode="External"/><Relationship Id="rId182" Type="http://schemas.openxmlformats.org/officeDocument/2006/relationships/hyperlink" Target="https://agenciadeaduanapirazzoli-my.sharepoint.com/:b:/g/personal/mmorales_pirazzoli_cl/IQCKm4dBz5rgRLDed6L4BTrgAfoVWgfdyPNrndO4B3_SWDA?e=CXcwYT" TargetMode="External"/><Relationship Id="rId403" Type="http://schemas.openxmlformats.org/officeDocument/2006/relationships/hyperlink" Target="https://agenciadeaduanapirazzoli-my.sharepoint.com/:b:/g/personal/mmorales_pirazzoli_cl/IQDnUvhFOb-xQpWJisBsQRShAV2zzTnLMhiVDXHqlzO1H7Y?e=HVg2Vo" TargetMode="External"/><Relationship Id="rId750" Type="http://schemas.openxmlformats.org/officeDocument/2006/relationships/hyperlink" Target="https://agenciadeaduanapirazzoli-my.sharepoint.com/:b:/g/personal/mmorales_pirazzoli_cl/IQBkab2gc60ySIHe9T12m_kEAdVg3powNWQZxl9Pg-LdrM0?e=VtFevs" TargetMode="External"/><Relationship Id="rId848" Type="http://schemas.openxmlformats.org/officeDocument/2006/relationships/hyperlink" Target="https://agenciadeaduanapirazzoli-my.sharepoint.com/:b:/g/personal/mmorales_pirazzoli_cl/IQA0vxPYuOtmRKRZlyJ_BsdLAbtiBdPkKJ-op5sKOdZ0yYs?e=9NWhCU" TargetMode="External"/><Relationship Id="rId1033" Type="http://schemas.openxmlformats.org/officeDocument/2006/relationships/hyperlink" Target="https://agenciadeaduanapirazzoli-my.sharepoint.com/:b:/g/personal/mmorales_pirazzoli_cl/IQDKO-WlK2ziSLD20HnEKgeyAVGOyiZTFxzpxPmJsDsOCJc?e=4EEtMc" TargetMode="External"/><Relationship Id="rId487" Type="http://schemas.openxmlformats.org/officeDocument/2006/relationships/hyperlink" Target="https://agenciadeaduanapirazzoli-my.sharepoint.com/:b:/g/personal/mmorales_pirazzoli_cl/IQDFPtr9WdoQRpA_m5qwAhHeAXk0oP_UatdD39hju9_OaVw?e=OKS1WR" TargetMode="External"/><Relationship Id="rId610" Type="http://schemas.openxmlformats.org/officeDocument/2006/relationships/hyperlink" Target="https://agenciadeaduanapirazzoli-my.sharepoint.com/:b:/g/personal/mmorales_pirazzoli_cl/IQCenIoymRT5TYRGpLqs1osYAYOGZss_z3UU1sB3rAQ5X9U?e=e6MM0P" TargetMode="External"/><Relationship Id="rId694" Type="http://schemas.openxmlformats.org/officeDocument/2006/relationships/hyperlink" Target="https://agenciadeaduanapirazzoli-my.sharepoint.com/:b:/g/personal/mmorales_pirazzoli_cl/IQCELB_lRdZhRK2xy_xiHImFAV3rfDio-tvUT2jXQlB8DsE?e=L1wXGm" TargetMode="External"/><Relationship Id="rId708" Type="http://schemas.openxmlformats.org/officeDocument/2006/relationships/hyperlink" Target="https://agenciadeaduanapirazzoli-my.sharepoint.com/:b:/g/personal/mmorales_pirazzoli_cl/IQAvdVthO_cKTY5fShv_qngYAUhjyZ2F6Vs9Fav5EMA-ei4?e=ef1kYk" TargetMode="External"/><Relationship Id="rId915" Type="http://schemas.openxmlformats.org/officeDocument/2006/relationships/hyperlink" Target="https://agenciadeaduanapirazzoli-my.sharepoint.com/:b:/g/personal/mmorales_pirazzoli_cl/IQAgYkr7RLUmQ5joltV3j6a0ARTFU7ENYl6NDA8fRUH4Zn8?e=NflSXC" TargetMode="External"/><Relationship Id="rId1240" Type="http://schemas.openxmlformats.org/officeDocument/2006/relationships/hyperlink" Target="https://agenciadeaduanapirazzoli-my.sharepoint.com/:b:/g/personal/mmorales_pirazzoli_cl/IQAYELh6Nkd_RYiza_sQSu_MASsixP-S8xuN6hQn5bUPeVg?e=xF9WSl" TargetMode="External"/><Relationship Id="rId347" Type="http://schemas.openxmlformats.org/officeDocument/2006/relationships/hyperlink" Target="https://agenciadeaduanapirazzoli-my.sharepoint.com/:b:/g/personal/mmorales_pirazzoli_cl/IQBmwu_P9XpsSI7u8ZTRFirDAWGvhCkI_heOCOKcQvTUQEs?e=Kquvf2" TargetMode="External"/><Relationship Id="rId999" Type="http://schemas.openxmlformats.org/officeDocument/2006/relationships/hyperlink" Target="https://agenciadeaduanapirazzoli-my.sharepoint.com/:b:/g/personal/mmorales_pirazzoli_cl/IQDCltQ0wZyuRZk2aafgmAs8ASGCoeYaLe8ADtRAva4M0NA?e=sS5t2H" TargetMode="External"/><Relationship Id="rId1100" Type="http://schemas.openxmlformats.org/officeDocument/2006/relationships/hyperlink" Target="https://agenciadeaduanapirazzoli-my.sharepoint.com/:b:/g/personal/mmorales_pirazzoli_cl/IQD_-B9RKz4BRalIjYX0jsW1AaHOIUkTvRzNu-qHAMipLLo?e=kjP53N" TargetMode="External"/><Relationship Id="rId1184" Type="http://schemas.openxmlformats.org/officeDocument/2006/relationships/hyperlink" Target="https://agenciadeaduanapirazzoli-my.sharepoint.com/:b:/g/personal/mmorales_pirazzoli_cl/IQDFJe7NkLulSLzETJaZl6zyAdMn7KyUMmaNxcWdAWJYSic?e=ZihqHl" TargetMode="External"/><Relationship Id="rId44" Type="http://schemas.openxmlformats.org/officeDocument/2006/relationships/hyperlink" Target="https://agenciadeaduanapirazzoli-my.sharepoint.com/:b:/g/personal/mmorales_pirazzoli_cl/IQC0uxa3nF4yQ5I8eiDgi_dDAfmUhPzt-HyX1tJytMS-N8w?e=OXdGg2" TargetMode="External"/><Relationship Id="rId554" Type="http://schemas.openxmlformats.org/officeDocument/2006/relationships/hyperlink" Target="https://agenciadeaduanapirazzoli-my.sharepoint.com/:b:/g/personal/mmorales_pirazzoli_cl/IQAdbYP99u6qTJAUy3aseGv3AZlnMr_dJQxWJsk0jB6tp5U?e=AAdLyD" TargetMode="External"/><Relationship Id="rId761" Type="http://schemas.openxmlformats.org/officeDocument/2006/relationships/hyperlink" Target="https://agenciadeaduanapirazzoli-my.sharepoint.com/:b:/g/personal/mmorales_pirazzoli_cl/IQBqIHF5-OEYRrrQS6n9EPRvAVuND08-j1lOS5tEkdKzpzI?e=Abk1VO" TargetMode="External"/><Relationship Id="rId859" Type="http://schemas.openxmlformats.org/officeDocument/2006/relationships/hyperlink" Target="https://agenciadeaduanapirazzoli-my.sharepoint.com/:b:/g/personal/mmorales_pirazzoli_cl/IQBYAfgSR7NtT7xwoS4NrzecAfOGiFX2zqTbi5xL2hvfxhQ?e=CaCGgf" TargetMode="External"/><Relationship Id="rId193" Type="http://schemas.openxmlformats.org/officeDocument/2006/relationships/hyperlink" Target="https://agenciadeaduanapirazzoli-my.sharepoint.com/:b:/g/personal/mmorales_pirazzoli_cl/IQAususcAahNQatScTZu1RUpAXypU7MzbYmOCuOqqy6udL0?e=ulzAww" TargetMode="External"/><Relationship Id="rId207" Type="http://schemas.openxmlformats.org/officeDocument/2006/relationships/hyperlink" Target="https://agenciadeaduanapirazzoli-my.sharepoint.com/:b:/g/personal/mmorales_pirazzoli_cl/IQBZ38ZFSUaJSYBGAg9qr1dtAfx-GYJguQxAJqY0F490eYM?e=cjaIoN" TargetMode="External"/><Relationship Id="rId414" Type="http://schemas.openxmlformats.org/officeDocument/2006/relationships/hyperlink" Target="https://agenciadeaduanapirazzoli-my.sharepoint.com/:b:/g/personal/mmorales_pirazzoli_cl/IQDJxEiSQR3AT45Npy9ag2gIAU8HGmb71MdRMTvZudVEEQg?e=2v27B3" TargetMode="External"/><Relationship Id="rId498" Type="http://schemas.openxmlformats.org/officeDocument/2006/relationships/hyperlink" Target="https://agenciadeaduanapirazzoli-my.sharepoint.com/:b:/g/personal/mmorales_pirazzoli_cl/IQBI6JghBe9fSKC5Ti-y2r9pAVfXU51qrlCS7cx_vU0UucA?e=QzArUH" TargetMode="External"/><Relationship Id="rId621" Type="http://schemas.openxmlformats.org/officeDocument/2006/relationships/hyperlink" Target="https://agenciadeaduanapirazzoli-my.sharepoint.com/:b:/g/personal/mmorales_pirazzoli_cl/IQBhlDh4GuiRRb2g9rVqkLXjARULUCaVIox-HjZdQQMKgug?e=1UBQgd" TargetMode="External"/><Relationship Id="rId1044" Type="http://schemas.openxmlformats.org/officeDocument/2006/relationships/hyperlink" Target="https://agenciadeaduanapirazzoli-my.sharepoint.com/:b:/g/personal/mmorales_pirazzoli_cl/IQAvcdN6G_qGQJ5hJ17jx_sbAUUhZCHK5KCQysu-L0_sUwk?e=4UFJrg" TargetMode="External"/><Relationship Id="rId1251" Type="http://schemas.openxmlformats.org/officeDocument/2006/relationships/hyperlink" Target="https://agenciadeaduanapirazzoli-my.sharepoint.com/:b:/g/personal/mmorales_pirazzoli_cl/IQDxumR51XBDRb7avtV1gZNqAZjiSIrPMkatwAhlyLSoNn8?e=UMFo0c" TargetMode="External"/><Relationship Id="rId260" Type="http://schemas.openxmlformats.org/officeDocument/2006/relationships/hyperlink" Target="https://agenciadeaduanapirazzoli-my.sharepoint.com/:b:/g/personal/mmorales_pirazzoli_cl/IQAyvXKdGgvVRZEvkBsmwaj3Aev0ggQb-Kb5rUeysuLaIhE?e=unhLBK" TargetMode="External"/><Relationship Id="rId719" Type="http://schemas.openxmlformats.org/officeDocument/2006/relationships/hyperlink" Target="https://agenciadeaduanapirazzoli-my.sharepoint.com/:b:/g/personal/mmorales_pirazzoli_cl/IQDGJ2sRn4xHSbPWICycfLmCAdxaYNVrprfvG_Gu5pfH3lE?e=G7EuzQ" TargetMode="External"/><Relationship Id="rId926" Type="http://schemas.openxmlformats.org/officeDocument/2006/relationships/hyperlink" Target="https://agenciadeaduanapirazzoli-my.sharepoint.com/:b:/g/personal/mmorales_pirazzoli_cl/IQDaI8mf4WjMSrkPCeq3dSyeAdpcJr6BMWebb9dHbh0ZfBI?e=0t89qB" TargetMode="External"/><Relationship Id="rId1111" Type="http://schemas.openxmlformats.org/officeDocument/2006/relationships/hyperlink" Target="https://agenciadeaduanapirazzoli-my.sharepoint.com/:b:/g/personal/mmorales_pirazzoli_cl/IQDifZFYpuadQKMcECJ0MawQAdaebP4mvA4s2ewA91cIOa0?e=aFnjGY" TargetMode="External"/><Relationship Id="rId55" Type="http://schemas.openxmlformats.org/officeDocument/2006/relationships/hyperlink" Target="https://agenciadeaduanapirazzoli-my.sharepoint.com/:b:/g/personal/mmorales_pirazzoli_cl/IQAQDr71lPUVQJ6vDVyoi6wbAZeRoPKP6V9isPtDcbZXJvw?e=slt90d" TargetMode="External"/><Relationship Id="rId120" Type="http://schemas.openxmlformats.org/officeDocument/2006/relationships/hyperlink" Target="https://agenciadeaduanapirazzoli-my.sharepoint.com/:b:/g/personal/mmorales_pirazzoli_cl/IQBWjdHiNGr4SLVAJOA-zlXtAYnbIRmKrn3YSQP8Hy1wjVU?e=NXnL9z" TargetMode="External"/><Relationship Id="rId358" Type="http://schemas.openxmlformats.org/officeDocument/2006/relationships/hyperlink" Target="https://agenciadeaduanapirazzoli-my.sharepoint.com/:b:/g/personal/mmorales_pirazzoli_cl/IQB20fMo9iCjTb8K-hpgO8qUARMJwcui-J0qwz8PTVa8o4w?e=lKdf9h" TargetMode="External"/><Relationship Id="rId565" Type="http://schemas.openxmlformats.org/officeDocument/2006/relationships/hyperlink" Target="https://agenciadeaduanapirazzoli-my.sharepoint.com/:b:/g/personal/mmorales_pirazzoli_cl/IQAlFr1Q_MIVSYNz4R3ih7YSAcAdnaIEmBol3EhgkrU44Lk?e=WbB9pn" TargetMode="External"/><Relationship Id="rId772" Type="http://schemas.openxmlformats.org/officeDocument/2006/relationships/hyperlink" Target="https://agenciadeaduanapirazzoli-my.sharepoint.com/:b:/g/personal/mmorales_pirazzoli_cl/IQCPDnaGhnKCR7mMHLsXMyDXAVULN1guXAQN1RCmkhU9zA8?e=OIMiCG" TargetMode="External"/><Relationship Id="rId1195" Type="http://schemas.openxmlformats.org/officeDocument/2006/relationships/hyperlink" Target="https://agenciadeaduanapirazzoli-my.sharepoint.com/:b:/g/personal/mmorales_pirazzoli_cl/IQCAuZBgvoY1T4KW_smEgSnHAQx23bLDQJActq5711vAs2M?e=hM4Xyj" TargetMode="External"/><Relationship Id="rId1209" Type="http://schemas.openxmlformats.org/officeDocument/2006/relationships/hyperlink" Target="https://agenciadeaduanapirazzoli-my.sharepoint.com/:b:/g/personal/mmorales_pirazzoli_cl/IQDaTtDwJFejSrqLisD3f0NhAfHdJaHfI5Gq7WoE0QDOK1s?e=Ur6Hzm" TargetMode="External"/><Relationship Id="rId218" Type="http://schemas.openxmlformats.org/officeDocument/2006/relationships/hyperlink" Target="https://agenciadeaduanapirazzoli-my.sharepoint.com/:b:/g/personal/mmorales_pirazzoli_cl/IQA4VxxMOm4kQZW6H5y1Tx85Ac6Iivr82c50DAJNl2iyzU4?e=1C5fGd" TargetMode="External"/><Relationship Id="rId425" Type="http://schemas.openxmlformats.org/officeDocument/2006/relationships/hyperlink" Target="https://agenciadeaduanapirazzoli-my.sharepoint.com/:b:/g/personal/mmorales_pirazzoli_cl/IQAN-4VPXKdpRpur_7Kwd_D5AeW4yuu36mXe2BKKK08lMYo?e=H8bw6Z" TargetMode="External"/><Relationship Id="rId632" Type="http://schemas.openxmlformats.org/officeDocument/2006/relationships/hyperlink" Target="https://agenciadeaduanapirazzoli-my.sharepoint.com/:b:/g/personal/mmorales_pirazzoli_cl/IQCrkghIzWXkTYJgB9JVDQtkAfE_3M40q6Fp1qitb-DNaTc?e=Zvet9n" TargetMode="External"/><Relationship Id="rId1055" Type="http://schemas.openxmlformats.org/officeDocument/2006/relationships/hyperlink" Target="https://agenciadeaduanapirazzoli-my.sharepoint.com/:b:/g/personal/mmorales_pirazzoli_cl/IQAJER3YshorSY03Rjzp3jvGAW8J1filS50jo73IFIaP4yY?e=hHtvG8" TargetMode="External"/><Relationship Id="rId1262" Type="http://schemas.openxmlformats.org/officeDocument/2006/relationships/hyperlink" Target="https://agenciadeaduanapirazzoli-my.sharepoint.com/:b:/g/personal/mmorales_pirazzoli_cl/IQBDngv32TqXS51QvbJWOEJ2AblOTLXRsDr736KZ0fKuNiM?e=uKDnDu" TargetMode="External"/><Relationship Id="rId271" Type="http://schemas.openxmlformats.org/officeDocument/2006/relationships/hyperlink" Target="https://agenciadeaduanapirazzoli-my.sharepoint.com/:b:/g/personal/mmorales_pirazzoli_cl/IQCY-Zmk77U0TJhkYU64BBmBAVuOPGHOr2dag8CB7ubp4DE?e=J5nfbO" TargetMode="External"/><Relationship Id="rId937" Type="http://schemas.openxmlformats.org/officeDocument/2006/relationships/hyperlink" Target="https://agenciadeaduanapirazzoli-my.sharepoint.com/:b:/g/personal/mmorales_pirazzoli_cl/IQAktCrem3nfTa46SFNJJCBUAZkZTzIE8Q3trJ0oCZ0bQVo?e=WE2FDF" TargetMode="External"/><Relationship Id="rId1122" Type="http://schemas.openxmlformats.org/officeDocument/2006/relationships/hyperlink" Target="https://agenciadeaduanapirazzoli-my.sharepoint.com/:b:/g/personal/mmorales_pirazzoli_cl/IQDpHY0Tv5nwQZl3W3xMQpugAS7YC9mjcXh0VhJFa2tC4Fs?e=lmU49R" TargetMode="External"/><Relationship Id="rId66" Type="http://schemas.openxmlformats.org/officeDocument/2006/relationships/hyperlink" Target="https://agenciadeaduanapirazzoli-my.sharepoint.com/:b:/g/personal/mmorales_pirazzoli_cl/IQBQkoIsFjB7T6LfCHLX-8a1AfZtaHnpz8gMvNTfZDaKmiI?e=tUJ3fO" TargetMode="External"/><Relationship Id="rId131" Type="http://schemas.openxmlformats.org/officeDocument/2006/relationships/hyperlink" Target="https://agenciadeaduanapirazzoli-my.sharepoint.com/:b:/g/personal/mmorales_pirazzoli_cl/IQDygKOyRE5ERK0RjI4B2_t3AVHdQIwo7UPfE7njvr5EMts?e=4yII2v" TargetMode="External"/><Relationship Id="rId369" Type="http://schemas.openxmlformats.org/officeDocument/2006/relationships/hyperlink" Target="https://agenciadeaduanapirazzoli-my.sharepoint.com/:b:/g/personal/mmorales_pirazzoli_cl/IQDZz2W81zJ5R4mjnhyG0rIvAQOgiv8EPJv0f0D4efZtIwk?e=JHjO4B" TargetMode="External"/><Relationship Id="rId576" Type="http://schemas.openxmlformats.org/officeDocument/2006/relationships/hyperlink" Target="https://agenciadeaduanapirazzoli-my.sharepoint.com/:b:/g/personal/mmorales_pirazzoli_cl/IQAqTCfMNDhISJP_BqedsuS0AWhoRP4AXCd_7wDMzRr1Hpg?e=LsakCv" TargetMode="External"/><Relationship Id="rId783" Type="http://schemas.openxmlformats.org/officeDocument/2006/relationships/hyperlink" Target="https://agenciadeaduanapirazzoli-my.sharepoint.com/:b:/g/personal/mmorales_pirazzoli_cl/IQDQcCvqT9rGS42HjqubCmGsAUCFi7yWQj1DgDtX40cCwzg?e=aHVnvg" TargetMode="External"/><Relationship Id="rId990" Type="http://schemas.openxmlformats.org/officeDocument/2006/relationships/hyperlink" Target="https://agenciadeaduanapirazzoli-my.sharepoint.com/:b:/g/personal/mmorales_pirazzoli_cl/IQAScLJfzWK0SoD81Kmgkuc-AVRHod_5R35YPkhmDDdJc1U?e=iF5mcY" TargetMode="External"/><Relationship Id="rId229" Type="http://schemas.openxmlformats.org/officeDocument/2006/relationships/hyperlink" Target="https://agenciadeaduanapirazzoli-my.sharepoint.com/:b:/g/personal/mmorales_pirazzoli_cl/IQAs2SvYembqT5Dq-_KRhObMATTLctmDJy8vrp-WBqlsH_A?e=Vi4Afw" TargetMode="External"/><Relationship Id="rId436" Type="http://schemas.openxmlformats.org/officeDocument/2006/relationships/hyperlink" Target="https://agenciadeaduanapirazzoli-my.sharepoint.com/:b:/g/personal/mmorales_pirazzoli_cl/IQBDMj7sUoFpSqoxfctq9ZhzAf28UnfU16PxLVO0-dCQF0E?e=ODt2vb" TargetMode="External"/><Relationship Id="rId643" Type="http://schemas.openxmlformats.org/officeDocument/2006/relationships/hyperlink" Target="https://agenciadeaduanapirazzoli-my.sharepoint.com/:b:/g/personal/mmorales_pirazzoli_cl/IQA2GkORvFckSYoUOt2smQ3QAYLoQeAi-BEUVzUZlyAeBrE?e=fuWwKE" TargetMode="External"/><Relationship Id="rId1066" Type="http://schemas.openxmlformats.org/officeDocument/2006/relationships/hyperlink" Target="https://agenciadeaduanapirazzoli-my.sharepoint.com/:b:/g/personal/mmorales_pirazzoli_cl/IQBCCWerPFdgTbaYAOlTljD0ATJMSJT8avybJmfJAV7IIUk?e=rSvTgE" TargetMode="External"/><Relationship Id="rId1273" Type="http://schemas.openxmlformats.org/officeDocument/2006/relationships/hyperlink" Target="https://agenciadeaduanapirazzoli-my.sharepoint.com/:b:/g/personal/mmorales_pirazzoli_cl/IQDLhrKpIYNWTawBFn3EWrkRASoUkSToPvRFlcCh2cDNVkA?e=FF10sL" TargetMode="External"/><Relationship Id="rId850" Type="http://schemas.openxmlformats.org/officeDocument/2006/relationships/hyperlink" Target="https://agenciadeaduanapirazzoli-my.sharepoint.com/:b:/g/personal/mmorales_pirazzoli_cl/IQCRkjkjT7pgSYUCnRhjQ3GBASWJSSWL8KwdRd0ltS4IkDc?e=3hFpUt" TargetMode="External"/><Relationship Id="rId948" Type="http://schemas.openxmlformats.org/officeDocument/2006/relationships/hyperlink" Target="https://agenciadeaduanapirazzoli-my.sharepoint.com/:b:/g/personal/mmorales_pirazzoli_cl/IQCLs770AHuNSL05kuxHAIxiAdcYySCgM0y_rv2c2FDfSOE?e=Gn4a4f" TargetMode="External"/><Relationship Id="rId1133" Type="http://schemas.openxmlformats.org/officeDocument/2006/relationships/hyperlink" Target="https://agenciadeaduanapirazzoli-my.sharepoint.com/:b:/g/personal/mmorales_pirazzoli_cl/IQCMQTmAOlO4Rp5VB3qPLq4RATivQUC_7QcXauQ4be5MM-A?e=dNCsp3" TargetMode="External"/><Relationship Id="rId77" Type="http://schemas.openxmlformats.org/officeDocument/2006/relationships/hyperlink" Target="https://agenciadeaduanapirazzoli-my.sharepoint.com/:b:/g/personal/mmorales_pirazzoli_cl/IQALyj4EW6XMRLtHHUwu3VKxAWWT2z9XxNKW2afPoJl_mUQ?e=lQeew5" TargetMode="External"/><Relationship Id="rId282" Type="http://schemas.openxmlformats.org/officeDocument/2006/relationships/hyperlink" Target="https://agenciadeaduanapirazzoli-my.sharepoint.com/:b:/g/personal/mmorales_pirazzoli_cl/IQB7nendVSMlQKoK8vxc10vlAaY8-YDG3BeQFbA5A63_z2A?e=tMLwuS" TargetMode="External"/><Relationship Id="rId503" Type="http://schemas.openxmlformats.org/officeDocument/2006/relationships/hyperlink" Target="https://agenciadeaduanapirazzoli-my.sharepoint.com/:b:/g/personal/mmorales_pirazzoli_cl/IQBOpBHZ-ZxPRbsVtI8HIaf0AfamE7MJUQVeyzLyXyF10yo?e=HzEa5a" TargetMode="External"/><Relationship Id="rId587" Type="http://schemas.openxmlformats.org/officeDocument/2006/relationships/hyperlink" Target="https://agenciadeaduanapirazzoli-my.sharepoint.com/:b:/g/personal/mmorales_pirazzoli_cl/IQCkA4H5wMYuT5ejZW9DAcd0AQDmDWbQBOOpsoePgN5DyfE?e=odvZZH" TargetMode="External"/><Relationship Id="rId710" Type="http://schemas.openxmlformats.org/officeDocument/2006/relationships/hyperlink" Target="https://agenciadeaduanapirazzoli-my.sharepoint.com/:b:/g/personal/mmorales_pirazzoli_cl/IQDgVEudUIg1QLXKZy0bY2CtAaC8t44oOYg2gIPF_o7ifNo?e=Qo4Pzd" TargetMode="External"/><Relationship Id="rId808" Type="http://schemas.openxmlformats.org/officeDocument/2006/relationships/hyperlink" Target="https://agenciadeaduanapirazzoli-my.sharepoint.com/:b:/g/personal/mmorales_pirazzoli_cl/IQCsK3okb0ouQq4wATLtw07sAZnodGUpfpDA83FJxzJkl2M?e=A02CiE" TargetMode="External"/><Relationship Id="rId8" Type="http://schemas.openxmlformats.org/officeDocument/2006/relationships/hyperlink" Target="https://agenciadeaduanapirazzoli-my.sharepoint.com/:b:/g/personal/mmorales_pirazzoli_cl/IQC6PdtCI2f5TqgB5g89ZEf5AXYqbAHUz2vm2C9hKtc2qdE?e=e9r2wq" TargetMode="External"/><Relationship Id="rId142" Type="http://schemas.openxmlformats.org/officeDocument/2006/relationships/hyperlink" Target="https://agenciadeaduanapirazzoli-my.sharepoint.com/:b:/g/personal/mmorales_pirazzoli_cl/IQCOimbclpFRSp9QvSHiW44cAdCT3mutwGtGw5OL_BCrkGg?e=CJXu1p" TargetMode="External"/><Relationship Id="rId447" Type="http://schemas.openxmlformats.org/officeDocument/2006/relationships/hyperlink" Target="https://agenciadeaduanapirazzoli-my.sharepoint.com/:b:/g/personal/mmorales_pirazzoli_cl/IQCA1gkWAj45TJancHzOlRVPATue5J5hckxEgn29nDUhtxc?e=43XML4" TargetMode="External"/><Relationship Id="rId794" Type="http://schemas.openxmlformats.org/officeDocument/2006/relationships/hyperlink" Target="https://agenciadeaduanapirazzoli-my.sharepoint.com/:b:/g/personal/mmorales_pirazzoli_cl/IQBQrxmAuKT7ToryddwXSi75AR6gUYO94gfd_PlS4YfVyGg?e=IN2eyg" TargetMode="External"/><Relationship Id="rId1077" Type="http://schemas.openxmlformats.org/officeDocument/2006/relationships/hyperlink" Target="https://agenciadeaduanapirazzoli-my.sharepoint.com/:b:/g/personal/mmorales_pirazzoli_cl/IQBEeeRGOexJTrv76aCa9PRVAWsEtlDJpwKpwooH9JDL6tU?e=AaWBME" TargetMode="External"/><Relationship Id="rId1200" Type="http://schemas.openxmlformats.org/officeDocument/2006/relationships/hyperlink" Target="https://agenciadeaduanapirazzoli-my.sharepoint.com/:b:/g/personal/mmorales_pirazzoli_cl/IQBzIFgiVgoGSooWTihypb_YAbBsvfuNMdfvjYpdbTh_3dw?e=g9lf5l" TargetMode="External"/><Relationship Id="rId654" Type="http://schemas.openxmlformats.org/officeDocument/2006/relationships/hyperlink" Target="https://agenciadeaduanapirazzoli-my.sharepoint.com/:b:/g/personal/mmorales_pirazzoli_cl/IQBYCWxqLvfiRLMmmahaCPNxAQFxS5Nvc5gkw07DeQ-gXOI?e=3OB8Hq" TargetMode="External"/><Relationship Id="rId861" Type="http://schemas.openxmlformats.org/officeDocument/2006/relationships/hyperlink" Target="https://agenciadeaduanapirazzoli-my.sharepoint.com/:b:/g/personal/mmorales_pirazzoli_cl/IQAdoI7HHkbMRbUYZDKOebB9Aag7oBwdxA0Fa1YGcG9ph8M?e=g5esDh" TargetMode="External"/><Relationship Id="rId959" Type="http://schemas.openxmlformats.org/officeDocument/2006/relationships/hyperlink" Target="https://agenciadeaduanapirazzoli-my.sharepoint.com/:b:/g/personal/mmorales_pirazzoli_cl/IQCuZWBtUBVMT4LeIlqL0F_oATHg0vsmzURtx-mYmZpDQRo?e=P7hAbP" TargetMode="External"/><Relationship Id="rId1284" Type="http://schemas.openxmlformats.org/officeDocument/2006/relationships/hyperlink" Target="https://agenciadeaduanapirazzoli-my.sharepoint.com/:b:/g/personal/mmorales_pirazzoli_cl/IQDCrSt5rih9SLIAAUSkCBEZASjIRJY3uNmqOrAQugJQH1w?e=tTSWzd" TargetMode="External"/><Relationship Id="rId293" Type="http://schemas.openxmlformats.org/officeDocument/2006/relationships/hyperlink" Target="https://agenciadeaduanapirazzoli-my.sharepoint.com/:b:/g/personal/mmorales_pirazzoli_cl/IQBJolwgrrO0Try7uYgtWQlzAfDYpD8t4_M2OSahgQ2kooY?e=T7V8MZ" TargetMode="External"/><Relationship Id="rId307" Type="http://schemas.openxmlformats.org/officeDocument/2006/relationships/hyperlink" Target="https://agenciadeaduanapirazzoli-my.sharepoint.com/:b:/g/personal/mmorales_pirazzoli_cl/IQBr-5vzI80TQaf1pGHqloQIAWWVle7l0HxzTdP8hkf4F54?e=74YOXf" TargetMode="External"/><Relationship Id="rId514" Type="http://schemas.openxmlformats.org/officeDocument/2006/relationships/hyperlink" Target="https://agenciadeaduanapirazzoli-my.sharepoint.com/:b:/g/personal/mmorales_pirazzoli_cl/IQAJvrC0m3_uQ4Dc0x2NIzYgARrDW9Bsmzceel_KZwfQeHI?e=PWuGOR" TargetMode="External"/><Relationship Id="rId721" Type="http://schemas.openxmlformats.org/officeDocument/2006/relationships/hyperlink" Target="https://agenciadeaduanapirazzoli-my.sharepoint.com/:b:/g/personal/mmorales_pirazzoli_cl/IQA4saveW9NwRapcmGT7we6NAZbK9B1XH20EE8gqSixkUEE?e=o1uX7P" TargetMode="External"/><Relationship Id="rId1144" Type="http://schemas.openxmlformats.org/officeDocument/2006/relationships/hyperlink" Target="https://agenciadeaduanapirazzoli-my.sharepoint.com/:b:/g/personal/mmorales_pirazzoli_cl/IQB5ceiMGom9SKYcv_K8wN18AVMUL3ANqbTke6QGuIMvyFw?e=Mc8DeA" TargetMode="External"/><Relationship Id="rId88" Type="http://schemas.openxmlformats.org/officeDocument/2006/relationships/hyperlink" Target="https://agenciadeaduanapirazzoli-my.sharepoint.com/:b:/g/personal/mmorales_pirazzoli_cl/IQCli2ESe1XGTIHIrDlxJaOIAUcP-F-hY0ieYE_hTDk9BcU?e=M2BRli" TargetMode="External"/><Relationship Id="rId153" Type="http://schemas.openxmlformats.org/officeDocument/2006/relationships/hyperlink" Target="https://agenciadeaduanapirazzoli-my.sharepoint.com/:b:/g/personal/mmorales_pirazzoli_cl/IQA-xIRXPn73QJlyi1zJzjIRAWEPboCgSSFO4L3J_lDnIDs?e=RDX7up" TargetMode="External"/><Relationship Id="rId360" Type="http://schemas.openxmlformats.org/officeDocument/2006/relationships/hyperlink" Target="https://agenciadeaduanapirazzoli-my.sharepoint.com/:b:/g/personal/mmorales_pirazzoli_cl/IQDm2pGtmAThSpDZrwLuCLoUAesGrI7A42SIRRz7mEuXKZ4?e=WiKjkp" TargetMode="External"/><Relationship Id="rId598" Type="http://schemas.openxmlformats.org/officeDocument/2006/relationships/hyperlink" Target="https://agenciadeaduanapirazzoli-my.sharepoint.com/:b:/g/personal/mmorales_pirazzoli_cl/IQCvjn8cGHSEQ6S7AM6N3atnAbHLlNloTi_GbDmh_A3dwQM?e=pdMICH" TargetMode="External"/><Relationship Id="rId819" Type="http://schemas.openxmlformats.org/officeDocument/2006/relationships/hyperlink" Target="https://agenciadeaduanapirazzoli-my.sharepoint.com/:b:/g/personal/mmorales_pirazzoli_cl/IQBWgIlwQRjTQ5u27YfToMH5ASAU7EgKBmmt4LeJo0Uo0O0?e=4EyqMd" TargetMode="External"/><Relationship Id="rId1004" Type="http://schemas.openxmlformats.org/officeDocument/2006/relationships/hyperlink" Target="https://agenciadeaduanapirazzoli-my.sharepoint.com/:b:/g/personal/mmorales_pirazzoli_cl/IQDHJYMudfVHS6fgQqFaPt5XAbf5bFafQYkegQ3YVlG95pc?e=bq7I2c" TargetMode="External"/><Relationship Id="rId1211" Type="http://schemas.openxmlformats.org/officeDocument/2006/relationships/hyperlink" Target="https://agenciadeaduanapirazzoli-my.sharepoint.com/:b:/g/personal/mmorales_pirazzoli_cl/IQBDgPle4MJiSIOcz5FgL_IIAUibygfS5ecnTFYZgYXPpBc?e=e924ja" TargetMode="External"/><Relationship Id="rId220" Type="http://schemas.openxmlformats.org/officeDocument/2006/relationships/hyperlink" Target="https://agenciadeaduanapirazzoli-my.sharepoint.com/:b:/g/personal/mmorales_pirazzoli_cl/IQDHQkKqNCYcRo36lkB40O_hAQKNYyvz62XYqPqQEEJUhSo?e=FCqyQo" TargetMode="External"/><Relationship Id="rId458" Type="http://schemas.openxmlformats.org/officeDocument/2006/relationships/hyperlink" Target="https://agenciadeaduanapirazzoli-my.sharepoint.com/:b:/g/personal/mmorales_pirazzoli_cl/IQBsdq1cGgDHRZiyXbgwHGSWAavCrXls-hIKO2mbMthjCew?e=5LaOSe" TargetMode="External"/><Relationship Id="rId665" Type="http://schemas.openxmlformats.org/officeDocument/2006/relationships/hyperlink" Target="https://agenciadeaduanapirazzoli-my.sharepoint.com/:b:/g/personal/mmorales_pirazzoli_cl/IQBPiykML_YYTboan2sj_zULAcAWWZUC4GJFeZs_N0O9WoQ?e=Axsfxi" TargetMode="External"/><Relationship Id="rId872" Type="http://schemas.openxmlformats.org/officeDocument/2006/relationships/hyperlink" Target="https://agenciadeaduanapirazzoli-my.sharepoint.com/:b:/g/personal/mmorales_pirazzoli_cl/IQD3mw3oz5cmRph6czoRbnTeAf-RF08JffoypRigFNYKdhA?e=eksFEo" TargetMode="External"/><Relationship Id="rId1088" Type="http://schemas.openxmlformats.org/officeDocument/2006/relationships/hyperlink" Target="https://agenciadeaduanapirazzoli-my.sharepoint.com/:b:/g/personal/mmorales_pirazzoli_cl/IQBy8oHBaqchTKYwkdeMLzbKAcejglipno2ebRQ_7ICgchg?e=YRNGsj" TargetMode="External"/><Relationship Id="rId1295" Type="http://schemas.openxmlformats.org/officeDocument/2006/relationships/hyperlink" Target="https://agenciadeaduanapirazzoli-my.sharepoint.com/:b:/g/personal/mmorales_pirazzoli_cl/IQA3JBlujZvQSZ6UTnxsdV8wAdKkT6YdUkHN7GW2LrOjpBk?e=F28Ve4" TargetMode="External"/><Relationship Id="rId15" Type="http://schemas.openxmlformats.org/officeDocument/2006/relationships/hyperlink" Target="https://agenciadeaduanapirazzoli-my.sharepoint.com/:b:/g/personal/mmorales_pirazzoli_cl/IQBQuG-pMAUqQoSEyZ2AP5EZAVnMLWFrj0hTT-Ya9k10hvA?e=30HKcI" TargetMode="External"/><Relationship Id="rId318" Type="http://schemas.openxmlformats.org/officeDocument/2006/relationships/hyperlink" Target="https://agenciadeaduanapirazzoli-my.sharepoint.com/:b:/g/personal/mmorales_pirazzoli_cl/IQAutKZyp3TtQLlOKitBG6-KAczYiUUefbGnhhvLXGk6Dqc?e=PnYaav" TargetMode="External"/><Relationship Id="rId525" Type="http://schemas.openxmlformats.org/officeDocument/2006/relationships/hyperlink" Target="https://agenciadeaduanapirazzoli-my.sharepoint.com/:b:/g/personal/mmorales_pirazzoli_cl/IQBJ9HDclR6QSrVlpdv7N_0LAfHIark2su9xJno1jgFmBmc?e=4RSS7h" TargetMode="External"/><Relationship Id="rId732" Type="http://schemas.openxmlformats.org/officeDocument/2006/relationships/hyperlink" Target="https://agenciadeaduanapirazzoli-my.sharepoint.com/:b:/g/personal/mmorales_pirazzoli_cl/IQBi9ueX5kGfQqtL9WivS81CAWq1wVcj3ucwqsG2Ig5gtw8?e=Xgcsy7" TargetMode="External"/><Relationship Id="rId1155" Type="http://schemas.openxmlformats.org/officeDocument/2006/relationships/hyperlink" Target="https://agenciadeaduanapirazzoli-my.sharepoint.com/:b:/g/personal/mmorales_pirazzoli_cl/IQC6ngCxNgTzSolGTioeubkRAWTNAWb--rzTvc07irXOGLA?e=tGVVC4" TargetMode="External"/><Relationship Id="rId99" Type="http://schemas.openxmlformats.org/officeDocument/2006/relationships/hyperlink" Target="https://agenciadeaduanapirazzoli-my.sharepoint.com/:b:/g/personal/mmorales_pirazzoli_cl/IQBCBvjQkvxNRqmllvl3Rms9Aa2JnKH2bEgjo0b5FTeO9EA?e=wKEaOw" TargetMode="External"/><Relationship Id="rId164" Type="http://schemas.openxmlformats.org/officeDocument/2006/relationships/hyperlink" Target="https://agenciadeaduanapirazzoli-my.sharepoint.com/:b:/g/personal/mmorales_pirazzoli_cl/IQBdH7t7Me45T4wVlDgAfeDbAQVbTrLwCFQlSvB6B365Iw4?e=VCplM3" TargetMode="External"/><Relationship Id="rId371" Type="http://schemas.openxmlformats.org/officeDocument/2006/relationships/hyperlink" Target="https://agenciadeaduanapirazzoli-my.sharepoint.com/:b:/g/personal/mmorales_pirazzoli_cl/IQA6IKUbVFL3S45K3vM8_2RSAToMUVKsJshUefNDHCvaRVc?e=aSBjt6" TargetMode="External"/><Relationship Id="rId1015" Type="http://schemas.openxmlformats.org/officeDocument/2006/relationships/hyperlink" Target="https://agenciadeaduanapirazzoli-my.sharepoint.com/:b:/g/personal/mmorales_pirazzoli_cl/IQB2eovu4VjqR4k0CqaD3KmTAWjPUQUb1hpm6j5RhJYnhpE?e=yEyAOs" TargetMode="External"/><Relationship Id="rId1222" Type="http://schemas.openxmlformats.org/officeDocument/2006/relationships/hyperlink" Target="https://agenciadeaduanapirazzoli-my.sharepoint.com/:b:/g/personal/mmorales_pirazzoli_cl/IQCoiNpVp7YqTqXRcAoAWD9nAcegmqAySHtDm_JkJSykhEY?e=74GXq2" TargetMode="External"/><Relationship Id="rId469" Type="http://schemas.openxmlformats.org/officeDocument/2006/relationships/hyperlink" Target="https://agenciadeaduanapirazzoli-my.sharepoint.com/:b:/g/personal/mmorales_pirazzoli_cl/IQAcY15D6k3QTLWOxFoADyPwAVvp7YgxFV4g3kpVl1kuTCQ?e=lHm16u" TargetMode="External"/><Relationship Id="rId676" Type="http://schemas.openxmlformats.org/officeDocument/2006/relationships/hyperlink" Target="https://agenciadeaduanapirazzoli-my.sharepoint.com/:b:/g/personal/mmorales_pirazzoli_cl/IQARyt3KJn2RR5VZfYUs3u9pAYIRCmKXWNhML_kYOZ-dUjw?e=5Xp7oD" TargetMode="External"/><Relationship Id="rId883" Type="http://schemas.openxmlformats.org/officeDocument/2006/relationships/hyperlink" Target="https://agenciadeaduanapirazzoli-my.sharepoint.com/:b:/g/personal/mmorales_pirazzoli_cl/IQBC18o-g95UQYVDWe7n5hR6AXEzxzwqydi5hcpvI7VoK-Y?e=0y3AEq" TargetMode="External"/><Relationship Id="rId1099" Type="http://schemas.openxmlformats.org/officeDocument/2006/relationships/hyperlink" Target="https://agenciadeaduanapirazzoli-my.sharepoint.com/:b:/g/personal/mmorales_pirazzoli_cl/IQC78-IJ7tjITqjbtuGaYDLBAfIKo5qNwau1UK31Ypb1LJM?e=oH7h9n" TargetMode="External"/><Relationship Id="rId26" Type="http://schemas.openxmlformats.org/officeDocument/2006/relationships/hyperlink" Target="https://agenciadeaduanapirazzoli-my.sharepoint.com/:b:/g/personal/mmorales_pirazzoli_cl/IQCVC_k_kWmjTqQPD-K4Wc5IAULbUyWaQCIsgyhgAi3r5d0?e=JtBTey" TargetMode="External"/><Relationship Id="rId231" Type="http://schemas.openxmlformats.org/officeDocument/2006/relationships/hyperlink" Target="https://agenciadeaduanapirazzoli-my.sharepoint.com/:b:/g/personal/mmorales_pirazzoli_cl/IQCIGOVc8pjeT4vzz_L22bGPAcUQicmyqKJ2m8jHR8qs-Io?e=WgfcTm" TargetMode="External"/><Relationship Id="rId329" Type="http://schemas.openxmlformats.org/officeDocument/2006/relationships/hyperlink" Target="https://agenciadeaduanapirazzoli-my.sharepoint.com/:b:/g/personal/mmorales_pirazzoli_cl/IQABKVFETAPnSLuOShzT4rLnAbjAM7R2XE-k4SnXZ5aDCZc?e=HF26mz" TargetMode="External"/><Relationship Id="rId536" Type="http://schemas.openxmlformats.org/officeDocument/2006/relationships/hyperlink" Target="https://agenciadeaduanapirazzoli-my.sharepoint.com/:b:/g/personal/mmorales_pirazzoli_cl/IQAitgsQFRV1Q4sDJ-eMjtdkAVcZ8jOT41zVaavjnuxwyT8?e=L7HA8T" TargetMode="External"/><Relationship Id="rId1166" Type="http://schemas.openxmlformats.org/officeDocument/2006/relationships/hyperlink" Target="https://agenciadeaduanapirazzoli-my.sharepoint.com/:b:/g/personal/mmorales_pirazzoli_cl/IQAmn5hERS12Qo1236nb_qekAQVFbUD08BtjWtaFjinsxkw?e=Z21JXN" TargetMode="External"/><Relationship Id="rId175" Type="http://schemas.openxmlformats.org/officeDocument/2006/relationships/hyperlink" Target="https://agenciadeaduanapirazzoli-my.sharepoint.com/:b:/g/personal/mmorales_pirazzoli_cl/IQBKsEdhAgaMSbWJh8UkM4jBAUUi4pTfdVQIRYKFzouN09k?e=mzfvbV" TargetMode="External"/><Relationship Id="rId743" Type="http://schemas.openxmlformats.org/officeDocument/2006/relationships/hyperlink" Target="https://agenciadeaduanapirazzoli-my.sharepoint.com/:b:/g/personal/mmorales_pirazzoli_cl/IQDnH6qk33t4T7ddreCzksUsAeCkJ42HAMVUgMnOup905Lk?e=ceeMoj" TargetMode="External"/><Relationship Id="rId950" Type="http://schemas.openxmlformats.org/officeDocument/2006/relationships/hyperlink" Target="https://agenciadeaduanapirazzoli-my.sharepoint.com/:b:/g/personal/mmorales_pirazzoli_cl/IQBeCjmJXTkgRKH2eiIUz5aIAYhjaPdspt4HKzQu9UeVllg?e=bz3aAD" TargetMode="External"/><Relationship Id="rId1026" Type="http://schemas.openxmlformats.org/officeDocument/2006/relationships/hyperlink" Target="https://agenciadeaduanapirazzoli-my.sharepoint.com/:b:/g/personal/mmorales_pirazzoli_cl/IQDE66DNIrm3S5otQnSJvGdOAQ6sw_HpDWK7lpaOTsA4oWI?e=8EJ9TK" TargetMode="External"/><Relationship Id="rId382" Type="http://schemas.openxmlformats.org/officeDocument/2006/relationships/hyperlink" Target="https://agenciadeaduanapirazzoli-my.sharepoint.com/:b:/g/personal/mmorales_pirazzoli_cl/IQDj_egqr9dSQrY19fMfrgNxAdPAg6DQuoAnbapRj3v8fwM?e=7C0UZg" TargetMode="External"/><Relationship Id="rId603" Type="http://schemas.openxmlformats.org/officeDocument/2006/relationships/hyperlink" Target="https://agenciadeaduanapirazzoli-my.sharepoint.com/:b:/g/personal/mmorales_pirazzoli_cl/IQBaZsJ_rx-HSo5WlYwIzBpvAWDnBX3ngeZq1P5qoTw-d8M?e=XqT84O" TargetMode="External"/><Relationship Id="rId687" Type="http://schemas.openxmlformats.org/officeDocument/2006/relationships/hyperlink" Target="https://agenciadeaduanapirazzoli-my.sharepoint.com/:b:/g/personal/mmorales_pirazzoli_cl/IQAg1ymFrlkcRoEf29EDitZ2AdGSh0JgCjAF8Xh06XJ_G5k?e=bZtge0" TargetMode="External"/><Relationship Id="rId810" Type="http://schemas.openxmlformats.org/officeDocument/2006/relationships/hyperlink" Target="https://agenciadeaduanapirazzoli-my.sharepoint.com/:b:/g/personal/mmorales_pirazzoli_cl/IQAEy9w1TKmaS5Az-OcRpxfwAaqgb3DTISEx_0qxilEZ0gU?e=Nt9ah4" TargetMode="External"/><Relationship Id="rId908" Type="http://schemas.openxmlformats.org/officeDocument/2006/relationships/hyperlink" Target="https://agenciadeaduanapirazzoli-my.sharepoint.com/:b:/g/personal/mmorales_pirazzoli_cl/IQDS7lt3Eou9SoX15m4BgYxuAb-9L15FedO6OCjurd2TVVI?e=XnVuqM" TargetMode="External"/><Relationship Id="rId1233" Type="http://schemas.openxmlformats.org/officeDocument/2006/relationships/hyperlink" Target="https://agenciadeaduanapirazzoli-my.sharepoint.com/:b:/g/personal/mmorales_pirazzoli_cl/IQANnSZrCcTWRbDIapQV-jMtAVpeTOOOLCsqoibquYiyQ3I?e=AzfF1P" TargetMode="External"/><Relationship Id="rId242" Type="http://schemas.openxmlformats.org/officeDocument/2006/relationships/hyperlink" Target="https://agenciadeaduanapirazzoli-my.sharepoint.com/:b:/g/personal/mmorales_pirazzoli_cl/IQBEr4gSpiu6SKFIu9At4-S8ARCmXOTz-B5y-1P6cCI0Ofo?e=DPW1kV" TargetMode="External"/><Relationship Id="rId894" Type="http://schemas.openxmlformats.org/officeDocument/2006/relationships/hyperlink" Target="https://agenciadeaduanapirazzoli-my.sharepoint.com/:b:/g/personal/mmorales_pirazzoli_cl/IQDrHvypRBuhR6puTB238YNdAb4sy8CniQt4vd_IoDxBFkc?e=AthoAh" TargetMode="External"/><Relationship Id="rId1177" Type="http://schemas.openxmlformats.org/officeDocument/2006/relationships/hyperlink" Target="https://agenciadeaduanapirazzoli-my.sharepoint.com/:b:/g/personal/mmorales_pirazzoli_cl/IQASwOEukrj8QKGxKZ28blSkAcEJYWhOE3o1T6U-a-efAcU?e=a8Gz2U" TargetMode="External"/><Relationship Id="rId1300" Type="http://schemas.openxmlformats.org/officeDocument/2006/relationships/hyperlink" Target="https://agenciadeaduanapirazzoli-my.sharepoint.com/:b:/g/personal/mmorales_pirazzoli_cl/IQAy_ksx76JDToa6XHrdeSUEAZhZYQ9GIbT-pNBInkF6C6c?e=qbZ9Ah" TargetMode="External"/><Relationship Id="rId37" Type="http://schemas.openxmlformats.org/officeDocument/2006/relationships/hyperlink" Target="https://agenciadeaduanapirazzoli-my.sharepoint.com/:b:/g/personal/mmorales_pirazzoli_cl/IQA0zURE8ne2TaHtRiZZwXeSASU4DyB_5kbyoULvNW4gUkU?e=ZYBEde" TargetMode="External"/><Relationship Id="rId102" Type="http://schemas.openxmlformats.org/officeDocument/2006/relationships/hyperlink" Target="https://agenciadeaduanapirazzoli-my.sharepoint.com/:b:/g/personal/mmorales_pirazzoli_cl/IQD61ocMQ-XlTJc0TCDbXDB6AYLJxzikqB3Ano-Eo1bsGD0?e=rNfS12" TargetMode="External"/><Relationship Id="rId547" Type="http://schemas.openxmlformats.org/officeDocument/2006/relationships/hyperlink" Target="https://agenciadeaduanapirazzoli-my.sharepoint.com/:b:/g/personal/mmorales_pirazzoli_cl/IQCZRtbFk0hGSoFqwKgEdO3KAYHn82cFotoLFa5DlDiE4Eg?e=NzYd0G" TargetMode="External"/><Relationship Id="rId754" Type="http://schemas.openxmlformats.org/officeDocument/2006/relationships/hyperlink" Target="https://agenciadeaduanapirazzoli-my.sharepoint.com/:b:/g/personal/mmorales_pirazzoli_cl/IQDQOnBgSSg0RZMqYwVikrypATJ9dcpJwTZ4frsJyqRZZ0E?e=AUd48f" TargetMode="External"/><Relationship Id="rId961" Type="http://schemas.openxmlformats.org/officeDocument/2006/relationships/hyperlink" Target="https://agenciadeaduanapirazzoli-my.sharepoint.com/:b:/g/personal/mmorales_pirazzoli_cl/IQBRsva8HbRXQp55g0MpJfMFAW1plakvtMOOvFJq3rpVU_Y?e=aDGrAA" TargetMode="External"/><Relationship Id="rId90" Type="http://schemas.openxmlformats.org/officeDocument/2006/relationships/hyperlink" Target="https://agenciadeaduanapirazzoli-my.sharepoint.com/:b:/g/personal/mmorales_pirazzoli_cl/IQBgDoQwXqL6Sofg5vb8s4B8AcRsR_vS1qvpBD_k92C9R4I?e=FkhrUo" TargetMode="External"/><Relationship Id="rId186" Type="http://schemas.openxmlformats.org/officeDocument/2006/relationships/hyperlink" Target="https://agenciadeaduanapirazzoli-my.sharepoint.com/:b:/g/personal/mmorales_pirazzoli_cl/IQBZxcMsWxLCRbK7gBZklYNaAdnR3qXhW2VS1ii4-bB4D5Q?e=sN3zO7" TargetMode="External"/><Relationship Id="rId393" Type="http://schemas.openxmlformats.org/officeDocument/2006/relationships/hyperlink" Target="https://agenciadeaduanapirazzoli-my.sharepoint.com/:b:/g/personal/mmorales_pirazzoli_cl/IQA_eQxTOA8lRa3xohx0m3H7ASCBbj9oOqIXn1402DVuo3A?e=shFS5Q" TargetMode="External"/><Relationship Id="rId407" Type="http://schemas.openxmlformats.org/officeDocument/2006/relationships/hyperlink" Target="https://agenciadeaduanapirazzoli-my.sharepoint.com/:b:/g/personal/mmorales_pirazzoli_cl/IQDd8DhsRfRTS4nggSwU1A9zAeBCgnmuSxyJlhMmCTFKaj0?e=odIdsA" TargetMode="External"/><Relationship Id="rId614" Type="http://schemas.openxmlformats.org/officeDocument/2006/relationships/hyperlink" Target="https://agenciadeaduanapirazzoli-my.sharepoint.com/:b:/g/personal/mmorales_pirazzoli_cl/IQDdSFiHgt2ZTL3zeKw0xeMMAWqQJL-81OvT-pg6lBmgg0k?e=313dkm" TargetMode="External"/><Relationship Id="rId821" Type="http://schemas.openxmlformats.org/officeDocument/2006/relationships/hyperlink" Target="https://agenciadeaduanapirazzoli-my.sharepoint.com/:b:/g/personal/mmorales_pirazzoli_cl/IQADwCP2k1L4QZkzcuvTeiNeAQoubuNT4OTAIzAL_YusaVA?e=gHJcwu" TargetMode="External"/><Relationship Id="rId1037" Type="http://schemas.openxmlformats.org/officeDocument/2006/relationships/hyperlink" Target="https://agenciadeaduanapirazzoli-my.sharepoint.com/:b:/g/personal/mmorales_pirazzoli_cl/IQDR6BUB9-FxRJlt69eL68THAQVxDepMGhVsRZzxkw9vzzw?e=x95SHg" TargetMode="External"/><Relationship Id="rId1244" Type="http://schemas.openxmlformats.org/officeDocument/2006/relationships/hyperlink" Target="https://agenciadeaduanapirazzoli-my.sharepoint.com/:b:/g/personal/mmorales_pirazzoli_cl/IQBhO3M6dA45R4VVDULgQTeZAYcFKYRg0a7Zp3zD8gmuPQI?e=yIdb1C" TargetMode="External"/><Relationship Id="rId253" Type="http://schemas.openxmlformats.org/officeDocument/2006/relationships/hyperlink" Target="https://agenciadeaduanapirazzoli-my.sharepoint.com/:b:/g/personal/mmorales_pirazzoli_cl/IQB2DPmZsrFbTptViB2izf63AQ0PcaoKUVsrQsdMVHvjcJA?e=kLLX8M" TargetMode="External"/><Relationship Id="rId460" Type="http://schemas.openxmlformats.org/officeDocument/2006/relationships/hyperlink" Target="https://agenciadeaduanapirazzoli-my.sharepoint.com/:b:/g/personal/mmorales_pirazzoli_cl/IQAIZanwcaGZRJGYqcWQYB4hARGyDAB-roJkySZwxftRwD0?e=CsFmVQ" TargetMode="External"/><Relationship Id="rId698" Type="http://schemas.openxmlformats.org/officeDocument/2006/relationships/hyperlink" Target="https://agenciadeaduanapirazzoli-my.sharepoint.com/:b:/g/personal/mmorales_pirazzoli_cl/IQAtzHJGIheiRKgCnDutHxIAAdiNK8Uy2gxSrG6dgDtx0Vw?e=DGT4Ev" TargetMode="External"/><Relationship Id="rId919" Type="http://schemas.openxmlformats.org/officeDocument/2006/relationships/hyperlink" Target="https://agenciadeaduanapirazzoli-my.sharepoint.com/:b:/g/personal/mmorales_pirazzoli_cl/IQDm1cwp61A_SY5iDbDEUfF-ATleTfRTpfq5Mxk89htNi4U?e=I29Mo6" TargetMode="External"/><Relationship Id="rId1090" Type="http://schemas.openxmlformats.org/officeDocument/2006/relationships/hyperlink" Target="https://agenciadeaduanapirazzoli-my.sharepoint.com/:b:/g/personal/mmorales_pirazzoli_cl/IQDJu6wdt6oRRpk_saBE6fLGAZ172yXijcs4-kbg5cuOEoA?e=2ZZkU6" TargetMode="External"/><Relationship Id="rId1104" Type="http://schemas.openxmlformats.org/officeDocument/2006/relationships/hyperlink" Target="https://agenciadeaduanapirazzoli-my.sharepoint.com/:b:/g/personal/mmorales_pirazzoli_cl/IQAVXi2LjeR3QofsPIXDTzWBAdY-nFbU49K2miVPBrK5XCY?e=tDGNwv" TargetMode="External"/><Relationship Id="rId48" Type="http://schemas.openxmlformats.org/officeDocument/2006/relationships/hyperlink" Target="https://agenciadeaduanapirazzoli-my.sharepoint.com/:b:/g/personal/mmorales_pirazzoli_cl/IQA7UQ9mFbMwTqBKMw-UnJPKAY-MDpQa3WlC8tsL93yA-X0?e=2gm0bL" TargetMode="External"/><Relationship Id="rId113" Type="http://schemas.openxmlformats.org/officeDocument/2006/relationships/hyperlink" Target="https://agenciadeaduanapirazzoli-my.sharepoint.com/:b:/g/personal/mmorales_pirazzoli_cl/IQApIrXBI2CWTZMHl-_Slfj5ASaqQL3ZvCrY3vVqs7YorkE?e=2QEfET" TargetMode="External"/><Relationship Id="rId320" Type="http://schemas.openxmlformats.org/officeDocument/2006/relationships/hyperlink" Target="https://agenciadeaduanapirazzoli-my.sharepoint.com/:b:/g/personal/mmorales_pirazzoli_cl/IQDWC7PJQh1KQ4_OAZ4tWcy7ASG2HtViqe4EaM_VfKBueb0?e=z6tLOT" TargetMode="External"/><Relationship Id="rId558" Type="http://schemas.openxmlformats.org/officeDocument/2006/relationships/hyperlink" Target="https://agenciadeaduanapirazzoli-my.sharepoint.com/:b:/g/personal/mmorales_pirazzoli_cl/IQDQoVjYH9_hSq50PF9kb_P8ASTticXKlsiLSF74OmmjFj8?e=KgnH5a" TargetMode="External"/><Relationship Id="rId765" Type="http://schemas.openxmlformats.org/officeDocument/2006/relationships/hyperlink" Target="https://agenciadeaduanapirazzoli-my.sharepoint.com/:b:/g/personal/mmorales_pirazzoli_cl/IQC7chftQUbAS7yrmDkHLyXwAfddlB2N4b1jxWWajhlLw5Q?e=bZkqrD" TargetMode="External"/><Relationship Id="rId972" Type="http://schemas.openxmlformats.org/officeDocument/2006/relationships/hyperlink" Target="https://agenciadeaduanapirazzoli-my.sharepoint.com/:b:/g/personal/mmorales_pirazzoli_cl/IQAv5z3AxfaxT5RDE1GfjRkgAfJ9g0teN3x3Eyi84gS-IMo?e=XJOq7u" TargetMode="External"/><Relationship Id="rId1188" Type="http://schemas.openxmlformats.org/officeDocument/2006/relationships/hyperlink" Target="https://agenciadeaduanapirazzoli-my.sharepoint.com/:b:/g/personal/mmorales_pirazzoli_cl/IQDAJ7JyNt5bQI3OGACVOIuUAdDfXTUkLTWc0Ub0qDWmq_0?e=5IDz4W" TargetMode="External"/><Relationship Id="rId197" Type="http://schemas.openxmlformats.org/officeDocument/2006/relationships/hyperlink" Target="https://agenciadeaduanapirazzoli-my.sharepoint.com/:b:/g/personal/mmorales_pirazzoli_cl/IQCfH1t23vBHSrlc9h7_2EqGASS8dZIxPLGw2wHGgsC-aXw?e=TL1jon" TargetMode="External"/><Relationship Id="rId418" Type="http://schemas.openxmlformats.org/officeDocument/2006/relationships/hyperlink" Target="https://agenciadeaduanapirazzoli-my.sharepoint.com/:b:/g/personal/mmorales_pirazzoli_cl/IQASC6oZQ5BMRJLJSvb_g4XSAX7cQSdkVN31mqFJN_2tXwY?e=od0oNe" TargetMode="External"/><Relationship Id="rId625" Type="http://schemas.openxmlformats.org/officeDocument/2006/relationships/hyperlink" Target="https://agenciadeaduanapirazzoli-my.sharepoint.com/:b:/g/personal/mmorales_pirazzoli_cl/IQDyk5L4vxAmQb11I9tyqh-EAaSKcx0x3o3o36XjEoQdxNA?e=bZj9gc" TargetMode="External"/><Relationship Id="rId832" Type="http://schemas.openxmlformats.org/officeDocument/2006/relationships/hyperlink" Target="https://agenciadeaduanapirazzoli-my.sharepoint.com/:b:/g/personal/mmorales_pirazzoli_cl/IQCtUJo7Wnx_Tr-Qv341pap8AX_3Vb94HCi7DjyHi8hJti8?e=Mx8Wb0" TargetMode="External"/><Relationship Id="rId1048" Type="http://schemas.openxmlformats.org/officeDocument/2006/relationships/hyperlink" Target="https://agenciadeaduanapirazzoli-my.sharepoint.com/:b:/g/personal/mmorales_pirazzoli_cl/IQAfb7ODNZ4IRb_D3wi6Y-DBASnN8vnF6DspdUMDn57I5U8?e=B2Zuwz" TargetMode="External"/><Relationship Id="rId1255" Type="http://schemas.openxmlformats.org/officeDocument/2006/relationships/hyperlink" Target="https://agenciadeaduanapirazzoli-my.sharepoint.com/:b:/g/personal/mmorales_pirazzoli_cl/IQDzHW5F7a5vT68DkSzMBWgxAfudRAHPT2V3eneOSmtk_1M?e=G5LdOg" TargetMode="External"/><Relationship Id="rId264" Type="http://schemas.openxmlformats.org/officeDocument/2006/relationships/hyperlink" Target="https://agenciadeaduanapirazzoli-my.sharepoint.com/:b:/g/personal/mmorales_pirazzoli_cl/IQA8Sb2U-a0sRZvpLq0wFBR1Ae0tCBmFW4KKwI81kSmDhjk?e=b67IST" TargetMode="External"/><Relationship Id="rId471" Type="http://schemas.openxmlformats.org/officeDocument/2006/relationships/hyperlink" Target="https://agenciadeaduanapirazzoli-my.sharepoint.com/:b:/g/personal/mmorales_pirazzoli_cl/IQDL4DpVeZRmQ4pIwSvi-H9pAZ59F-_6kKw359xkANM-oOo?e=CAA8Ex" TargetMode="External"/><Relationship Id="rId1115" Type="http://schemas.openxmlformats.org/officeDocument/2006/relationships/hyperlink" Target="https://agenciadeaduanapirazzoli-my.sharepoint.com/:b:/g/personal/mmorales_pirazzoli_cl/IQCIf8dDEcmmR5ZtNw9s0nKeAcpa60QMINlw6WR1llAv4DE?e=wto79A" TargetMode="External"/><Relationship Id="rId59" Type="http://schemas.openxmlformats.org/officeDocument/2006/relationships/hyperlink" Target="https://agenciadeaduanapirazzoli-my.sharepoint.com/:b:/g/personal/mmorales_pirazzoli_cl/IQBM6Le9_VgaTJty1RxOrBnvAYyEEXXypSgMpHbyOs0FajE?e=IckfIq" TargetMode="External"/><Relationship Id="rId124" Type="http://schemas.openxmlformats.org/officeDocument/2006/relationships/hyperlink" Target="https://agenciadeaduanapirazzoli-my.sharepoint.com/:b:/g/personal/mmorales_pirazzoli_cl/IQBcmseH9pYvS62HJjpA2cXJAd9eaCa1aJV7RWCGKMhap0Y?e=TikIcT" TargetMode="External"/><Relationship Id="rId569" Type="http://schemas.openxmlformats.org/officeDocument/2006/relationships/hyperlink" Target="https://agenciadeaduanapirazzoli-my.sharepoint.com/:b:/g/personal/mmorales_pirazzoli_cl/IQASznuH1hB4SoCPu1D24owQAQSPQPkeIK7Ia7DBloqfKH0?e=t0Cmi6" TargetMode="External"/><Relationship Id="rId776" Type="http://schemas.openxmlformats.org/officeDocument/2006/relationships/hyperlink" Target="https://agenciadeaduanapirazzoli-my.sharepoint.com/:b:/g/personal/mmorales_pirazzoli_cl/IQA1EAm0wgkqT6C79wpavFxCAcVk9IshLrcHDd-T9Nf9aaU?e=7XObqJ" TargetMode="External"/><Relationship Id="rId983" Type="http://schemas.openxmlformats.org/officeDocument/2006/relationships/hyperlink" Target="https://agenciadeaduanapirazzoli-my.sharepoint.com/:b:/g/personal/mmorales_pirazzoli_cl/IQBXxGKCfHGXRbDvL1XGGfV-AaVZ62muM7VtnMz2t0yV7rc?e=8BzegU" TargetMode="External"/><Relationship Id="rId1199" Type="http://schemas.openxmlformats.org/officeDocument/2006/relationships/hyperlink" Target="https://agenciadeaduanapirazzoli-my.sharepoint.com/:b:/g/personal/mmorales_pirazzoli_cl/IQA-huXt7u5iT79nsMYLOGkNASBQ2NeoKOyOuIam_wBVSfM?e=6hNaBG" TargetMode="External"/><Relationship Id="rId331" Type="http://schemas.openxmlformats.org/officeDocument/2006/relationships/hyperlink" Target="https://agenciadeaduanapirazzoli-my.sharepoint.com/:b:/g/personal/mmorales_pirazzoli_cl/IQDuXOlmFd4sR7sePOQT4gleAfRsMWwgdqLq6loZ50zplHM?e=FzwCtW" TargetMode="External"/><Relationship Id="rId429" Type="http://schemas.openxmlformats.org/officeDocument/2006/relationships/hyperlink" Target="https://agenciadeaduanapirazzoli-my.sharepoint.com/:b:/g/personal/mmorales_pirazzoli_cl/IQC3E2ZCb41RRZCmHXgmFUrzATWOUu14BbnRg283lTPgCY4?e=cS9Ax8" TargetMode="External"/><Relationship Id="rId636" Type="http://schemas.openxmlformats.org/officeDocument/2006/relationships/hyperlink" Target="https://agenciadeaduanapirazzoli-my.sharepoint.com/:b:/g/personal/mmorales_pirazzoli_cl/IQDgIcsafIhpQ4wiRJkrku8tAXHy42dnteLvJC52oqByk4o?e=VhNHNb" TargetMode="External"/><Relationship Id="rId1059" Type="http://schemas.openxmlformats.org/officeDocument/2006/relationships/hyperlink" Target="https://agenciadeaduanapirazzoli-my.sharepoint.com/:b:/g/personal/mmorales_pirazzoli_cl/IQAfII4Dx64hQ7Zh-_WY3SUqAR_ByZd9h0vfRKrvqxzUZWQ?e=gOZI0G" TargetMode="External"/><Relationship Id="rId1266" Type="http://schemas.openxmlformats.org/officeDocument/2006/relationships/hyperlink" Target="https://agenciadeaduanapirazzoli-my.sharepoint.com/:b:/g/personal/mmorales_pirazzoli_cl/IQAInOMzJ2kKTr6OmLPueLu1Ad589AUL8WNPZ2uO8DX8WH4?e=Z4hwN5" TargetMode="External"/><Relationship Id="rId843" Type="http://schemas.openxmlformats.org/officeDocument/2006/relationships/hyperlink" Target="https://agenciadeaduanapirazzoli-my.sharepoint.com/:b:/g/personal/mmorales_pirazzoli_cl/IQCXLvJrnmy7To-K169E8iENAUngcTkCqpeJGH65ybipTW4?e=nebmht" TargetMode="External"/><Relationship Id="rId1126" Type="http://schemas.openxmlformats.org/officeDocument/2006/relationships/hyperlink" Target="https://agenciadeaduanapirazzoli-my.sharepoint.com/:b:/g/personal/mmorales_pirazzoli_cl/IQCAUdkD0_txRbpzkKXChj9BAZacWUUJGLNSuAujBpECdgc?e=a4OkKg" TargetMode="External"/><Relationship Id="rId275" Type="http://schemas.openxmlformats.org/officeDocument/2006/relationships/hyperlink" Target="https://agenciadeaduanapirazzoli-my.sharepoint.com/:b:/g/personal/mmorales_pirazzoli_cl/IQBprr2cjWQOS6LyCIV5iBudARWDXYtiq9tnY0VFuROhhWs?e=2w9ynO" TargetMode="External"/><Relationship Id="rId482" Type="http://schemas.openxmlformats.org/officeDocument/2006/relationships/hyperlink" Target="https://agenciadeaduanapirazzoli-my.sharepoint.com/:b:/g/personal/mmorales_pirazzoli_cl/IQCibAiHhGwITImJLJrts1ftAWKAqvYY1PMpYLg2-DYRfos?e=8NmIBI" TargetMode="External"/><Relationship Id="rId703" Type="http://schemas.openxmlformats.org/officeDocument/2006/relationships/hyperlink" Target="https://agenciadeaduanapirazzoli-my.sharepoint.com/:b:/g/personal/mmorales_pirazzoli_cl/IQC49WIh262ZQJrcAV2N3-XJAXkQQw1gytlfNeYo4tgtTfA?e=eLE1HF" TargetMode="External"/><Relationship Id="rId910" Type="http://schemas.openxmlformats.org/officeDocument/2006/relationships/hyperlink" Target="https://agenciadeaduanapirazzoli-my.sharepoint.com/:b:/g/personal/mmorales_pirazzoli_cl/IQBAD_qauVS2TJp30H1DodDmAetyQOTyFatkYrDOmeLuStU?e=mgh5sL" TargetMode="External"/><Relationship Id="rId135" Type="http://schemas.openxmlformats.org/officeDocument/2006/relationships/hyperlink" Target="https://agenciadeaduanapirazzoli-my.sharepoint.com/:b:/g/personal/mmorales_pirazzoli_cl/IQDTLr3yPjU8SochY1DwtJ_RAcPgnAyH67aCMQ_BxXRPM-s?e=7gIdRa" TargetMode="External"/><Relationship Id="rId342" Type="http://schemas.openxmlformats.org/officeDocument/2006/relationships/hyperlink" Target="https://agenciadeaduanapirazzoli-my.sharepoint.com/:b:/g/personal/mmorales_pirazzoli_cl/IQDWkKWaM1z_SaCZ3XKp4QQZAXCYE1dmQRe9EKC_XzToJF4?e=EX1057" TargetMode="External"/><Relationship Id="rId787" Type="http://schemas.openxmlformats.org/officeDocument/2006/relationships/hyperlink" Target="https://agenciadeaduanapirazzoli-my.sharepoint.com/:b:/g/personal/mmorales_pirazzoli_cl/IQCYMCFsI0fEToVhg4rYjQ2TAdjoDIseP7morJwDvb_B3c0?e=BhVbGD" TargetMode="External"/><Relationship Id="rId994" Type="http://schemas.openxmlformats.org/officeDocument/2006/relationships/hyperlink" Target="https://agenciadeaduanapirazzoli-my.sharepoint.com/:b:/g/personal/mmorales_pirazzoli_cl/IQCKIBXjUJvVT43u0eJn1FnlAYWAVbWo58_2XySRJkY-PB8?e=2wejJ6" TargetMode="External"/><Relationship Id="rId202" Type="http://schemas.openxmlformats.org/officeDocument/2006/relationships/hyperlink" Target="https://agenciadeaduanapirazzoli-my.sharepoint.com/:b:/g/personal/mmorales_pirazzoli_cl/IQAje4Q7ny6PR54v0McJgA6_AQ4_CRpCxhxPX2_UTskEidE?e=RlkQea" TargetMode="External"/><Relationship Id="rId647" Type="http://schemas.openxmlformats.org/officeDocument/2006/relationships/hyperlink" Target="https://agenciadeaduanapirazzoli-my.sharepoint.com/:b:/g/personal/mmorales_pirazzoli_cl/IQCAzgtWCmlyS7kqs8dSpms2Ae8ZBmqg5zgQCD31nabzjPE?e=xZIwhg" TargetMode="External"/><Relationship Id="rId854" Type="http://schemas.openxmlformats.org/officeDocument/2006/relationships/hyperlink" Target="https://agenciadeaduanapirazzoli-my.sharepoint.com/:b:/g/personal/mmorales_pirazzoli_cl/IQAuTKbVq2evTJ2NQluFRHzBAdboKjfiwUoDaYZVB2xy9_4?e=gV4RXe" TargetMode="External"/><Relationship Id="rId1277" Type="http://schemas.openxmlformats.org/officeDocument/2006/relationships/hyperlink" Target="https://agenciadeaduanapirazzoli-my.sharepoint.com/:b:/g/personal/mmorales_pirazzoli_cl/IQBV1U_Nm4nxRLTrBuotnil0AfJ1PIjemNMXBnUsqbX6QWg?e=m1s3AA" TargetMode="External"/><Relationship Id="rId286" Type="http://schemas.openxmlformats.org/officeDocument/2006/relationships/hyperlink" Target="https://agenciadeaduanapirazzoli-my.sharepoint.com/:b:/g/personal/mmorales_pirazzoli_cl/IQDc56LUfaQkSa3tuXVqnIAoAZTm56eTwv4RT6D5OgZiG30?e=j92kEA" TargetMode="External"/><Relationship Id="rId493" Type="http://schemas.openxmlformats.org/officeDocument/2006/relationships/hyperlink" Target="https://agenciadeaduanapirazzoli-my.sharepoint.com/:b:/g/personal/mmorales_pirazzoli_cl/IQAT2ZP-yGD0RKrWli4OsL9-AfY3Sq-xN51pp4w2Ve6qNnw?e=Zhg9hk" TargetMode="External"/><Relationship Id="rId507" Type="http://schemas.openxmlformats.org/officeDocument/2006/relationships/hyperlink" Target="https://agenciadeaduanapirazzoli-my.sharepoint.com/:b:/g/personal/mmorales_pirazzoli_cl/IQBdPUSK4V5oQJhKGrKSovGVAZ2jgggtGC8xBMWfVYN8ttk?e=YrykVg" TargetMode="External"/><Relationship Id="rId714" Type="http://schemas.openxmlformats.org/officeDocument/2006/relationships/hyperlink" Target="https://agenciadeaduanapirazzoli-my.sharepoint.com/:b:/g/personal/mmorales_pirazzoli_cl/IQDusfmoxI5eRZxDf9PNoEVRAVqV9hmM59KwyVUKIAaQ9O0?e=5y3oxw" TargetMode="External"/><Relationship Id="rId921" Type="http://schemas.openxmlformats.org/officeDocument/2006/relationships/hyperlink" Target="https://agenciadeaduanapirazzoli-my.sharepoint.com/:b:/g/personal/mmorales_pirazzoli_cl/IQCEUGu8r-hBRolA2unkJwrJAUY1HVvr-wVT-IGvBHk1qso?e=TylM9D" TargetMode="External"/><Relationship Id="rId1137" Type="http://schemas.openxmlformats.org/officeDocument/2006/relationships/hyperlink" Target="https://agenciadeaduanapirazzoli-my.sharepoint.com/:b:/g/personal/mmorales_pirazzoli_cl/IQAnTRAk67SeQZBxJAa7Z3mUARt1eY-MMsB_Yw3dKoaKyAQ?e=JgE7I0" TargetMode="External"/><Relationship Id="rId50" Type="http://schemas.openxmlformats.org/officeDocument/2006/relationships/hyperlink" Target="https://agenciadeaduanapirazzoli-my.sharepoint.com/:b:/g/personal/mmorales_pirazzoli_cl/IQAXJKNq2RrDQKhiS4ur1GhuASMVoFvJWX_LfbX09cU-fwk?e=7g2Jzj" TargetMode="External"/><Relationship Id="rId146" Type="http://schemas.openxmlformats.org/officeDocument/2006/relationships/hyperlink" Target="https://agenciadeaduanapirazzoli-my.sharepoint.com/:b:/g/personal/mmorales_pirazzoli_cl/IQApGaY9cXr8SpyN27gfmNHlAXfhKKxNOiMVVhI-4R6ohqA?e=BC5Zqr" TargetMode="External"/><Relationship Id="rId353" Type="http://schemas.openxmlformats.org/officeDocument/2006/relationships/hyperlink" Target="https://agenciadeaduanapirazzoli-my.sharepoint.com/:b:/g/personal/mmorales_pirazzoli_cl/IQA-6HBpeXn6RKSUdedwejTMAZsSDCwYDSuySS4ucxzjuDc?e=rYQ3ye" TargetMode="External"/><Relationship Id="rId560" Type="http://schemas.openxmlformats.org/officeDocument/2006/relationships/hyperlink" Target="https://agenciadeaduanapirazzoli-my.sharepoint.com/:b:/g/personal/mmorales_pirazzoli_cl/IQCBHesKUY8JR49JOKwM3izUAYZTIF_aBJ_qDVO3hUFPi6s?e=RkLG65" TargetMode="External"/><Relationship Id="rId798" Type="http://schemas.openxmlformats.org/officeDocument/2006/relationships/hyperlink" Target="https://agenciadeaduanapirazzoli-my.sharepoint.com/:b:/g/personal/mmorales_pirazzoli_cl/IQAdAXPehHskS47by-aQF5QvAZ97O2vsZleXEHi-MS2xWv4?e=Rx2xZA" TargetMode="External"/><Relationship Id="rId1190" Type="http://schemas.openxmlformats.org/officeDocument/2006/relationships/hyperlink" Target="https://agenciadeaduanapirazzoli-my.sharepoint.com/:b:/g/personal/mmorales_pirazzoli_cl/IQDkPIJtGrNNSbLsFIf379rMAb4p-R_zjufVS2SsvqbWFHI?e=Pd1M5D" TargetMode="External"/><Relationship Id="rId1204" Type="http://schemas.openxmlformats.org/officeDocument/2006/relationships/hyperlink" Target="https://agenciadeaduanapirazzoli-my.sharepoint.com/:b:/g/personal/mmorales_pirazzoli_cl/IQB0rhfXvVBFS57GJa_U8EvwAVOsttfspetBNJV7dAT2vC4?e=3Z0SLK" TargetMode="External"/><Relationship Id="rId213" Type="http://schemas.openxmlformats.org/officeDocument/2006/relationships/hyperlink" Target="https://agenciadeaduanapirazzoli-my.sharepoint.com/:b:/g/personal/mmorales_pirazzoli_cl/IQDLbR-A8GPHQq1uXRppEsB7ATmXeJ8SBhhupVa2HK-M8B0?e=KFB9rJ" TargetMode="External"/><Relationship Id="rId420" Type="http://schemas.openxmlformats.org/officeDocument/2006/relationships/hyperlink" Target="https://agenciadeaduanapirazzoli-my.sharepoint.com/:b:/g/personal/mmorales_pirazzoli_cl/IQB8lwaEFT15Sah7DBLdE1K8AaVemr_hgsNQtrmp4s2-SKU?e=GUBrsx" TargetMode="External"/><Relationship Id="rId658" Type="http://schemas.openxmlformats.org/officeDocument/2006/relationships/hyperlink" Target="https://agenciadeaduanapirazzoli-my.sharepoint.com/:b:/g/personal/mmorales_pirazzoli_cl/IQANzHREdTRSSKIH42dRTjjmAb_vL6Qo3dWVr5v_HfVthuo?e=LHcf0F" TargetMode="External"/><Relationship Id="rId865" Type="http://schemas.openxmlformats.org/officeDocument/2006/relationships/hyperlink" Target="https://agenciadeaduanapirazzoli-my.sharepoint.com/:b:/g/personal/mmorales_pirazzoli_cl/IQBQCZc7g_SfS47_sCRQL3wGATauIRNFCNu0a6w1Agal9uQ?e=yFdzfA" TargetMode="External"/><Relationship Id="rId1050" Type="http://schemas.openxmlformats.org/officeDocument/2006/relationships/hyperlink" Target="https://agenciadeaduanapirazzoli-my.sharepoint.com/:b:/g/personal/mmorales_pirazzoli_cl/IQD4Yp6br51RRLUjEhxCRh92AXIFdY6FTbitOhJeT7rX_SI?e=ZAMPPM" TargetMode="External"/><Relationship Id="rId1288" Type="http://schemas.openxmlformats.org/officeDocument/2006/relationships/hyperlink" Target="https://agenciadeaduanapirazzoli-my.sharepoint.com/:b:/g/personal/mmorales_pirazzoli_cl/IQCEZNoN4OuqTa-PdjGoACI0AWpj1ePN6FpFV5BYly-9Reo?e=9Ei5Rh" TargetMode="External"/><Relationship Id="rId297" Type="http://schemas.openxmlformats.org/officeDocument/2006/relationships/hyperlink" Target="https://agenciadeaduanapirazzoli-my.sharepoint.com/:b:/g/personal/mmorales_pirazzoli_cl/IQCRrdHKHd4EQrkOntfiXy0BAZ4-mWCvqH_Hlu_3EVboFXw?e=Jq4c21" TargetMode="External"/><Relationship Id="rId518" Type="http://schemas.openxmlformats.org/officeDocument/2006/relationships/hyperlink" Target="https://agenciadeaduanapirazzoli-my.sharepoint.com/:b:/g/personal/mmorales_pirazzoli_cl/IQClPVtpf4_NRYbadBuom2ypAWejvdwk2wwrp_lWnCKdtVo?e=c5gJaC" TargetMode="External"/><Relationship Id="rId725" Type="http://schemas.openxmlformats.org/officeDocument/2006/relationships/hyperlink" Target="https://agenciadeaduanapirazzoli-my.sharepoint.com/:b:/g/personal/mmorales_pirazzoli_cl/IQC15_GUjj6cSIGMjUTjphYNAZfY5soQQhxJ6CFX38aF5_A?e=6TytAW" TargetMode="External"/><Relationship Id="rId932" Type="http://schemas.openxmlformats.org/officeDocument/2006/relationships/hyperlink" Target="https://agenciadeaduanapirazzoli-my.sharepoint.com/:b:/g/personal/mmorales_pirazzoli_cl/IQCeDkgHVzq7T5gkBQtehCFOAQYlQaGRcOlQLy3vm_zQ1Io?e=CM9CNO" TargetMode="External"/><Relationship Id="rId1148" Type="http://schemas.openxmlformats.org/officeDocument/2006/relationships/hyperlink" Target="https://agenciadeaduanapirazzoli-my.sharepoint.com/:b:/g/personal/mmorales_pirazzoli_cl/IQA0fMRObST2QYRqcYwjNf_zAVYaRnj8erv_blG9XQUfkdU?e=xN3HmX" TargetMode="External"/><Relationship Id="rId157" Type="http://schemas.openxmlformats.org/officeDocument/2006/relationships/hyperlink" Target="https://agenciadeaduanapirazzoli-my.sharepoint.com/:b:/g/personal/mmorales_pirazzoli_cl/IQBshy5fQGhyQbeGGPNbGkiZAbQdTbfshKR6ZgNA0AX1Q7M?e=OcmGch" TargetMode="External"/><Relationship Id="rId364" Type="http://schemas.openxmlformats.org/officeDocument/2006/relationships/hyperlink" Target="https://agenciadeaduanapirazzoli-my.sharepoint.com/:b:/g/personal/mmorales_pirazzoli_cl/IQD2n0JlC-BjQpcrY_HdjR_YAfKhv5enenUYbZZBFdP2x6c?e=K0vP6F" TargetMode="External"/><Relationship Id="rId1008" Type="http://schemas.openxmlformats.org/officeDocument/2006/relationships/hyperlink" Target="https://agenciadeaduanapirazzoli-my.sharepoint.com/:b:/g/personal/mmorales_pirazzoli_cl/IQBX90hDJTmiQ4fqXoGiU1NYAadaXijxM3gmkbjIE7LKI6E?e=6JcfK2" TargetMode="External"/><Relationship Id="rId1215" Type="http://schemas.openxmlformats.org/officeDocument/2006/relationships/hyperlink" Target="https://agenciadeaduanapirazzoli-my.sharepoint.com/:b:/g/personal/mmorales_pirazzoli_cl/IQC6K7kMRA4jTJuRJHvyJdbGAbHP6CJ-l856RZjBOVeyAm0?e=WCHmuE" TargetMode="External"/><Relationship Id="rId61" Type="http://schemas.openxmlformats.org/officeDocument/2006/relationships/hyperlink" Target="https://agenciadeaduanapirazzoli-my.sharepoint.com/:b:/g/personal/mmorales_pirazzoli_cl/IQCovjAK7dg7QrEDhlPo_5pdAYUjh5X03EgtpNigOrCi5Y4?e=hPltH7" TargetMode="External"/><Relationship Id="rId571" Type="http://schemas.openxmlformats.org/officeDocument/2006/relationships/hyperlink" Target="https://agenciadeaduanapirazzoli-my.sharepoint.com/:b:/g/personal/mmorales_pirazzoli_cl/IQDlSq1wwvc0R6-Ug3iT1i-bAcCreSV2ed3hDCb0ytzIkLg?e=MSPc0E" TargetMode="External"/><Relationship Id="rId669" Type="http://schemas.openxmlformats.org/officeDocument/2006/relationships/hyperlink" Target="https://agenciadeaduanapirazzoli-my.sharepoint.com/:b:/g/personal/mmorales_pirazzoli_cl/IQDTyjOg4oQ3RYZB8wIWb2hsAQQ-WERGRj5BWEzbgkXM50I?e=OjbGQv" TargetMode="External"/><Relationship Id="rId876" Type="http://schemas.openxmlformats.org/officeDocument/2006/relationships/hyperlink" Target="https://agenciadeaduanapirazzoli-my.sharepoint.com/:b:/g/personal/mmorales_pirazzoli_cl/IQDBiTx0KT3uRo0sHgLLWTdKAcIS7y40Dz1EP_-hWdphLBc?e=h8yCJF" TargetMode="External"/><Relationship Id="rId1299" Type="http://schemas.openxmlformats.org/officeDocument/2006/relationships/hyperlink" Target="https://agenciadeaduanapirazzoli-my.sharepoint.com/:b:/g/personal/mmorales_pirazzoli_cl/IQDTdA58iOEZRbZafeQ0qa5_AUecZk8lUFR_7-F-mMwjHvU?e=irHtsJ" TargetMode="External"/><Relationship Id="rId19" Type="http://schemas.openxmlformats.org/officeDocument/2006/relationships/hyperlink" Target="https://agenciadeaduanapirazzoli-my.sharepoint.com/:b:/g/personal/mmorales_pirazzoli_cl/IQBgSN8zrR4VSJRVQHRbpyyjAZQ6xKNAXG1pJzfdiUJP0eU?e=95HfbI" TargetMode="External"/><Relationship Id="rId224" Type="http://schemas.openxmlformats.org/officeDocument/2006/relationships/hyperlink" Target="https://agenciadeaduanapirazzoli-my.sharepoint.com/:b:/g/personal/mmorales_pirazzoli_cl/IQCs_RK7-09WSIx6aZKDWV0sARTLP6-oO-YNzLbZbutkPvk?e=s075PF" TargetMode="External"/><Relationship Id="rId431" Type="http://schemas.openxmlformats.org/officeDocument/2006/relationships/hyperlink" Target="https://agenciadeaduanapirazzoli-my.sharepoint.com/:b:/g/personal/mmorales_pirazzoli_cl/IQDAfoEPL57FQJwOTip4LeV9AYe-Rp7bk9ToLUae6BzspXA?e=fhBZAx" TargetMode="External"/><Relationship Id="rId529" Type="http://schemas.openxmlformats.org/officeDocument/2006/relationships/hyperlink" Target="https://agenciadeaduanapirazzoli-my.sharepoint.com/:b:/g/personal/mmorales_pirazzoli_cl/IQBArbszFKxASoUAFfAn52mnAR6I3MXqZLfBsBaIk8SNuZc?e=dafg61" TargetMode="External"/><Relationship Id="rId736" Type="http://schemas.openxmlformats.org/officeDocument/2006/relationships/hyperlink" Target="https://agenciadeaduanapirazzoli-my.sharepoint.com/:b:/g/personal/mmorales_pirazzoli_cl/IQChzK43M_8rR47YvqcQNoTTAdAU2iJ0YFTGq3lJ9xJQKQk?e=8yp1EV" TargetMode="External"/><Relationship Id="rId1061" Type="http://schemas.openxmlformats.org/officeDocument/2006/relationships/hyperlink" Target="https://agenciadeaduanapirazzoli-my.sharepoint.com/:b:/g/personal/mmorales_pirazzoli_cl/IQDpYE5KEIN9S4q76zG-OC_QAdHyAbF2HzFZ5BcAW4Wg5Co?e=bEgzdf" TargetMode="External"/><Relationship Id="rId1159" Type="http://schemas.openxmlformats.org/officeDocument/2006/relationships/hyperlink" Target="https://agenciadeaduanapirazzoli-my.sharepoint.com/:b:/g/personal/mmorales_pirazzoli_cl/IQBeVaokTSIiRIFLglqQYkrrAdyuZ3Mjfh0QdweVjLUVPmQ?e=AyeEUd" TargetMode="External"/><Relationship Id="rId168" Type="http://schemas.openxmlformats.org/officeDocument/2006/relationships/hyperlink" Target="https://agenciadeaduanapirazzoli-my.sharepoint.com/:b:/g/personal/mmorales_pirazzoli_cl/IQDGqFnR46cGR7kDUycQZ4SCAWYaNwXBylq_kCeB9bKCDFk?e=uQbbNS" TargetMode="External"/><Relationship Id="rId943" Type="http://schemas.openxmlformats.org/officeDocument/2006/relationships/hyperlink" Target="https://agenciadeaduanapirazzoli-my.sharepoint.com/:b:/g/personal/mmorales_pirazzoli_cl/IQAPchMv0OqkRJVJu0J5O_YNAftAbelczbvWFCDGz_a1hpM?e=BxWsUm" TargetMode="External"/><Relationship Id="rId1019" Type="http://schemas.openxmlformats.org/officeDocument/2006/relationships/hyperlink" Target="https://agenciadeaduanapirazzoli-my.sharepoint.com/:b:/g/personal/mmorales_pirazzoli_cl/IQCqfrXuQ1KDSqUMqNaLbTRXAZBIzxfpnvPCiEg5v-RJiQg?e=fCjq3j" TargetMode="External"/><Relationship Id="rId72" Type="http://schemas.openxmlformats.org/officeDocument/2006/relationships/hyperlink" Target="https://agenciadeaduanapirazzoli-my.sharepoint.com/:b:/g/personal/mmorales_pirazzoli_cl/IQCyiOBWqWiCRZjohsiWZlPQAbjNWHsBNZgZrONs1oseIQI?e=FUAx2L" TargetMode="External"/><Relationship Id="rId375" Type="http://schemas.openxmlformats.org/officeDocument/2006/relationships/hyperlink" Target="https://agenciadeaduanapirazzoli-my.sharepoint.com/:b:/g/personal/mmorales_pirazzoli_cl/IQBV7t1YxGESSbizUFS7Z7F_ARLbruCvh227KC_Nva3o4mY?e=bUXkzS" TargetMode="External"/><Relationship Id="rId582" Type="http://schemas.openxmlformats.org/officeDocument/2006/relationships/hyperlink" Target="https://agenciadeaduanapirazzoli-my.sharepoint.com/:b:/g/personal/mmorales_pirazzoli_cl/IQDj06lknpBKSLizvGGI7lAWAbLs53GXzZREpYAqpLlOcV4?e=rMHYFv" TargetMode="External"/><Relationship Id="rId803" Type="http://schemas.openxmlformats.org/officeDocument/2006/relationships/hyperlink" Target="https://agenciadeaduanapirazzoli-my.sharepoint.com/:b:/g/personal/mmorales_pirazzoli_cl/IQAug2KPqXZHSbOO_hx3OqG3AS3d5XuCaA6p-wSGcCM0AXU?e=vyP8UV" TargetMode="External"/><Relationship Id="rId1226" Type="http://schemas.openxmlformats.org/officeDocument/2006/relationships/hyperlink" Target="https://agenciadeaduanapirazzoli-my.sharepoint.com/:b:/g/personal/mmorales_pirazzoli_cl/IQCSLzbNW21ASqAMSSAOuieYAb90fwWq837VZhueb0h_1sg?e=5BLX7c" TargetMode="External"/><Relationship Id="rId3" Type="http://schemas.openxmlformats.org/officeDocument/2006/relationships/hyperlink" Target="https://agenciadeaduanapirazzoli-my.sharepoint.com/:b:/g/personal/mmorales_pirazzoli_cl/IQC73OmChEgGTLRk8GwDsNF6Aco6xJeIc3uiguLDcQQzEe8?e=HIIl1C" TargetMode="External"/><Relationship Id="rId235" Type="http://schemas.openxmlformats.org/officeDocument/2006/relationships/hyperlink" Target="https://agenciadeaduanapirazzoli-my.sharepoint.com/:b:/g/personal/mmorales_pirazzoli_cl/IQAxKykGPq0xS6NVN-YK10pZAbuTOpJy6ACsTrizRFRsjiY?e=1Yrp7d" TargetMode="External"/><Relationship Id="rId442" Type="http://schemas.openxmlformats.org/officeDocument/2006/relationships/hyperlink" Target="https://agenciadeaduanapirazzoli-my.sharepoint.com/:b:/g/personal/mmorales_pirazzoli_cl/IQCQzJKDr8J3QIgCVUiDabQ0AXypKs2l0Irts-xLOQe0YmQ?e=Qpw08d" TargetMode="External"/><Relationship Id="rId887" Type="http://schemas.openxmlformats.org/officeDocument/2006/relationships/hyperlink" Target="https://agenciadeaduanapirazzoli-my.sharepoint.com/:b:/g/personal/mmorales_pirazzoli_cl/IQBdM-jSxZGlRrR08edN_mMSAUU1UqsgiHm-PkAsl4Uvotk?e=tKrgv1" TargetMode="External"/><Relationship Id="rId1072" Type="http://schemas.openxmlformats.org/officeDocument/2006/relationships/hyperlink" Target="https://agenciadeaduanapirazzoli-my.sharepoint.com/:b:/g/personal/mmorales_pirazzoli_cl/IQAgii46QggATKw3cyF9PVNaAaYeA2r7O2FCX6KQ4CR6WpY?e=QNqR4T" TargetMode="External"/><Relationship Id="rId302" Type="http://schemas.openxmlformats.org/officeDocument/2006/relationships/hyperlink" Target="https://agenciadeaduanapirazzoli-my.sharepoint.com/:b:/g/personal/mmorales_pirazzoli_cl/IQAE1mnBmVNDS6k3Mr1Vjv8gAWCAXxu5c71nZHh0p9eoxOU?e=odoInf" TargetMode="External"/><Relationship Id="rId747" Type="http://schemas.openxmlformats.org/officeDocument/2006/relationships/hyperlink" Target="https://agenciadeaduanapirazzoli-my.sharepoint.com/:b:/g/personal/mmorales_pirazzoli_cl/IQCcn9K0DlKZS5NlVdEEB4HbAWy2Y_petdJqGG_PtJb6wUM?e=uKsJA1" TargetMode="External"/><Relationship Id="rId954" Type="http://schemas.openxmlformats.org/officeDocument/2006/relationships/hyperlink" Target="https://agenciadeaduanapirazzoli-my.sharepoint.com/:b:/g/personal/mmorales_pirazzoli_cl/IQBCEd_ru1T3QIcUoz_56rzCAd3bVQWlBBB8HP_7LzLnfZM?e=eMZNqK" TargetMode="External"/><Relationship Id="rId83" Type="http://schemas.openxmlformats.org/officeDocument/2006/relationships/hyperlink" Target="https://agenciadeaduanapirazzoli-my.sharepoint.com/:b:/g/personal/mmorales_pirazzoli_cl/IQBbQ8_uAqYpS7Z1k34QLp7KAZcX-2ddZGdUOdmSUuVTAdE?e=f6Qe95" TargetMode="External"/><Relationship Id="rId179" Type="http://schemas.openxmlformats.org/officeDocument/2006/relationships/hyperlink" Target="https://agenciadeaduanapirazzoli-my.sharepoint.com/:b:/g/personal/mmorales_pirazzoli_cl/IQCIMN69JNfRS7PJJe7xl5WVATOelmGeiMsMAKrAd6ONTIo?e=qJDhBO" TargetMode="External"/><Relationship Id="rId386" Type="http://schemas.openxmlformats.org/officeDocument/2006/relationships/hyperlink" Target="https://agenciadeaduanapirazzoli-my.sharepoint.com/:b:/g/personal/mmorales_pirazzoli_cl/IQANvdpx1WiZT6pFjUSpH5VVAdkn23f_i_tDJXesw5bmbqE?e=feopvL" TargetMode="External"/><Relationship Id="rId593" Type="http://schemas.openxmlformats.org/officeDocument/2006/relationships/hyperlink" Target="https://agenciadeaduanapirazzoli-my.sharepoint.com/:b:/g/personal/mmorales_pirazzoli_cl/IQCTfSPTdJwIQ4dI1WNUrFttAWZK1pDnIlqDUlYvKTrZGPw?e=Y5Hiav" TargetMode="External"/><Relationship Id="rId607" Type="http://schemas.openxmlformats.org/officeDocument/2006/relationships/hyperlink" Target="https://agenciadeaduanapirazzoli-my.sharepoint.com/:b:/g/personal/mmorales_pirazzoli_cl/IQCnu_Q4haBLSbcP_HbnPQtgAUsmS9AHCaPUrlxWV7CRqqo?e=XQA5FX" TargetMode="External"/><Relationship Id="rId814" Type="http://schemas.openxmlformats.org/officeDocument/2006/relationships/hyperlink" Target="https://agenciadeaduanapirazzoli-my.sharepoint.com/:b:/g/personal/mmorales_pirazzoli_cl/IQBoLLGwbhG5QK5_oeIrTdxVAS0VRcvprMD7-xcyshdYELc?e=qJ67f0" TargetMode="External"/><Relationship Id="rId1237" Type="http://schemas.openxmlformats.org/officeDocument/2006/relationships/hyperlink" Target="https://agenciadeaduanapirazzoli-my.sharepoint.com/:b:/g/personal/mmorales_pirazzoli_cl/IQBX4d2p8vULR4fBvEA2vyLgAViOSw8VNMsrY_p5aLl09xQ?e=Ac92PJ" TargetMode="External"/><Relationship Id="rId246" Type="http://schemas.openxmlformats.org/officeDocument/2006/relationships/hyperlink" Target="https://agenciadeaduanapirazzoli-my.sharepoint.com/:b:/g/personal/mmorales_pirazzoli_cl/IQDHligZcU81Q5_J3Zg_dwohAc1usyvWqGIsCsYwkEyywjw?e=pGgSnl" TargetMode="External"/><Relationship Id="rId453" Type="http://schemas.openxmlformats.org/officeDocument/2006/relationships/hyperlink" Target="https://agenciadeaduanapirazzoli-my.sharepoint.com/:b:/g/personal/mmorales_pirazzoli_cl/IQDCR9OAbA_VQ7Ymjcnbyyd9ATV4HtjDuAGdJCb3D1xHIoo?e=Gqzf7H" TargetMode="External"/><Relationship Id="rId660" Type="http://schemas.openxmlformats.org/officeDocument/2006/relationships/hyperlink" Target="https://agenciadeaduanapirazzoli-my.sharepoint.com/:b:/g/personal/mmorales_pirazzoli_cl/IQDInWRxlx9fTasYKVcYqFvNAQlmRabUYCRyd7ceKkcntT0?e=t8vsRf" TargetMode="External"/><Relationship Id="rId898" Type="http://schemas.openxmlformats.org/officeDocument/2006/relationships/hyperlink" Target="https://agenciadeaduanapirazzoli-my.sharepoint.com/:b:/g/personal/mmorales_pirazzoli_cl/IQA5WwFSLly1TqlmTCLPcPFFAWKilnP-p7Oczqx2a7k6NkY?e=LXeqUj" TargetMode="External"/><Relationship Id="rId1083" Type="http://schemas.openxmlformats.org/officeDocument/2006/relationships/hyperlink" Target="https://agenciadeaduanapirazzoli-my.sharepoint.com/:b:/g/personal/mmorales_pirazzoli_cl/IQCOPOdjuSUVTJQDi6PjMDEgAc-aTELjNhq_USOgojhRrg0?e=lo20gd" TargetMode="External"/><Relationship Id="rId1290" Type="http://schemas.openxmlformats.org/officeDocument/2006/relationships/hyperlink" Target="https://agenciadeaduanapirazzoli-my.sharepoint.com/:b:/g/personal/mmorales_pirazzoli_cl/IQA_RFWoafsYSoiBeVe8ViRyAYWZdvSzsjITim8WJN5PYJM?e=tdBztO" TargetMode="External"/><Relationship Id="rId106" Type="http://schemas.openxmlformats.org/officeDocument/2006/relationships/hyperlink" Target="https://agenciadeaduanapirazzoli-my.sharepoint.com/:b:/g/personal/mmorales_pirazzoli_cl/IQChNbpD8n77SJQ9cauPo_7YAVUPFjTg9Z5C6ECb8YhNaN8?e=UUvwfq" TargetMode="External"/><Relationship Id="rId313" Type="http://schemas.openxmlformats.org/officeDocument/2006/relationships/hyperlink" Target="https://agenciadeaduanapirazzoli-my.sharepoint.com/:b:/g/personal/mmorales_pirazzoli_cl/IQAGpqTH4h3mQKIh8_n8V98BAeNLYRY19-ihA0c0ac8HSP0?e=VV3X7b" TargetMode="External"/><Relationship Id="rId758" Type="http://schemas.openxmlformats.org/officeDocument/2006/relationships/hyperlink" Target="https://agenciadeaduanapirazzoli-my.sharepoint.com/:b:/g/personal/mmorales_pirazzoli_cl/IQBH9EklYANAQK2W6Jyx6XI4AStM155gW1xkYwY5vZMHmjQ?e=MyV99m" TargetMode="External"/><Relationship Id="rId965" Type="http://schemas.openxmlformats.org/officeDocument/2006/relationships/hyperlink" Target="https://agenciadeaduanapirazzoli-my.sharepoint.com/:b:/g/personal/mmorales_pirazzoli_cl/IQCMWLov6o03QoDLJ9_LhyZ1AR_dadasNL4sT2Bi0edyzAA?e=eV5KVU" TargetMode="External"/><Relationship Id="rId1150" Type="http://schemas.openxmlformats.org/officeDocument/2006/relationships/hyperlink" Target="https://agenciadeaduanapirazzoli-my.sharepoint.com/:b:/g/personal/mmorales_pirazzoli_cl/IQDESgLWow_rTbHLzTxA9tHYAewZVQ8VtjMuaAddisPWcYg?e=bIQJz7" TargetMode="External"/><Relationship Id="rId10" Type="http://schemas.openxmlformats.org/officeDocument/2006/relationships/hyperlink" Target="https://agenciadeaduanapirazzoli-my.sharepoint.com/:b:/g/personal/mmorales_pirazzoli_cl/IQD3wEfw0w0ET4T9s2nWesLwAa3WHOJXr4ZinUCSROOZc10?e=cVXZfm" TargetMode="External"/><Relationship Id="rId94" Type="http://schemas.openxmlformats.org/officeDocument/2006/relationships/hyperlink" Target="https://agenciadeaduanapirazzoli-my.sharepoint.com/:b:/g/personal/mmorales_pirazzoli_cl/IQAuWHXj6PAzT6LFJs__n9ceAVjizPlV50ZHhFtXKcriAZY?e=OOrwOc" TargetMode="External"/><Relationship Id="rId397" Type="http://schemas.openxmlformats.org/officeDocument/2006/relationships/hyperlink" Target="https://agenciadeaduanapirazzoli-my.sharepoint.com/:b:/g/personal/mmorales_pirazzoli_cl/IQDLuuswNDfRTr7TspSp3HD-AXmS1Fic567TjPbty4w4SdM?e=W49aJe" TargetMode="External"/><Relationship Id="rId520" Type="http://schemas.openxmlformats.org/officeDocument/2006/relationships/hyperlink" Target="https://agenciadeaduanapirazzoli-my.sharepoint.com/:b:/g/personal/mmorales_pirazzoli_cl/IQDQq861Wc9tQZqQLeN6XXqoAVmoHUraKfWqRf4RvtEofm8?e=DwDLMl" TargetMode="External"/><Relationship Id="rId618" Type="http://schemas.openxmlformats.org/officeDocument/2006/relationships/hyperlink" Target="https://agenciadeaduanapirazzoli-my.sharepoint.com/:b:/g/personal/mmorales_pirazzoli_cl/IQDAHJ_oGHDSS6zfk3O8TxdjAVvOnodLhEozk5hOKHcXfY8?e=lMEgqJ" TargetMode="External"/><Relationship Id="rId825" Type="http://schemas.openxmlformats.org/officeDocument/2006/relationships/hyperlink" Target="https://agenciadeaduanapirazzoli-my.sharepoint.com/:b:/g/personal/mmorales_pirazzoli_cl/IQBcHvyEPe1oTLiIbrdyjKzdAWUviaOVen4y-schB_LFAco?e=Ssr8mb" TargetMode="External"/><Relationship Id="rId1248" Type="http://schemas.openxmlformats.org/officeDocument/2006/relationships/hyperlink" Target="https://agenciadeaduanapirazzoli-my.sharepoint.com/:b:/g/personal/mmorales_pirazzoli_cl/IQB8Pp0YjS8VSbKTDtEEYk1xAdB6stm3yhpykfSgfk9Fz_M?e=1bTnZe" TargetMode="External"/><Relationship Id="rId257" Type="http://schemas.openxmlformats.org/officeDocument/2006/relationships/hyperlink" Target="https://agenciadeaduanapirazzoli-my.sharepoint.com/:b:/g/personal/mmorales_pirazzoli_cl/IQDt3RNd03wRTK9GRjUuGWVEAfUUUmsOTfMxbqsK59x7At4?e=RtLEhV" TargetMode="External"/><Relationship Id="rId464" Type="http://schemas.openxmlformats.org/officeDocument/2006/relationships/hyperlink" Target="https://agenciadeaduanapirazzoli-my.sharepoint.com/:b:/g/personal/mmorales_pirazzoli_cl/IQAJveJwpcVzQpVwV-2D_OMkAQ6GiSYh8Eb8OoeDv6MX46o?e=ehLriJ" TargetMode="External"/><Relationship Id="rId1010" Type="http://schemas.openxmlformats.org/officeDocument/2006/relationships/hyperlink" Target="https://agenciadeaduanapirazzoli-my.sharepoint.com/:b:/g/personal/mmorales_pirazzoli_cl/IQDDaqV_9pO_QLwuoEwp-q5LAXsLbuf1SJyqOVhiBwXdPQU?e=NKSjRk" TargetMode="External"/><Relationship Id="rId1094" Type="http://schemas.openxmlformats.org/officeDocument/2006/relationships/hyperlink" Target="https://agenciadeaduanapirazzoli-my.sharepoint.com/:b:/g/personal/mmorales_pirazzoli_cl/IQAmmILumZsYQbvwl_sTZbIjAWKZCobGBtSlfHJEbsaQS3s?e=HkSi9f" TargetMode="External"/><Relationship Id="rId1108" Type="http://schemas.openxmlformats.org/officeDocument/2006/relationships/hyperlink" Target="https://agenciadeaduanapirazzoli-my.sharepoint.com/:b:/g/personal/mmorales_pirazzoli_cl/IQCz-EgX2j8lTq265RwrADKdATpI2rpSbM9MAW4YM2TFpbw?e=IsqnbG" TargetMode="External"/><Relationship Id="rId117" Type="http://schemas.openxmlformats.org/officeDocument/2006/relationships/hyperlink" Target="https://agenciadeaduanapirazzoli-my.sharepoint.com/:b:/g/personal/mmorales_pirazzoli_cl/IQDm82L4L_o6QrR9bRRiwNHDAZZcuX1do1G3mETnYECZAOo?e=mngHwx" TargetMode="External"/><Relationship Id="rId671" Type="http://schemas.openxmlformats.org/officeDocument/2006/relationships/hyperlink" Target="https://agenciadeaduanapirazzoli-my.sharepoint.com/:b:/g/personal/mmorales_pirazzoli_cl/IQBOYT6us2WeTIpK2vAy35Y3ARf_Rgoixplaq6zugnQDEqk?e=7iq2VQ" TargetMode="External"/><Relationship Id="rId769" Type="http://schemas.openxmlformats.org/officeDocument/2006/relationships/hyperlink" Target="https://agenciadeaduanapirazzoli-my.sharepoint.com/:b:/g/personal/mmorales_pirazzoli_cl/IQBhF-Isv9atR6xQHrIpEuP3AU-MOjo6iDQnUr0u9l8DBGY?e=qSeVCv" TargetMode="External"/><Relationship Id="rId976" Type="http://schemas.openxmlformats.org/officeDocument/2006/relationships/hyperlink" Target="https://agenciadeaduanapirazzoli-my.sharepoint.com/:b:/g/personal/mmorales_pirazzoli_cl/IQCwG7nTUpsGTL0O4ZNYeHyfATNev_CKiWhR_Su9HTyEjH4?e=Qwaubu" TargetMode="External"/><Relationship Id="rId324" Type="http://schemas.openxmlformats.org/officeDocument/2006/relationships/hyperlink" Target="https://agenciadeaduanapirazzoli-my.sharepoint.com/:b:/g/personal/mmorales_pirazzoli_cl/IQCdXJ0qyuRDS4JnI87ZEcP6AZfTQUj8p9LyJHWmUP2r_OE?e=016H1V" TargetMode="External"/><Relationship Id="rId531" Type="http://schemas.openxmlformats.org/officeDocument/2006/relationships/hyperlink" Target="https://agenciadeaduanapirazzoli-my.sharepoint.com/:b:/g/personal/mmorales_pirazzoli_cl/IQC3wDgsBzx-QqbgZzh7dZvnAewpdqUwrFERHqHjHyND694?e=QsLTpR" TargetMode="External"/><Relationship Id="rId629" Type="http://schemas.openxmlformats.org/officeDocument/2006/relationships/hyperlink" Target="https://agenciadeaduanapirazzoli-my.sharepoint.com/:b:/g/personal/mmorales_pirazzoli_cl/IQBCz26FVX0LTqjp0EcwpFoeAQ-CF3iuAD_RDv2yE-vya_A?e=zvDRTJ" TargetMode="External"/><Relationship Id="rId1161" Type="http://schemas.openxmlformats.org/officeDocument/2006/relationships/hyperlink" Target="https://agenciadeaduanapirazzoli-my.sharepoint.com/:b:/g/personal/mmorales_pirazzoli_cl/IQDL9TaMcitdSbpaCCkJHd66AVm79K5UmnL4EyQkwJkNTBM?e=HmGd6L" TargetMode="External"/><Relationship Id="rId1259" Type="http://schemas.openxmlformats.org/officeDocument/2006/relationships/hyperlink" Target="https://agenciadeaduanapirazzoli-my.sharepoint.com/:b:/g/personal/mmorales_pirazzoli_cl/IQDcnGHnd3QOQ5_J1Y4-rvAzAWohmHJ5uW7qTmtP5-PbkdA?e=Rq1twp" TargetMode="External"/><Relationship Id="rId836" Type="http://schemas.openxmlformats.org/officeDocument/2006/relationships/hyperlink" Target="https://agenciadeaduanapirazzoli-my.sharepoint.com/:b:/g/personal/mmorales_pirazzoli_cl/IQC_FWwNSM-VTakaedySYXUcAThyOYHct0GgOusFoo0_V58?e=fNHB6a" TargetMode="External"/><Relationship Id="rId1021" Type="http://schemas.openxmlformats.org/officeDocument/2006/relationships/hyperlink" Target="https://agenciadeaduanapirazzoli-my.sharepoint.com/:b:/g/personal/mmorales_pirazzoli_cl/IQCALwKnfWsQT5pSGEBq4akLAf0LtRaoFrgamSYX2VHfk6g?e=UaeWVC" TargetMode="External"/><Relationship Id="rId1119" Type="http://schemas.openxmlformats.org/officeDocument/2006/relationships/hyperlink" Target="https://agenciadeaduanapirazzoli-my.sharepoint.com/:b:/g/personal/mmorales_pirazzoli_cl/IQCOWRZy4UZOSZ2Ku2UWXBRTAXB7xA1_By5Jai_s6_Gyjb4?e=K95nJl" TargetMode="External"/><Relationship Id="rId903" Type="http://schemas.openxmlformats.org/officeDocument/2006/relationships/hyperlink" Target="https://agenciadeaduanapirazzoli-my.sharepoint.com/:b:/g/personal/mmorales_pirazzoli_cl/IQBqP5pN-p93TKQIprr3m5wBAXat6zp1U6-QvjmuXZheWxo?e=Y8KfDh" TargetMode="External"/><Relationship Id="rId32" Type="http://schemas.openxmlformats.org/officeDocument/2006/relationships/hyperlink" Target="https://agenciadeaduanapirazzoli-my.sharepoint.com/:b:/g/personal/mmorales_pirazzoli_cl/IQBzqmge_HGbRI9Ub-RMk4DCAd2nyU1LArAcNdym_rFhKqU?e=SjUmLo" TargetMode="External"/><Relationship Id="rId181" Type="http://schemas.openxmlformats.org/officeDocument/2006/relationships/hyperlink" Target="https://agenciadeaduanapirazzoli-my.sharepoint.com/:b:/g/personal/mmorales_pirazzoli_cl/IQAIheIuinKMSq-nTbVRJjDnAZWcQdWV86AmgY5u-7Rzfsg?e=mpBvHq" TargetMode="External"/><Relationship Id="rId279" Type="http://schemas.openxmlformats.org/officeDocument/2006/relationships/hyperlink" Target="https://agenciadeaduanapirazzoli-my.sharepoint.com/:b:/g/personal/mmorales_pirazzoli_cl/IQBTDnH2wRfEQamU2xjqb_7CAQqW3Vs3YRnL2QkUz4_SZjY?e=ZCz0kh" TargetMode="External"/><Relationship Id="rId486" Type="http://schemas.openxmlformats.org/officeDocument/2006/relationships/hyperlink" Target="https://agenciadeaduanapirazzoli-my.sharepoint.com/:b:/g/personal/mmorales_pirazzoli_cl/IQD3g00LiPoGTZRGyXwdPtcJAbHGMJQL_9TQkYx-U3BZlFw?e=G5bZHl" TargetMode="External"/><Relationship Id="rId693" Type="http://schemas.openxmlformats.org/officeDocument/2006/relationships/hyperlink" Target="https://agenciadeaduanapirazzoli-my.sharepoint.com/:b:/g/personal/mmorales_pirazzoli_cl/IQCuvXYBOvttQqAnKQ9BO9dVAbo3fdnmSqdSpSDW0PK9qwI?e=0V92cU" TargetMode="External"/><Relationship Id="rId139" Type="http://schemas.openxmlformats.org/officeDocument/2006/relationships/hyperlink" Target="https://agenciadeaduanapirazzoli-my.sharepoint.com/:b:/g/personal/mmorales_pirazzoli_cl/IQC-XCpIW8v8RqfyGpdY_qDbAd_MGGiY-BVbFynpCY92yFQ?e=C958pN" TargetMode="External"/><Relationship Id="rId346" Type="http://schemas.openxmlformats.org/officeDocument/2006/relationships/hyperlink" Target="https://agenciadeaduanapirazzoli-my.sharepoint.com/:b:/g/personal/mmorales_pirazzoli_cl/IQCXqzys9mwdR7zohNXZXEeoARaZos2KTygN368bDRoqGCQ?e=K7OWW7" TargetMode="External"/><Relationship Id="rId553" Type="http://schemas.openxmlformats.org/officeDocument/2006/relationships/hyperlink" Target="https://agenciadeaduanapirazzoli-my.sharepoint.com/:b:/g/personal/mmorales_pirazzoli_cl/IQCR_lqy_hjtRZLjnPPU1ThcAbrTp-cGdKlzJ5WZxyL2Ai4?e=fMH9TT" TargetMode="External"/><Relationship Id="rId760" Type="http://schemas.openxmlformats.org/officeDocument/2006/relationships/hyperlink" Target="https://agenciadeaduanapirazzoli-my.sharepoint.com/:b:/g/personal/mmorales_pirazzoli_cl/IQDoDM6Ql9shRLnlDnZ7BkP0AUMLea4AD99FuGiDc2eKTEY?e=2senns" TargetMode="External"/><Relationship Id="rId998" Type="http://schemas.openxmlformats.org/officeDocument/2006/relationships/hyperlink" Target="https://agenciadeaduanapirazzoli-my.sharepoint.com/:b:/g/personal/mmorales_pirazzoli_cl/IQCoWLpk3PblTa4G0Zh012tDAWn7beHTXr2asCfeFNXfc0c?e=88hBSZ" TargetMode="External"/><Relationship Id="rId1183" Type="http://schemas.openxmlformats.org/officeDocument/2006/relationships/hyperlink" Target="https://agenciadeaduanapirazzoli-my.sharepoint.com/:b:/g/personal/mmorales_pirazzoli_cl/IQAn2lGg333sRrnnIxnNrgMNATx1dCwcqQrRDDUjosUfmuk?e=Rt7wcs" TargetMode="External"/><Relationship Id="rId206" Type="http://schemas.openxmlformats.org/officeDocument/2006/relationships/hyperlink" Target="https://agenciadeaduanapirazzoli-my.sharepoint.com/:b:/g/personal/mmorales_pirazzoli_cl/IQAREKddwGAYSJjdvU6fDlS2ATatzyM93fanD_UpMN5r824?e=pcDFtb" TargetMode="External"/><Relationship Id="rId413" Type="http://schemas.openxmlformats.org/officeDocument/2006/relationships/hyperlink" Target="https://agenciadeaduanapirazzoli-my.sharepoint.com/:b:/g/personal/mmorales_pirazzoli_cl/IQA9572ZXjNER6ugZaCrUuQXAZ0RYGYlfjZEXPO1S6xYoVk?e=1zqeEp" TargetMode="External"/><Relationship Id="rId858" Type="http://schemas.openxmlformats.org/officeDocument/2006/relationships/hyperlink" Target="https://agenciadeaduanapirazzoli-my.sharepoint.com/:b:/g/personal/mmorales_pirazzoli_cl/IQBJ1sdT_muXQ4TEKm18Fzu9AYOYxOBkOtiUUgxdk20Z49g?e=HmTjcy" TargetMode="External"/><Relationship Id="rId1043" Type="http://schemas.openxmlformats.org/officeDocument/2006/relationships/hyperlink" Target="https://agenciadeaduanapirazzoli-my.sharepoint.com/:b:/g/personal/mmorales_pirazzoli_cl/IQDESVteLg_lRJ8upm-8MN3eAUzHAjbVpCIl1HOLICxz0Nk?e=UFS9xm" TargetMode="External"/><Relationship Id="rId620" Type="http://schemas.openxmlformats.org/officeDocument/2006/relationships/hyperlink" Target="https://agenciadeaduanapirazzoli-my.sharepoint.com/:b:/g/personal/mmorales_pirazzoli_cl/IQAMEuyV0rZmQ5lCP_jvZgYhAYQLDxz73568ZCQd1RMaIh8?e=kVC3Pw" TargetMode="External"/><Relationship Id="rId718" Type="http://schemas.openxmlformats.org/officeDocument/2006/relationships/hyperlink" Target="https://agenciadeaduanapirazzoli-my.sharepoint.com/:b:/g/personal/mmorales_pirazzoli_cl/IQCq_aj1mkKJSqj0AJ5mimanAbuMV1nHCyE6bnq6I8RBoYs?e=s8b69O" TargetMode="External"/><Relationship Id="rId925" Type="http://schemas.openxmlformats.org/officeDocument/2006/relationships/hyperlink" Target="https://agenciadeaduanapirazzoli-my.sharepoint.com/:b:/g/personal/mmorales_pirazzoli_cl/IQCVNJIKwRXSTItWuHMl78K1AW8_EVQdqWSBAcmzD8R2EDc?e=EaUpUi" TargetMode="External"/><Relationship Id="rId1250" Type="http://schemas.openxmlformats.org/officeDocument/2006/relationships/hyperlink" Target="https://agenciadeaduanapirazzoli-my.sharepoint.com/:b:/g/personal/mmorales_pirazzoli_cl/IQBVUcvN53m2SJ4P5mrvLg77AWrKDfOmq9BPla-UJzTWPb4?e=pkxaPB" TargetMode="External"/><Relationship Id="rId1110" Type="http://schemas.openxmlformats.org/officeDocument/2006/relationships/hyperlink" Target="https://agenciadeaduanapirazzoli-my.sharepoint.com/:b:/g/personal/mmorales_pirazzoli_cl/IQCPjNEVD_b1R5aSPYCFRG6MAQtc_d7CXzo4tqIcQpEz6ck?e=Ax3n0d" TargetMode="External"/><Relationship Id="rId1208" Type="http://schemas.openxmlformats.org/officeDocument/2006/relationships/hyperlink" Target="https://agenciadeaduanapirazzoli-my.sharepoint.com/:b:/g/personal/mmorales_pirazzoli_cl/IQCzyILhVXb3RKxsE5meHR28AXWArLmkBwLFAt6eESr_NPc?e=ixftJH" TargetMode="External"/><Relationship Id="rId54" Type="http://schemas.openxmlformats.org/officeDocument/2006/relationships/hyperlink" Target="https://agenciadeaduanapirazzoli-my.sharepoint.com/:b:/g/personal/mmorales_pirazzoli_cl/IQC7St0DTiXOQKNfiuHelMEpARI0jolNwCQp57j4yGxZPhU?e=h2Ux8Q" TargetMode="External"/><Relationship Id="rId270" Type="http://schemas.openxmlformats.org/officeDocument/2006/relationships/hyperlink" Target="https://agenciadeaduanapirazzoli-my.sharepoint.com/:b:/g/personal/mmorales_pirazzoli_cl/IQBpSDR5mKcMRbRv1cT1Jq_BAYRfYTio8liSuDwFdqj7l8Y?e=H5TfR9" TargetMode="External"/><Relationship Id="rId130" Type="http://schemas.openxmlformats.org/officeDocument/2006/relationships/hyperlink" Target="https://agenciadeaduanapirazzoli-my.sharepoint.com/:b:/g/personal/mmorales_pirazzoli_cl/IQBJbJa5jc2PQa-o7Bd73nRGARpVwjqNoNoE10kaY-XFq3I?e=tOGmTt" TargetMode="External"/><Relationship Id="rId368" Type="http://schemas.openxmlformats.org/officeDocument/2006/relationships/hyperlink" Target="https://agenciadeaduanapirazzoli-my.sharepoint.com/:b:/g/personal/mmorales_pirazzoli_cl/IQAQFN7TXV4ZT5fc5BnncQJtAX3CUSaY6DBuImoFqLXYOEg?e=Ba6Y9J" TargetMode="External"/><Relationship Id="rId575" Type="http://schemas.openxmlformats.org/officeDocument/2006/relationships/hyperlink" Target="https://agenciadeaduanapirazzoli-my.sharepoint.com/:b:/g/personal/mmorales_pirazzoli_cl/IQBcO8tdKIkZQ5EJKHcaqStfAY-8SVFVqobAs18xuNyqPbc?e=3wy19s" TargetMode="External"/><Relationship Id="rId782" Type="http://schemas.openxmlformats.org/officeDocument/2006/relationships/hyperlink" Target="https://agenciadeaduanapirazzoli-my.sharepoint.com/:b:/g/personal/mmorales_pirazzoli_cl/IQC-qdt2Xv8aSqoVymYflut8AdoODQ5blmfqLxVfTYx-4Io?e=dJBSpz" TargetMode="External"/><Relationship Id="rId228" Type="http://schemas.openxmlformats.org/officeDocument/2006/relationships/hyperlink" Target="https://agenciadeaduanapirazzoli-my.sharepoint.com/:b:/g/personal/mmorales_pirazzoli_cl/IQBaajxok-CmTIayTXHbmsnPAeAbTIciQ8cEpo_E4V5TpOQ?e=CFAvYf" TargetMode="External"/><Relationship Id="rId435" Type="http://schemas.openxmlformats.org/officeDocument/2006/relationships/hyperlink" Target="https://agenciadeaduanapirazzoli-my.sharepoint.com/:b:/g/personal/mmorales_pirazzoli_cl/IQD0eT8pNEUGT5WiEGIRwdsmARY5LsSxrLNPw9vSYkCp7qM?e=Hb0y25" TargetMode="External"/><Relationship Id="rId642" Type="http://schemas.openxmlformats.org/officeDocument/2006/relationships/hyperlink" Target="https://agenciadeaduanapirazzoli-my.sharepoint.com/:b:/g/personal/mmorales_pirazzoli_cl/IQD21eJscsCDSqwrz6wSGnpEAS7WNe-0irW97a3QDQr3c88?e=PcjFC1" TargetMode="External"/><Relationship Id="rId1065" Type="http://schemas.openxmlformats.org/officeDocument/2006/relationships/hyperlink" Target="https://agenciadeaduanapirazzoli-my.sharepoint.com/:b:/g/personal/mmorales_pirazzoli_cl/IQDXLzLCp2DKTrDO2A3KzXS3AR9TbVj57lyoMLyKp20FmpY?e=S4swT4" TargetMode="External"/><Relationship Id="rId1272" Type="http://schemas.openxmlformats.org/officeDocument/2006/relationships/hyperlink" Target="https://agenciadeaduanapirazzoli-my.sharepoint.com/:b:/g/personal/mmorales_pirazzoli_cl/IQCiCi9iDKATQ4ajdfPnqzP_Abj6_ixliVgj-qw07mwb9EY?e=g6XquC" TargetMode="External"/><Relationship Id="rId502" Type="http://schemas.openxmlformats.org/officeDocument/2006/relationships/hyperlink" Target="https://agenciadeaduanapirazzoli-my.sharepoint.com/:b:/g/personal/mmorales_pirazzoli_cl/IQAy3merSdQmTblXk64gisWdASqPOsFNoPveXwIabvc_Hsw?e=0kGi4O" TargetMode="External"/><Relationship Id="rId947" Type="http://schemas.openxmlformats.org/officeDocument/2006/relationships/hyperlink" Target="https://agenciadeaduanapirazzoli-my.sharepoint.com/:b:/g/personal/mmorales_pirazzoli_cl/IQAWChcLjYzOTbfCCV5W1TveAXJmYAodNOtlMjGDIDHEDnA?e=Q3eitX" TargetMode="External"/><Relationship Id="rId1132" Type="http://schemas.openxmlformats.org/officeDocument/2006/relationships/hyperlink" Target="https://agenciadeaduanapirazzoli-my.sharepoint.com/:b:/g/personal/mmorales_pirazzoli_cl/IQBSMGpmlJFvQINzMBLDTMBEATxIcdzf6U95EwRUSq7A74E?e=pPHS0M" TargetMode="External"/><Relationship Id="rId76" Type="http://schemas.openxmlformats.org/officeDocument/2006/relationships/hyperlink" Target="https://agenciadeaduanapirazzoli-my.sharepoint.com/:b:/g/personal/mmorales_pirazzoli_cl/IQAY-eCFU6WyTaN5vCbLjhEuAYvyUuzCZtvMuBdGxvkn0Us?e=DF0BSh" TargetMode="External"/><Relationship Id="rId807" Type="http://schemas.openxmlformats.org/officeDocument/2006/relationships/hyperlink" Target="https://agenciadeaduanapirazzoli-my.sharepoint.com/:b:/g/personal/mmorales_pirazzoli_cl/IQC_0zbx2S4YRJD50ZsDyLWKAW8Cu248vqiYn8t1ABm3IDM?e=WCmtoK" TargetMode="External"/><Relationship Id="rId292" Type="http://schemas.openxmlformats.org/officeDocument/2006/relationships/hyperlink" Target="https://agenciadeaduanapirazzoli-my.sharepoint.com/:b:/g/personal/mmorales_pirazzoli_cl/IQBiIRMHkzTiS7QunEKsBlrqAZOFUQlSOPqKEwLUo5XStI8?e=8RcYw3" TargetMode="External"/><Relationship Id="rId597" Type="http://schemas.openxmlformats.org/officeDocument/2006/relationships/hyperlink" Target="https://agenciadeaduanapirazzoli-my.sharepoint.com/:b:/g/personal/mmorales_pirazzoli_cl/IQDfRlM5OiUIT5tHFGdDTPL9AWE0Y1FrgGFcT-U1OEy_PI8?e=haG9gS" TargetMode="External"/><Relationship Id="rId152" Type="http://schemas.openxmlformats.org/officeDocument/2006/relationships/hyperlink" Target="https://agenciadeaduanapirazzoli-my.sharepoint.com/:b:/g/personal/mmorales_pirazzoli_cl/IQAIOc6dAWkVQoGmbSD8BRURAS4T7hF4XMGahgI0SVv7qro?e=FtLs7q" TargetMode="External"/><Relationship Id="rId457" Type="http://schemas.openxmlformats.org/officeDocument/2006/relationships/hyperlink" Target="https://agenciadeaduanapirazzoli-my.sharepoint.com/:b:/g/personal/mmorales_pirazzoli_cl/IQBWj8DLWfSrR5Botew-hPVRAehap7sRqkcWrQBBiWwBNy0?e=miShm0" TargetMode="External"/><Relationship Id="rId1087" Type="http://schemas.openxmlformats.org/officeDocument/2006/relationships/hyperlink" Target="https://agenciadeaduanapirazzoli-my.sharepoint.com/:b:/g/personal/mmorales_pirazzoli_cl/IQAHKlYqlj6wRJraWLm9W4aCARgxiPApT65oSW8eDrlH2Ag?e=a7XgoW" TargetMode="External"/><Relationship Id="rId1294" Type="http://schemas.openxmlformats.org/officeDocument/2006/relationships/hyperlink" Target="https://agenciadeaduanapirazzoli-my.sharepoint.com/:b:/g/personal/mmorales_pirazzoli_cl/IQA_asDldQLXQoNNBG-hiDPbAUQVvgiU7i2g9I5vl_zd1BM?e=ipLzQY" TargetMode="External"/><Relationship Id="rId664" Type="http://schemas.openxmlformats.org/officeDocument/2006/relationships/hyperlink" Target="https://agenciadeaduanapirazzoli-my.sharepoint.com/:b:/g/personal/mmorales_pirazzoli_cl/IQDYxOAYPRcoQKorGtqnhpL2AVY52a-EbgGW4tO1pa4pML8?e=kaYqfc" TargetMode="External"/><Relationship Id="rId871" Type="http://schemas.openxmlformats.org/officeDocument/2006/relationships/hyperlink" Target="https://agenciadeaduanapirazzoli-my.sharepoint.com/:b:/g/personal/mmorales_pirazzoli_cl/IQATqvaUsJufT5l3Hq51QNs0AfBk71EWH0f1gze4t73irbU?e=ZFQN7Z" TargetMode="External"/><Relationship Id="rId969" Type="http://schemas.openxmlformats.org/officeDocument/2006/relationships/hyperlink" Target="https://agenciadeaduanapirazzoli-my.sharepoint.com/:b:/g/personal/mmorales_pirazzoli_cl/IQBvWYnFDNlcR7jBeIkZCQioARjF9MyrDuCdBhDMKaYUZrc?e=kzgTeB" TargetMode="External"/><Relationship Id="rId317" Type="http://schemas.openxmlformats.org/officeDocument/2006/relationships/hyperlink" Target="https://agenciadeaduanapirazzoli-my.sharepoint.com/:b:/g/personal/mmorales_pirazzoli_cl/IQB7j-Ico3rGQr_KkZ0BBqUwAUdrX1XSmdmq2_xvHTKMvkU?e=tFgcVS" TargetMode="External"/><Relationship Id="rId524" Type="http://schemas.openxmlformats.org/officeDocument/2006/relationships/hyperlink" Target="https://agenciadeaduanapirazzoli-my.sharepoint.com/:b:/g/personal/mmorales_pirazzoli_cl/IQAMFS8Mont-RZWfVgfxiZUdAVqEv7SjvWo_FjCI0GHPJ1Y?e=wNLEkh" TargetMode="External"/><Relationship Id="rId731" Type="http://schemas.openxmlformats.org/officeDocument/2006/relationships/hyperlink" Target="https://agenciadeaduanapirazzoli-my.sharepoint.com/:b:/g/personal/mmorales_pirazzoli_cl/IQARguGX84YPS4EIBfzuDhheAfvkBG7kQiY3QuZrlCGc-rY?e=Gd3b8O" TargetMode="External"/><Relationship Id="rId1154" Type="http://schemas.openxmlformats.org/officeDocument/2006/relationships/hyperlink" Target="https://agenciadeaduanapirazzoli-my.sharepoint.com/:b:/g/personal/mmorales_pirazzoli_cl/IQBRBrJhu5_CQoz_SKOAduQ6AVTLRv8jT1K4Gqs5-Y8ZL6s?e=BHRQe9" TargetMode="External"/><Relationship Id="rId98" Type="http://schemas.openxmlformats.org/officeDocument/2006/relationships/hyperlink" Target="https://agenciadeaduanapirazzoli-my.sharepoint.com/:b:/g/personal/mmorales_pirazzoli_cl/IQBDhKliqhb7TKQPuCheGwB9ARh5Utm4FOmAehPAhmurivo?e=HPfyML" TargetMode="External"/><Relationship Id="rId829" Type="http://schemas.openxmlformats.org/officeDocument/2006/relationships/hyperlink" Target="https://agenciadeaduanapirazzoli-my.sharepoint.com/:b:/g/personal/mmorales_pirazzoli_cl/IQDLRm5nBAO9R6IKIF3JRVjfAYCDbar4kPgDhc8qg5wlkWs?e=ezicTN" TargetMode="External"/><Relationship Id="rId1014" Type="http://schemas.openxmlformats.org/officeDocument/2006/relationships/hyperlink" Target="https://agenciadeaduanapirazzoli-my.sharepoint.com/:b:/g/personal/mmorales_pirazzoli_cl/IQDUtHoUIBc1T4MbHnUbESN_AWKAcpZr7zauSMIODynqxdE?e=fAjhbi" TargetMode="External"/><Relationship Id="rId1221" Type="http://schemas.openxmlformats.org/officeDocument/2006/relationships/hyperlink" Target="https://agenciadeaduanapirazzoli-my.sharepoint.com/:b:/g/personal/mmorales_pirazzoli_cl/IQDglxW4OUACS6Qwp5wOdjfRAZcz60bFiODf2296u47m1Gc?e=fsr5FI" TargetMode="External"/><Relationship Id="rId25" Type="http://schemas.openxmlformats.org/officeDocument/2006/relationships/hyperlink" Target="https://agenciadeaduanapirazzoli-my.sharepoint.com/:b:/g/personal/mmorales_pirazzoli_cl/IQB-xayCqIeITZMir-Wot0oBATlTWjWgYPT6wT8yBXoX0fk?e=a7WI74" TargetMode="External"/><Relationship Id="rId174" Type="http://schemas.openxmlformats.org/officeDocument/2006/relationships/hyperlink" Target="https://agenciadeaduanapirazzoli-my.sharepoint.com/:b:/g/personal/mmorales_pirazzoli_cl/IQDHTOUehybUQJRCKEM2XZLVAdiWX1PTGwSimSDpRIzsQB8?e=6Elewc" TargetMode="External"/><Relationship Id="rId381" Type="http://schemas.openxmlformats.org/officeDocument/2006/relationships/hyperlink" Target="https://agenciadeaduanapirazzoli-my.sharepoint.com/:b:/g/personal/mmorales_pirazzoli_cl/IQA65HB06-egSYc_ED8TLbr4AQdpHKr8PfPKCj7Xur-2_rY?e=4YXSHJ" TargetMode="External"/><Relationship Id="rId241" Type="http://schemas.openxmlformats.org/officeDocument/2006/relationships/hyperlink" Target="https://agenciadeaduanapirazzoli-my.sharepoint.com/:b:/g/personal/mmorales_pirazzoli_cl/IQAgC9P-EXLDSbnC8sIhni5eAUAki9sGd01rczD3THXj4GA?e=L755rG" TargetMode="External"/><Relationship Id="rId479" Type="http://schemas.openxmlformats.org/officeDocument/2006/relationships/hyperlink" Target="https://agenciadeaduanapirazzoli-my.sharepoint.com/:b:/g/personal/mmorales_pirazzoli_cl/IQDQH9WOoWScSaMaOeCnAx2JATv4ntrS6ovfC1BRuQJ5eak?e=jPXhbm" TargetMode="External"/><Relationship Id="rId686" Type="http://schemas.openxmlformats.org/officeDocument/2006/relationships/hyperlink" Target="https://agenciadeaduanapirazzoli-my.sharepoint.com/:b:/g/personal/mmorales_pirazzoli_cl/IQBodcjMdGy5QZjmJjZrnHd0AdCwjbHD-IFcVIeq8cwmBQk?e=GCGJUb" TargetMode="External"/><Relationship Id="rId893" Type="http://schemas.openxmlformats.org/officeDocument/2006/relationships/hyperlink" Target="https://agenciadeaduanapirazzoli-my.sharepoint.com/:b:/g/personal/mmorales_pirazzoli_cl/IQCxUeRvg8FyQrirGk8_eV5CAS9u4YgFCFW2UK8fIM9V_20?e=uTUW9g" TargetMode="External"/><Relationship Id="rId339" Type="http://schemas.openxmlformats.org/officeDocument/2006/relationships/hyperlink" Target="https://agenciadeaduanapirazzoli-my.sharepoint.com/:b:/g/personal/mmorales_pirazzoli_cl/IQAJkPqh5fOSQanEowAWmFs8AeXWiBlxg8S1hJw3wgHn2cs?e=GTIMCk" TargetMode="External"/><Relationship Id="rId546" Type="http://schemas.openxmlformats.org/officeDocument/2006/relationships/hyperlink" Target="https://agenciadeaduanapirazzoli-my.sharepoint.com/:b:/g/personal/mmorales_pirazzoli_cl/IQD0mUGlVe-bTYbhldXWsXQgAX1Q8wH1jctx8GUIBrYwN-8?e=7O6a97" TargetMode="External"/><Relationship Id="rId753" Type="http://schemas.openxmlformats.org/officeDocument/2006/relationships/hyperlink" Target="https://agenciadeaduanapirazzoli-my.sharepoint.com/:b:/g/personal/mmorales_pirazzoli_cl/IQC5_R07Q8-ARbRefwuEQL1cAVPYj9Mv5ctAKlDNHmw_xYY?e=Gq99mW" TargetMode="External"/><Relationship Id="rId1176" Type="http://schemas.openxmlformats.org/officeDocument/2006/relationships/hyperlink" Target="https://agenciadeaduanapirazzoli-my.sharepoint.com/:b:/g/personal/mmorales_pirazzoli_cl/IQC8t9M-YqtCSJpeDm82ndg5AU_deYASnYiG69pu3Ru1WQ4?e=0IWiV1" TargetMode="External"/><Relationship Id="rId101" Type="http://schemas.openxmlformats.org/officeDocument/2006/relationships/hyperlink" Target="https://agenciadeaduanapirazzoli-my.sharepoint.com/:b:/g/personal/mmorales_pirazzoli_cl/IQDB_v-s1Pk4QpI_87XubvSsAWOCjeuT7ZUm3o8e45TPUZ4?e=eqMjWp" TargetMode="External"/><Relationship Id="rId406" Type="http://schemas.openxmlformats.org/officeDocument/2006/relationships/hyperlink" Target="https://agenciadeaduanapirazzoli-my.sharepoint.com/:b:/g/personal/mmorales_pirazzoli_cl/IQDlIGsidbehRat--wJT3lCEAceZi3jv2YgmlfC1x9VUqJs?e=26Bqc3" TargetMode="External"/><Relationship Id="rId960" Type="http://schemas.openxmlformats.org/officeDocument/2006/relationships/hyperlink" Target="https://agenciadeaduanapirazzoli-my.sharepoint.com/:b:/g/personal/mmorales_pirazzoli_cl/IQC47am8V0qlTocO0oX5CnwBAZ-91u_c8rOdvi7vKqX1LGo?e=oHQyfe" TargetMode="External"/><Relationship Id="rId1036" Type="http://schemas.openxmlformats.org/officeDocument/2006/relationships/hyperlink" Target="https://agenciadeaduanapirazzoli-my.sharepoint.com/:b:/g/personal/mmorales_pirazzoli_cl/IQC7VgFNqDjZQLspZ2fSI12ZAW4GX8cjz1I2aSYww_hAejM?e=L9QAyT" TargetMode="External"/><Relationship Id="rId1243" Type="http://schemas.openxmlformats.org/officeDocument/2006/relationships/hyperlink" Target="https://agenciadeaduanapirazzoli-my.sharepoint.com/:b:/g/personal/mmorales_pirazzoli_cl/IQDmAdl6Gs-9QaDr1aZGjIy3AYmfh1O2Y7fvrGSk8771WdE?e=ZBRYLB" TargetMode="External"/><Relationship Id="rId613" Type="http://schemas.openxmlformats.org/officeDocument/2006/relationships/hyperlink" Target="https://agenciadeaduanapirazzoli-my.sharepoint.com/:b:/g/personal/mmorales_pirazzoli_cl/IQDQBg0utNPqTbdK4aK_BnszAdQg6XQ3ELDh46tSdiPGvfg?e=o3HWLU" TargetMode="External"/><Relationship Id="rId820" Type="http://schemas.openxmlformats.org/officeDocument/2006/relationships/hyperlink" Target="https://agenciadeaduanapirazzoli-my.sharepoint.com/:b:/g/personal/mmorales_pirazzoli_cl/IQBKBE3zQAVUTpWxEQz1_w3vAWONd5CYJbobQlgpLgC78LI?e=1mvJ0A" TargetMode="External"/><Relationship Id="rId918" Type="http://schemas.openxmlformats.org/officeDocument/2006/relationships/hyperlink" Target="https://agenciadeaduanapirazzoli-my.sharepoint.com/:b:/g/personal/mmorales_pirazzoli_cl/IQDnpeB-Eyb5S4fRcFEHDw6pAUVgJPkYHvxP8BoX1fJBFb4?e=5aeW08" TargetMode="External"/><Relationship Id="rId1103" Type="http://schemas.openxmlformats.org/officeDocument/2006/relationships/hyperlink" Target="https://agenciadeaduanapirazzoli-my.sharepoint.com/:b:/g/personal/mmorales_pirazzoli_cl/IQAJ_yoFY3maT7Gj6zFCyn0jAWFHco8flMcXig6yh_6goSE?e=GxgJgu" TargetMode="External"/><Relationship Id="rId47" Type="http://schemas.openxmlformats.org/officeDocument/2006/relationships/hyperlink" Target="https://agenciadeaduanapirazzoli-my.sharepoint.com/:b:/g/personal/mmorales_pirazzoli_cl/IQB22NwB2BmhT71HL6njkwsaAb51cJmozj_7hVeV4QatpFQ?e=2jQUme" TargetMode="External"/><Relationship Id="rId196" Type="http://schemas.openxmlformats.org/officeDocument/2006/relationships/hyperlink" Target="https://agenciadeaduanapirazzoli-my.sharepoint.com/:b:/g/personal/mmorales_pirazzoli_cl/IQAQoRSZf86wRIMxOu0Wot9xASOwGbW-uPpglOPSD4XOBMc?e=OcrecO" TargetMode="External"/><Relationship Id="rId263" Type="http://schemas.openxmlformats.org/officeDocument/2006/relationships/hyperlink" Target="https://agenciadeaduanapirazzoli-my.sharepoint.com/:b:/g/personal/mmorales_pirazzoli_cl/IQADBDhiMw8hS7Irp6QE1hW2AQxGs4uwtgdNwKwDhnl1YGM?e=WlfuZS" TargetMode="External"/><Relationship Id="rId470" Type="http://schemas.openxmlformats.org/officeDocument/2006/relationships/hyperlink" Target="https://agenciadeaduanapirazzoli-my.sharepoint.com/:b:/g/personal/mmorales_pirazzoli_cl/IQCjD5Fo0r_MSp93WmcQUi8UAdymkRxuOWnq-yO9wthSpoo?e=UMOfnR" TargetMode="External"/><Relationship Id="rId123" Type="http://schemas.openxmlformats.org/officeDocument/2006/relationships/hyperlink" Target="https://agenciadeaduanapirazzoli-my.sharepoint.com/:b:/g/personal/mmorales_pirazzoli_cl/IQCwqmApJs2LRJYnR3aQ-4c5Ad0OOkbr9bXYhKikvP8fT_c?e=lp0t2g" TargetMode="External"/><Relationship Id="rId330" Type="http://schemas.openxmlformats.org/officeDocument/2006/relationships/hyperlink" Target="https://agenciadeaduanapirazzoli-my.sharepoint.com/:b:/g/personal/mmorales_pirazzoli_cl/IQCGyHBK2gKHSpf4Uz1h6zWvAW4Eawi1ATsuXmcH2vsG36c?e=kLuPDS" TargetMode="External"/><Relationship Id="rId568" Type="http://schemas.openxmlformats.org/officeDocument/2006/relationships/hyperlink" Target="https://agenciadeaduanapirazzoli-my.sharepoint.com/:b:/g/personal/mmorales_pirazzoli_cl/IQCIbF7s_jv4SoI2ftIIeWsMAUbz4W6bzTwYVZ9xvrGiT9k?e=WIId5Y" TargetMode="External"/><Relationship Id="rId775" Type="http://schemas.openxmlformats.org/officeDocument/2006/relationships/hyperlink" Target="https://agenciadeaduanapirazzoli-my.sharepoint.com/:b:/g/personal/mmorales_pirazzoli_cl/IQCXrv93yAGxQY0aPQjjv2L2AYYyCpJAbuNBy14-tcu5Gr8?e=9vRR7O" TargetMode="External"/><Relationship Id="rId982" Type="http://schemas.openxmlformats.org/officeDocument/2006/relationships/hyperlink" Target="https://agenciadeaduanapirazzoli-my.sharepoint.com/:b:/g/personal/mmorales_pirazzoli_cl/IQCF3cVW5b-ORqHn8IajsPPIAZ6Ojt35qMe5NyLXKMTjlfg?e=dFejpO" TargetMode="External"/><Relationship Id="rId1198" Type="http://schemas.openxmlformats.org/officeDocument/2006/relationships/hyperlink" Target="https://agenciadeaduanapirazzoli-my.sharepoint.com/:b:/g/personal/mmorales_pirazzoli_cl/IQB1VD6nul-uTokWKJDzSVWzAV4Wu8ol4uUDsT4-bP9ztm4?e=zGW3br" TargetMode="External"/><Relationship Id="rId428" Type="http://schemas.openxmlformats.org/officeDocument/2006/relationships/hyperlink" Target="https://agenciadeaduanapirazzoli-my.sharepoint.com/:b:/g/personal/mmorales_pirazzoli_cl/IQAcfJDut7yATZ2BqjtePWYmARL9Jba7ViA3AIlwrHqX03U?e=vtdppk" TargetMode="External"/><Relationship Id="rId635" Type="http://schemas.openxmlformats.org/officeDocument/2006/relationships/hyperlink" Target="https://agenciadeaduanapirazzoli-my.sharepoint.com/:b:/g/personal/mmorales_pirazzoli_cl/IQAdyNfDtdpDQLd2da4RLkXkAfpZb4iqp3i8VkSLDnirf2g?e=LuP2da" TargetMode="External"/><Relationship Id="rId842" Type="http://schemas.openxmlformats.org/officeDocument/2006/relationships/hyperlink" Target="https://agenciadeaduanapirazzoli-my.sharepoint.com/:b:/g/personal/mmorales_pirazzoli_cl/IQDa3UuDSzPVQpWAjqzxtnT-AUiRbjwxWEXmh8YwCMgrmDc?e=85NmPv" TargetMode="External"/><Relationship Id="rId1058" Type="http://schemas.openxmlformats.org/officeDocument/2006/relationships/hyperlink" Target="https://agenciadeaduanapirazzoli-my.sharepoint.com/:b:/g/personal/mmorales_pirazzoli_cl/IQB29dySIbuRR6nHtVYwuYM9AbMmIS4N4ncpg8pSldOi5OY?e=bgGJF6" TargetMode="External"/><Relationship Id="rId1265" Type="http://schemas.openxmlformats.org/officeDocument/2006/relationships/hyperlink" Target="https://agenciadeaduanapirazzoli-my.sharepoint.com/:b:/g/personal/mmorales_pirazzoli_cl/IQCgxsDJEZo-RbhBo0WIcnEWATRLuK8KPJGGaIZ24pAbKzY?e=2eHnfb" TargetMode="External"/><Relationship Id="rId702" Type="http://schemas.openxmlformats.org/officeDocument/2006/relationships/hyperlink" Target="https://agenciadeaduanapirazzoli-my.sharepoint.com/:b:/g/personal/mmorales_pirazzoli_cl/IQBmoepLw2nXQqXC8ZFZVp5aARnc7_PP_UiUAnDAC7fh1s0?e=lO4NsH" TargetMode="External"/><Relationship Id="rId1125" Type="http://schemas.openxmlformats.org/officeDocument/2006/relationships/hyperlink" Target="https://agenciadeaduanapirazzoli-my.sharepoint.com/:b:/g/personal/mmorales_pirazzoli_cl/IQB2xzZR6mLiRZrmQ72pKh3eAbPC1B7vtgtG9WzLqMb2YzQ?e=5jjbxi" TargetMode="External"/><Relationship Id="rId69" Type="http://schemas.openxmlformats.org/officeDocument/2006/relationships/hyperlink" Target="https://agenciadeaduanapirazzoli-my.sharepoint.com/:b:/g/personal/mmorales_pirazzoli_cl/IQAgY9Sd45f5SJq-fd-5Zs1TAarWFMf-ALxt8KN363ojz7Q?e=KyNl2c" TargetMode="External"/><Relationship Id="rId285" Type="http://schemas.openxmlformats.org/officeDocument/2006/relationships/hyperlink" Target="https://agenciadeaduanapirazzoli-my.sharepoint.com/:b:/g/personal/mmorales_pirazzoli_cl/IQDs3jpa-IiISL0M8PrCW5uYAUb2Ub2RLPEPB3D25GmLtmA?e=N4IOgS" TargetMode="External"/><Relationship Id="rId492" Type="http://schemas.openxmlformats.org/officeDocument/2006/relationships/hyperlink" Target="https://agenciadeaduanapirazzoli-my.sharepoint.com/:b:/g/personal/mmorales_pirazzoli_cl/IQAJD7AG4Hv2TafQtyCZjY-LAewe-W5MdD6AMh_AE4Xcd60?e=AbaSeE" TargetMode="External"/><Relationship Id="rId797" Type="http://schemas.openxmlformats.org/officeDocument/2006/relationships/hyperlink" Target="https://agenciadeaduanapirazzoli-my.sharepoint.com/:b:/g/personal/mmorales_pirazzoli_cl/IQB7NUBOA53nRrAYB0YMwLD2Ad5adLPN2FiX4A_l1WqMTFY?e=z4lPfa" TargetMode="External"/><Relationship Id="rId145" Type="http://schemas.openxmlformats.org/officeDocument/2006/relationships/hyperlink" Target="https://agenciadeaduanapirazzoli-my.sharepoint.com/:b:/g/personal/mmorales_pirazzoli_cl/IQCAuUXT805fQaGiuqQuFolTAewXEERvQKG0cAYZ_lAlz2Y?e=xZiHtd" TargetMode="External"/><Relationship Id="rId352" Type="http://schemas.openxmlformats.org/officeDocument/2006/relationships/hyperlink" Target="https://agenciadeaduanapirazzoli-my.sharepoint.com/:b:/g/personal/mmorales_pirazzoli_cl/IQApFZyLTXHgQYRUYhzf4F9cARPQxR7YYBWyQEYNL7Ijjdw?e=0IVebK" TargetMode="External"/><Relationship Id="rId1287" Type="http://schemas.openxmlformats.org/officeDocument/2006/relationships/hyperlink" Target="https://agenciadeaduanapirazzoli-my.sharepoint.com/:b:/g/personal/mmorales_pirazzoli_cl/IQAxmuuwoyebSa863Eqk5ZStAf2SNoiMs6dRvNNB0S_fvvI?e=risgYh" TargetMode="External"/><Relationship Id="rId212" Type="http://schemas.openxmlformats.org/officeDocument/2006/relationships/hyperlink" Target="https://agenciadeaduanapirazzoli-my.sharepoint.com/:b:/g/personal/mmorales_pirazzoli_cl/IQBSbH3QMSEiRIqCG_Gi7qk7AVfzqV6Cl2tNUxIPrcR8OHk?e=G7DKUr" TargetMode="External"/><Relationship Id="rId657" Type="http://schemas.openxmlformats.org/officeDocument/2006/relationships/hyperlink" Target="https://agenciadeaduanapirazzoli-my.sharepoint.com/:b:/g/personal/mmorales_pirazzoli_cl/IQCpyRQl4OrOTpm7-e1_RoUkAam9wrUIl0b32eaXICsx7Q0?e=lJyyAF" TargetMode="External"/><Relationship Id="rId864" Type="http://schemas.openxmlformats.org/officeDocument/2006/relationships/hyperlink" Target="https://agenciadeaduanapirazzoli-my.sharepoint.com/:b:/g/personal/mmorales_pirazzoli_cl/IQDcVp1GTEFdQ6cLHHi7qQqOAUeClfhJRBZ2Pl2ScwoiKrM?e=RXzJMs" TargetMode="External"/><Relationship Id="rId517" Type="http://schemas.openxmlformats.org/officeDocument/2006/relationships/hyperlink" Target="https://agenciadeaduanapirazzoli-my.sharepoint.com/:b:/g/personal/mmorales_pirazzoli_cl/IQAxwMuq-bdsQanaeIrWymM-AeJ1Ogas-bNAdc1tY_c5CHA?e=VDlWIt" TargetMode="External"/><Relationship Id="rId724" Type="http://schemas.openxmlformats.org/officeDocument/2006/relationships/hyperlink" Target="https://agenciadeaduanapirazzoli-my.sharepoint.com/:b:/g/personal/mmorales_pirazzoli_cl/IQBX6Z8_GUbWTYbr5pBL48scAdjjTz1VDnHdkVs6owjyczY?e=ouMc2Y" TargetMode="External"/><Relationship Id="rId931" Type="http://schemas.openxmlformats.org/officeDocument/2006/relationships/hyperlink" Target="https://agenciadeaduanapirazzoli-my.sharepoint.com/:b:/g/personal/mmorales_pirazzoli_cl/IQBFdrowgDP-Raq2JGYPT4KUAaaAQnPzrEB6f9sYxhsjIgo?e=s4Nnrl" TargetMode="External"/><Relationship Id="rId1147" Type="http://schemas.openxmlformats.org/officeDocument/2006/relationships/hyperlink" Target="https://agenciadeaduanapirazzoli-my.sharepoint.com/:b:/g/personal/mmorales_pirazzoli_cl/IQCgxbsLSvYuQKtXjNRrAPW6ATzBmu1p7lZTTnvwDrwJOp8?e=mJTIOF" TargetMode="External"/><Relationship Id="rId60" Type="http://schemas.openxmlformats.org/officeDocument/2006/relationships/hyperlink" Target="https://agenciadeaduanapirazzoli-my.sharepoint.com/:b:/g/personal/mmorales_pirazzoli_cl/IQDQXLwm_Z_wTpvkm2vi6rYVAcctrnJV7LqpAmyLgWlI0Lk?e=ieDYj7" TargetMode="External"/><Relationship Id="rId1007" Type="http://schemas.openxmlformats.org/officeDocument/2006/relationships/hyperlink" Target="https://agenciadeaduanapirazzoli-my.sharepoint.com/:b:/g/personal/mmorales_pirazzoli_cl/IQCaa88e9_VrS56xAIgj2vq-AeKcoRHdGhBoat1EL7Ai3nE?e=XWc7jC" TargetMode="External"/><Relationship Id="rId1214" Type="http://schemas.openxmlformats.org/officeDocument/2006/relationships/hyperlink" Target="https://agenciadeaduanapirazzoli-my.sharepoint.com/:b:/g/personal/mmorales_pirazzoli_cl/IQBEszY8iiQ2SaAdyeV7hy31AUxfIuXhq5HwOD-nOEBcViI?e=Zyb3TA" TargetMode="External"/><Relationship Id="rId18" Type="http://schemas.openxmlformats.org/officeDocument/2006/relationships/hyperlink" Target="https://agenciadeaduanapirazzoli-my.sharepoint.com/:b:/g/personal/mmorales_pirazzoli_cl/IQC7x6hZJAhwQIZL0-ebDkoQAXbU09hN0-3nVeQ0hcs_gdw?e=lRqh53" TargetMode="External"/><Relationship Id="rId167" Type="http://schemas.openxmlformats.org/officeDocument/2006/relationships/hyperlink" Target="https://agenciadeaduanapirazzoli-my.sharepoint.com/:b:/g/personal/mmorales_pirazzoli_cl/IQCMxELCzj5NS4QL6cQb7FccAU8qmNaD9Kk7Faq7iZRvbvY?e=mVpXMg" TargetMode="External"/><Relationship Id="rId374" Type="http://schemas.openxmlformats.org/officeDocument/2006/relationships/hyperlink" Target="https://agenciadeaduanapirazzoli-my.sharepoint.com/:b:/g/personal/mmorales_pirazzoli_cl/IQBV7t1YxGESSbizUFS7Z7F_ARLbruCvh227KC_Nva3o4mY?e=bUXkzS" TargetMode="External"/><Relationship Id="rId581" Type="http://schemas.openxmlformats.org/officeDocument/2006/relationships/hyperlink" Target="https://agenciadeaduanapirazzoli-my.sharepoint.com/:b:/g/personal/mmorales_pirazzoli_cl/IQDWqTrTRG3QT7m2Y32EAZjDAaqsEaS2_MyTcsun6OrBlFs?e=toWLUV" TargetMode="External"/><Relationship Id="rId234" Type="http://schemas.openxmlformats.org/officeDocument/2006/relationships/hyperlink" Target="https://agenciadeaduanapirazzoli-my.sharepoint.com/:b:/g/personal/mmorales_pirazzoli_cl/IQDtGE7eLtuQQ4d5bjSWa_eYAZiEify0ZVm9v38cXzPb2pU?e=Isb6xB" TargetMode="External"/><Relationship Id="rId679" Type="http://schemas.openxmlformats.org/officeDocument/2006/relationships/hyperlink" Target="https://agenciadeaduanapirazzoli-my.sharepoint.com/:b:/g/personal/mmorales_pirazzoli_cl/IQAPySc-qO0ZTb6ZeEFQAYqmAVEBpteEje4btp3uNePKJ0g?e=KQQmzE" TargetMode="External"/><Relationship Id="rId886" Type="http://schemas.openxmlformats.org/officeDocument/2006/relationships/hyperlink" Target="https://agenciadeaduanapirazzoli-my.sharepoint.com/:b:/g/personal/mmorales_pirazzoli_cl/IQBtmfHmtcgpRqFi3zqd11G_AZFbaW1nfNdbtwD4v9umZDI?e=qZdfjD" TargetMode="External"/><Relationship Id="rId2" Type="http://schemas.openxmlformats.org/officeDocument/2006/relationships/hyperlink" Target="https://agenciadeaduanapirazzoli-my.sharepoint.com/:b:/g/personal/mmorales_pirazzoli_cl/IQCOIVyBxBNkR4GBdmnYHRGeAVlG74AweYi38-oUf0sviZ8?e=ffbEmz" TargetMode="External"/><Relationship Id="rId441" Type="http://schemas.openxmlformats.org/officeDocument/2006/relationships/hyperlink" Target="https://agenciadeaduanapirazzoli-my.sharepoint.com/:b:/g/personal/mmorales_pirazzoli_cl/IQCQ5Ez4zkZJSbqmyfPxyULbAc7f01b9JZuNs2qJwEN4XXU?e=iaU65C" TargetMode="External"/><Relationship Id="rId539" Type="http://schemas.openxmlformats.org/officeDocument/2006/relationships/hyperlink" Target="https://agenciadeaduanapirazzoli-my.sharepoint.com/:b:/g/personal/mmorales_pirazzoli_cl/IQDCor1fCBLCQKPNo7frqt0ZAYH_Tiy3zAU8OHrBOwQbDz8?e=8ogiDp" TargetMode="External"/><Relationship Id="rId746" Type="http://schemas.openxmlformats.org/officeDocument/2006/relationships/hyperlink" Target="https://agenciadeaduanapirazzoli-my.sharepoint.com/:b:/g/personal/mmorales_pirazzoli_cl/IQBpKRlb93cHR69rYJVZqwD4AeOVzCQq1xCeIzXauiJgHY4?e=nGCaHu" TargetMode="External"/><Relationship Id="rId1071" Type="http://schemas.openxmlformats.org/officeDocument/2006/relationships/hyperlink" Target="https://agenciadeaduanapirazzoli-my.sharepoint.com/:b:/g/personal/mmorales_pirazzoli_cl/IQDrQmSj_BYHRZC_MinC3GqAAe9JXmRwg95W0O7lJHqJwPI?e=4bGhPE" TargetMode="External"/><Relationship Id="rId1169" Type="http://schemas.openxmlformats.org/officeDocument/2006/relationships/hyperlink" Target="https://agenciadeaduanapirazzoli-my.sharepoint.com/:b:/g/personal/mmorales_pirazzoli_cl/IQALq0WwFSmeQ7-ITX9ihga0Aa07vAgofSPBVBesLkknPXk?e=KP6eA4" TargetMode="External"/><Relationship Id="rId301" Type="http://schemas.openxmlformats.org/officeDocument/2006/relationships/hyperlink" Target="https://agenciadeaduanapirazzoli-my.sharepoint.com/:b:/g/personal/mmorales_pirazzoli_cl/IQB1BVNQ9p9JRpfWQTZJH4i9AbAMUamFWVPs2WWfJlcoKJM?e=tmjnxk" TargetMode="External"/><Relationship Id="rId953" Type="http://schemas.openxmlformats.org/officeDocument/2006/relationships/hyperlink" Target="https://agenciadeaduanapirazzoli-my.sharepoint.com/:b:/g/personal/mmorales_pirazzoli_cl/IQDnqwlXL5V9RbORYnceRohoAe_D_hxLEpiHPNihRcI2Wyk?e=z327HF" TargetMode="External"/><Relationship Id="rId1029" Type="http://schemas.openxmlformats.org/officeDocument/2006/relationships/hyperlink" Target="https://agenciadeaduanapirazzoli-my.sharepoint.com/:b:/g/personal/mmorales_pirazzoli_cl/IQD8DOTxd9auTYatL2Aw7kTxATtJbQL7VDLzm--QQ9TILXo?e=EXO2pT" TargetMode="External"/><Relationship Id="rId1236" Type="http://schemas.openxmlformats.org/officeDocument/2006/relationships/hyperlink" Target="https://agenciadeaduanapirazzoli-my.sharepoint.com/:b:/g/personal/mmorales_pirazzoli_cl/IQB-kJbR7r8TR6VOoNWuZDLZAeOV3L23c7AkjkAVdHBjcZ4?e=poY5TW" TargetMode="External"/><Relationship Id="rId82" Type="http://schemas.openxmlformats.org/officeDocument/2006/relationships/hyperlink" Target="https://agenciadeaduanapirazzoli-my.sharepoint.com/:b:/g/personal/mmorales_pirazzoli_cl/IQCtLadyozzyRaXTAMNDadQDAWv-fcF9KIgOOKLUpQFGUm0?e=Gkyaro" TargetMode="External"/><Relationship Id="rId606" Type="http://schemas.openxmlformats.org/officeDocument/2006/relationships/hyperlink" Target="https://agenciadeaduanapirazzoli-my.sharepoint.com/:b:/g/personal/mmorales_pirazzoli_cl/IQCvIn46OKNgSpBwQ1rHxGXxAXQVdtqJsoqeZAvxGl8KSt8?e=9CW1hT" TargetMode="External"/><Relationship Id="rId813" Type="http://schemas.openxmlformats.org/officeDocument/2006/relationships/hyperlink" Target="https://agenciadeaduanapirazzoli-my.sharepoint.com/:b:/g/personal/mmorales_pirazzoli_cl/IQBwYWQ_FVUETIWDp8wNmlpDAcqq1SOjQNTLgbR7FZ7f56s?e=VAXL00" TargetMode="External"/><Relationship Id="rId1303" Type="http://schemas.openxmlformats.org/officeDocument/2006/relationships/comments" Target="../comments1.xml"/><Relationship Id="rId189" Type="http://schemas.openxmlformats.org/officeDocument/2006/relationships/hyperlink" Target="https://agenciadeaduanapirazzoli-my.sharepoint.com/:b:/g/personal/mmorales_pirazzoli_cl/IQCFV5VaXWZrQJG7LHygTPS0AW4WZN6ZanY9ZSMvE0bPZu8?e=Qx650M" TargetMode="External"/><Relationship Id="rId396" Type="http://schemas.openxmlformats.org/officeDocument/2006/relationships/hyperlink" Target="https://agenciadeaduanapirazzoli-my.sharepoint.com/:b:/g/personal/mmorales_pirazzoli_cl/IQCakv2TE6VNSqUvl3NKhR3MAeykFMMy1V5BW0VtKDqjKxY?e=mNtyEF" TargetMode="External"/><Relationship Id="rId256" Type="http://schemas.openxmlformats.org/officeDocument/2006/relationships/hyperlink" Target="https://agenciadeaduanapirazzoli-my.sharepoint.com/:b:/g/personal/mmorales_pirazzoli_cl/IQCPK-LDUTwhS7jJmsDeKlpUAfL9BeTVoEjlXZhDJCUzkhg?e=6OtSS7" TargetMode="External"/><Relationship Id="rId463" Type="http://schemas.openxmlformats.org/officeDocument/2006/relationships/hyperlink" Target="https://agenciadeaduanapirazzoli-my.sharepoint.com/:b:/g/personal/mmorales_pirazzoli_cl/IQCTXgqjGeV9SaKAr09i4uy-AVNV89JWFbY6WzWu4-dRRhc?e=7UbZHi" TargetMode="External"/><Relationship Id="rId670" Type="http://schemas.openxmlformats.org/officeDocument/2006/relationships/hyperlink" Target="https://agenciadeaduanapirazzoli-my.sharepoint.com/:b:/g/personal/mmorales_pirazzoli_cl/IQB9p1UJA-h6RptsSMcBkomfATGpTJFT82yuKs0d1vDWg-I?e=lbPZJW" TargetMode="External"/><Relationship Id="rId1093" Type="http://schemas.openxmlformats.org/officeDocument/2006/relationships/hyperlink" Target="https://agenciadeaduanapirazzoli-my.sharepoint.com/:b:/g/personal/mmorales_pirazzoli_cl/IQCprH2jiFQiTa1iQBUJRItYAWY_Yl_WymCMU4yDlgNlSn0?e=wRVf14" TargetMode="External"/><Relationship Id="rId116" Type="http://schemas.openxmlformats.org/officeDocument/2006/relationships/hyperlink" Target="https://agenciadeaduanapirazzoli-my.sharepoint.com/:b:/g/personal/mmorales_pirazzoli_cl/IQB-KcM-2nzORq2CGHGkGi1bAfEC8-0MKDUSt_UQUdE1_hw?e=VZarxD" TargetMode="External"/><Relationship Id="rId323" Type="http://schemas.openxmlformats.org/officeDocument/2006/relationships/hyperlink" Target="https://agenciadeaduanapirazzoli-my.sharepoint.com/:b:/g/personal/mmorales_pirazzoli_cl/IQCruuqWUoX0RJ_4XuvgEtdwAVLJ2UAn_kGZadKmSGwpaSg?e=nkcUQA" TargetMode="External"/><Relationship Id="rId530" Type="http://schemas.openxmlformats.org/officeDocument/2006/relationships/hyperlink" Target="https://agenciadeaduanapirazzoli-my.sharepoint.com/:b:/g/personal/mmorales_pirazzoli_cl/IQDXeUyT6lJOQpyoVcYEN231ATMgh_Ea7sDC37Ryx0PMEvU?e=3v4NIH" TargetMode="External"/><Relationship Id="rId768" Type="http://schemas.openxmlformats.org/officeDocument/2006/relationships/hyperlink" Target="https://agenciadeaduanapirazzoli-my.sharepoint.com/:b:/g/personal/mmorales_pirazzoli_cl/IQCsUY2TmZZ5Tax3-TTnyr4PAReh96kaWPmIkeXGDRGp5aw?e=cGbrHL" TargetMode="External"/><Relationship Id="rId975" Type="http://schemas.openxmlformats.org/officeDocument/2006/relationships/hyperlink" Target="https://agenciadeaduanapirazzoli-my.sharepoint.com/:b:/g/personal/mmorales_pirazzoli_cl/IQCN6fOXj58KQ79bGUnv-mptAcodLx1rGQF4QdzAMHVlcvw?e=RCDMnc" TargetMode="External"/><Relationship Id="rId1160" Type="http://schemas.openxmlformats.org/officeDocument/2006/relationships/hyperlink" Target="https://agenciadeaduanapirazzoli-my.sharepoint.com/:b:/g/personal/mmorales_pirazzoli_cl/IQDYTr9UFvaVR7XaUjLZ_d0FAXearkiT_zf1vcZSY5_TBJU?e=yNV3c4" TargetMode="External"/><Relationship Id="rId628" Type="http://schemas.openxmlformats.org/officeDocument/2006/relationships/hyperlink" Target="https://agenciadeaduanapirazzoli-my.sharepoint.com/:b:/g/personal/mmorales_pirazzoli_cl/IQCMjdstmH4MTZJ2rWc54ItLAY-66Lu8dJq2F699LStzG-w?e=YeN2o4" TargetMode="External"/><Relationship Id="rId835" Type="http://schemas.openxmlformats.org/officeDocument/2006/relationships/hyperlink" Target="https://agenciadeaduanapirazzoli-my.sharepoint.com/:b:/g/personal/mmorales_pirazzoli_cl/IQDua-4oK1X0Qpe-unlm6vsSAaWDxqgkiWbeJbJw6XdctzI?e=bwnxgg" TargetMode="External"/><Relationship Id="rId1258" Type="http://schemas.openxmlformats.org/officeDocument/2006/relationships/hyperlink" Target="https://agenciadeaduanapirazzoli-my.sharepoint.com/:b:/g/personal/mmorales_pirazzoli_cl/IQDEAXRxVHwRRYqqbumj4VxfAa_ACjFptMcUU7ZS622WFMA?e=Hig7PN" TargetMode="External"/><Relationship Id="rId1020" Type="http://schemas.openxmlformats.org/officeDocument/2006/relationships/hyperlink" Target="https://agenciadeaduanapirazzoli-my.sharepoint.com/:b:/g/personal/mmorales_pirazzoli_cl/IQA3ZEfPjIq6RpQ_7m9Wi6oCAQ3Bmtacc-gh1j3rZOpnct0?e=qIUvMV" TargetMode="External"/><Relationship Id="rId1118" Type="http://schemas.openxmlformats.org/officeDocument/2006/relationships/hyperlink" Target="https://agenciadeaduanapirazzoli-my.sharepoint.com/:b:/g/personal/mmorales_pirazzoli_cl/IQCAr7rqz2m9TblR04GwhfBFAbQ1R8BsvngmDMBtzmfnLS4?e=qTEev5" TargetMode="External"/><Relationship Id="rId902" Type="http://schemas.openxmlformats.org/officeDocument/2006/relationships/hyperlink" Target="https://agenciadeaduanapirazzoli-my.sharepoint.com/:b:/g/personal/mmorales_pirazzoli_cl/IQDlQJeFRSItTZ_e9VjFEm99ARO8R0-UcjxgO8aZrC6f2nM?e=UiCggs" TargetMode="External"/><Relationship Id="rId31" Type="http://schemas.openxmlformats.org/officeDocument/2006/relationships/hyperlink" Target="https://agenciadeaduanapirazzoli-my.sharepoint.com/:b:/g/personal/mmorales_pirazzoli_cl/IQCWc-f4bEf1QrzYAlpnBCm2ARIMElTB0B1LQHjvk_86KU0?e=3Rw7vH" TargetMode="External"/><Relationship Id="rId180" Type="http://schemas.openxmlformats.org/officeDocument/2006/relationships/hyperlink" Target="https://agenciadeaduanapirazzoli-my.sharepoint.com/:b:/g/personal/mmorales_pirazzoli_cl/IQB7ZooUrnYcT63x_RAv8GHmAVWXK_-6EOn1JTy7AWlpHAs?e=kobyvF" TargetMode="External"/><Relationship Id="rId278" Type="http://schemas.openxmlformats.org/officeDocument/2006/relationships/hyperlink" Target="https://agenciadeaduanapirazzoli-my.sharepoint.com/:b:/g/personal/mmorales_pirazzoli_cl/IQBL5jgg-eVtR4kWHWiPnRNgAR0yk02PyVaY3A986jT_NJs?e=TM9QHi" TargetMode="External"/><Relationship Id="rId485" Type="http://schemas.openxmlformats.org/officeDocument/2006/relationships/hyperlink" Target="https://agenciadeaduanapirazzoli-my.sharepoint.com/:b:/g/personal/mmorales_pirazzoli_cl/IQCrZlN1dRZ1RbUCaPNoKglmATlDzveV0tcuW1wCJXIg8rE?e=fpOqv3" TargetMode="External"/><Relationship Id="rId692" Type="http://schemas.openxmlformats.org/officeDocument/2006/relationships/hyperlink" Target="https://agenciadeaduanapirazzoli-my.sharepoint.com/:b:/g/personal/mmorales_pirazzoli_cl/IQDsCc58RO0tQbiwUk2p3Qe5AWJZtwOyeZnYdQNMr_o5Hh8?e=13Vhb0" TargetMode="External"/><Relationship Id="rId138" Type="http://schemas.openxmlformats.org/officeDocument/2006/relationships/hyperlink" Target="https://agenciadeaduanapirazzoli-my.sharepoint.com/:b:/g/personal/mmorales_pirazzoli_cl/IQCf337XdqH5QbWGVwPohQzUAcSbMsVCiL6vITQ2nTpecAk?e=ZFFJiX" TargetMode="External"/><Relationship Id="rId345" Type="http://schemas.openxmlformats.org/officeDocument/2006/relationships/hyperlink" Target="https://agenciadeaduanapirazzoli-my.sharepoint.com/:b:/g/personal/mmorales_pirazzoli_cl/IQD9vICWpqWcQZhyDXf8mtMVAf5lKEKyuse19d7hbc89rRA?e=h7sJcp" TargetMode="External"/><Relationship Id="rId552" Type="http://schemas.openxmlformats.org/officeDocument/2006/relationships/hyperlink" Target="https://agenciadeaduanapirazzoli-my.sharepoint.com/:b:/g/personal/mmorales_pirazzoli_cl/IQD6rjIyaUadRJRx3d3_6-CKAe3Aiy0fkI8ZGnA-B3ulZZk?e=nvTKGc" TargetMode="External"/><Relationship Id="rId997" Type="http://schemas.openxmlformats.org/officeDocument/2006/relationships/hyperlink" Target="https://agenciadeaduanapirazzoli-my.sharepoint.com/:b:/g/personal/mmorales_pirazzoli_cl/IQAE9pVDekc7RpRmVWP8XGDjARjUyhF9cBz2HHqsEwweHK8?e=LdgX1x" TargetMode="External"/><Relationship Id="rId1182" Type="http://schemas.openxmlformats.org/officeDocument/2006/relationships/hyperlink" Target="https://agenciadeaduanapirazzoli-my.sharepoint.com/:b:/g/personal/mmorales_pirazzoli_cl/IQBL54SONAPORrsZNd0-fc8GAewBUJrbWD7_0_1vpLYYRUg?e=98d91H" TargetMode="External"/><Relationship Id="rId205" Type="http://schemas.openxmlformats.org/officeDocument/2006/relationships/hyperlink" Target="https://agenciadeaduanapirazzoli-my.sharepoint.com/:b:/g/personal/mmorales_pirazzoli_cl/IQBAv4Bw6PpbRJ-HrvO84J-qARnrOvesSSTUuZBhiKtaKjU?e=2tEBgE" TargetMode="External"/><Relationship Id="rId412" Type="http://schemas.openxmlformats.org/officeDocument/2006/relationships/hyperlink" Target="https://agenciadeaduanapirazzoli-my.sharepoint.com/:b:/g/personal/mmorales_pirazzoli_cl/IQAR09D5d-rrTJcD8n1eZdxOAcp1m-k7EIdh-9BTqvUOlZ8?e=8kfayE" TargetMode="External"/><Relationship Id="rId857" Type="http://schemas.openxmlformats.org/officeDocument/2006/relationships/hyperlink" Target="https://agenciadeaduanapirazzoli-my.sharepoint.com/:b:/g/personal/mmorales_pirazzoli_cl/IQDcp6Dc0lrJSKCelr6GAvfvAfgcM13j00IWmw0ZcrkFghk?e=XQ2gv6" TargetMode="External"/><Relationship Id="rId1042" Type="http://schemas.openxmlformats.org/officeDocument/2006/relationships/hyperlink" Target="https://agenciadeaduanapirazzoli-my.sharepoint.com/:b:/g/personal/mmorales_pirazzoli_cl/IQC2VjKpdJmDSZEidqKORBNxARLHTFeQHCO5XpkLPgF3-Kk?e=dTy7Kk" TargetMode="External"/><Relationship Id="rId717" Type="http://schemas.openxmlformats.org/officeDocument/2006/relationships/hyperlink" Target="https://agenciadeaduanapirazzoli-my.sharepoint.com/:b:/g/personal/mmorales_pirazzoli_cl/IQCUwhrp4OlZQp9ug_tjuoXIAVzBlyJi8GMq9p7Hsm61yHY?e=AgmWFI" TargetMode="External"/><Relationship Id="rId924" Type="http://schemas.openxmlformats.org/officeDocument/2006/relationships/hyperlink" Target="https://agenciadeaduanapirazzoli-my.sharepoint.com/:b:/g/personal/mmorales_pirazzoli_cl/IQC-kNvMIr6sSYpP86yVxsqZATWzMfF3iYsia6-SXtcpWxI?e=ZMfDhL" TargetMode="External"/><Relationship Id="rId53" Type="http://schemas.openxmlformats.org/officeDocument/2006/relationships/hyperlink" Target="https://agenciadeaduanapirazzoli-my.sharepoint.com/:b:/g/personal/mmorales_pirazzoli_cl/IQCOZvieo4hDT7jVvXQLLIOFAQWY_cy9T626aiOiXcB7bEs?e=KH4vRy" TargetMode="External"/><Relationship Id="rId1207" Type="http://schemas.openxmlformats.org/officeDocument/2006/relationships/hyperlink" Target="https://agenciadeaduanapirazzoli-my.sharepoint.com/:b:/g/personal/mmorales_pirazzoli_cl/IQCuK9-8QwOWQKp7MZCYFNt3AeRGk-Sdmjof_zqirjuPLUU?e=SsWOFc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genciadeaduanapirazzoli-my.sharepoint.com/:b:/g/personal/mmorales_pirazzoli_cl/IQDhZpWGzHDkS7s0Yy6bOhDiAUwNAUVaYPflGYY0kThmlyY?e=EEMxa3" TargetMode="External"/><Relationship Id="rId13" Type="http://schemas.openxmlformats.org/officeDocument/2006/relationships/vmlDrawing" Target="../drawings/vmlDrawing2.vml"/><Relationship Id="rId3" Type="http://schemas.openxmlformats.org/officeDocument/2006/relationships/hyperlink" Target="https://agenciadeaduanapirazzoli-my.sharepoint.com/:b:/g/personal/mmorales_pirazzoli_cl/IQDlfBIJnS37QYDrY8CS_WJjAf8lI7GFtRWaYdc-1y_ejVo?e=N6ZE7X" TargetMode="External"/><Relationship Id="rId7" Type="http://schemas.openxmlformats.org/officeDocument/2006/relationships/hyperlink" Target="https://agenciadeaduanapirazzoli-my.sharepoint.com/:b:/g/personal/mmorales_pirazzoli_cl/IQCN7O3Y79EvR52WRwvymuC0AUWalxJ-IPNAoxgtxf2WmMY?e=M3rLOA" TargetMode="External"/><Relationship Id="rId12" Type="http://schemas.openxmlformats.org/officeDocument/2006/relationships/hyperlink" Target="https://agenciadeaduanapirazzoli-my.sharepoint.com/:b:/g/personal/mmorales_pirazzoli_cl/IQB6Lc0rfuXlR6olWuUwCqewAZqERZFuGGHJ-Kl_HkYhdrs?e=mfVdjF" TargetMode="External"/><Relationship Id="rId2" Type="http://schemas.openxmlformats.org/officeDocument/2006/relationships/hyperlink" Target="https://agenciadeaduanapirazzoli-my.sharepoint.com/:b:/g/personal/mmorales_pirazzoli_cl/IQADkxQYgzEKQrdiZXN6OHdEAd-zx3fs8Kh3rUSf81Lcm98?e=FrDeIf" TargetMode="External"/><Relationship Id="rId1" Type="http://schemas.openxmlformats.org/officeDocument/2006/relationships/hyperlink" Target="https://agenciadeaduanapirazzoli-my.sharepoint.com/:b:/g/personal/mmorales_pirazzoli_cl/IQBimKHx64lXQ4fHflJkcv2oAQTisFWhmnhgXtV_rBZ5wo8?e=zOruwL" TargetMode="External"/><Relationship Id="rId6" Type="http://schemas.openxmlformats.org/officeDocument/2006/relationships/hyperlink" Target="https://agenciadeaduanapirazzoli-my.sharepoint.com/:b:/g/personal/mmorales_pirazzoli_cl/IQBB03jQGOqhRZTkdnJWo8MTAUL6ozCriVDJKzPBPTLjA6A?e=PisvJp" TargetMode="External"/><Relationship Id="rId11" Type="http://schemas.openxmlformats.org/officeDocument/2006/relationships/hyperlink" Target="https://agenciadeaduanapirazzoli-my.sharepoint.com/:b:/g/personal/mmorales_pirazzoli_cl/IQBczQM2WQs-QJ4ut2zFqmOHATQBolMJZdzc2LwuNScONxg?e=dLScXz" TargetMode="External"/><Relationship Id="rId5" Type="http://schemas.openxmlformats.org/officeDocument/2006/relationships/hyperlink" Target="https://agenciadeaduanapirazzoli-my.sharepoint.com/:b:/g/personal/mmorales_pirazzoli_cl/IQAbpNjudzRURYxgK4XDtEkRAQBVCY1pPOzPdWxsMInMYZw?e=dOBzRL" TargetMode="External"/><Relationship Id="rId10" Type="http://schemas.openxmlformats.org/officeDocument/2006/relationships/hyperlink" Target="https://agenciadeaduanapirazzoli-my.sharepoint.com/:b:/g/personal/mmorales_pirazzoli_cl/IQBB03jQGOqhRZTkdnJWo8MTAUL6ozCriVDJKzPBPTLjA6A?e=vnfU5g" TargetMode="External"/><Relationship Id="rId4" Type="http://schemas.openxmlformats.org/officeDocument/2006/relationships/hyperlink" Target="https://agenciadeaduanapirazzoli-my.sharepoint.com/:b:/g/personal/mmorales_pirazzoli_cl/IQAAKxelsOKxSIBpCa7LDoTGAaaPnEWJCmr_19wN7NzVq70?e=76CgVF" TargetMode="External"/><Relationship Id="rId9" Type="http://schemas.openxmlformats.org/officeDocument/2006/relationships/hyperlink" Target="https://agenciadeaduanapirazzoli-my.sharepoint.com/:b:/g/personal/mmorales_pirazzoli_cl/IQCnq-fELazmS4HVH0_1fko6ATT_sWF_YyT3G1PEm2BE1b8?e=83DOBa" TargetMode="External"/><Relationship Id="rId1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agenciadeaduanapirazzoli-my.sharepoint.com/:b:/g/personal/mmorales_pirazzoli_cl/IQD9ZBR2F0R0R4buePaZbZ1QATAJaiPvMz69BNvJX7-M7PE?e=pcX0Ra" TargetMode="External"/><Relationship Id="rId3" Type="http://schemas.openxmlformats.org/officeDocument/2006/relationships/hyperlink" Target="https://agenciadeaduanapirazzoli-my.sharepoint.com/:b:/g/personal/mmorales_pirazzoli_cl/IQDTt0DUvH46QZ6qg4gPZGbeAfGt8GeGUya8MWStXqz3hms?e=Tkmqo5" TargetMode="External"/><Relationship Id="rId7" Type="http://schemas.openxmlformats.org/officeDocument/2006/relationships/hyperlink" Target="https://agenciadeaduanapirazzoli-my.sharepoint.com/:b:/g/personal/mmorales_pirazzoli_cl/IQD9ZBR2F0R0R4buePaZbZ1QATAJaiPvMz69BNvJX7-M7PE?e=pcX0Ra" TargetMode="External"/><Relationship Id="rId2" Type="http://schemas.openxmlformats.org/officeDocument/2006/relationships/hyperlink" Target="https://agenciadeaduanapirazzoli-my.sharepoint.com/:b:/g/personal/mmorales_pirazzoli_cl/IQB0FDVRRvWRQJzMr3E0CnSHAVO36S247LG0AMjokqBdb1U?e=Nbrwde" TargetMode="External"/><Relationship Id="rId1" Type="http://schemas.openxmlformats.org/officeDocument/2006/relationships/hyperlink" Target="https://agenciadeaduanapirazzoli-my.sharepoint.com/:b:/g/personal/mmorales_pirazzoli_cl/IQB0FDVRRvWRQJzMr3E0CnSHAVO36S247LG0AMjokqBdb1U?e=Nbrwde" TargetMode="External"/><Relationship Id="rId6" Type="http://schemas.openxmlformats.org/officeDocument/2006/relationships/hyperlink" Target="https://agenciadeaduanapirazzoli-my.sharepoint.com/:b:/g/personal/mmorales_pirazzoli_cl/IQCleFGB1BOkSYuF69tc7gHSAWjDDCaA4cuON_7dcxmwN78?e=ODedGp" TargetMode="External"/><Relationship Id="rId5" Type="http://schemas.openxmlformats.org/officeDocument/2006/relationships/hyperlink" Target="https://agenciadeaduanapirazzoli-my.sharepoint.com/:b:/g/personal/mmorales_pirazzoli_cl/IQCleFGB1BOkSYuF69tc7gHSAWjDDCaA4cuON_7dcxmwN78?e=ODedGp" TargetMode="External"/><Relationship Id="rId10" Type="http://schemas.openxmlformats.org/officeDocument/2006/relationships/comments" Target="../comments3.xml"/><Relationship Id="rId4" Type="http://schemas.openxmlformats.org/officeDocument/2006/relationships/hyperlink" Target="https://agenciadeaduanapirazzoli-my.sharepoint.com/:b:/g/personal/mmorales_pirazzoli_cl/IQDTt0DUvH46QZ6qg4gPZGbeAfGt8GeGUya8MWStXqz3hms?e=Tkmqo5" TargetMode="External"/><Relationship Id="rId9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03264-199A-4886-857D-303C27604CC4}">
  <dimension ref="A1:AL258"/>
  <sheetViews>
    <sheetView tabSelected="1" zoomScale="70" zoomScaleNormal="70" workbookViewId="0">
      <pane xSplit="2" topLeftCell="C1" activePane="topRight" state="frozen"/>
      <selection pane="topRight" activeCell="C1" sqref="C1"/>
    </sheetView>
  </sheetViews>
  <sheetFormatPr baseColWidth="10" defaultColWidth="11.42578125" defaultRowHeight="24.75" customHeight="1"/>
  <cols>
    <col min="1" max="2" width="19" style="187" customWidth="1"/>
    <col min="3" max="3" width="49.85546875" style="12" customWidth="1"/>
    <col min="4" max="4" width="29.85546875" style="2" customWidth="1"/>
    <col min="5" max="5" width="29.7109375" style="189" customWidth="1"/>
    <col min="6" max="6" width="60.140625" style="2" customWidth="1"/>
    <col min="7" max="7" width="81.85546875" style="2" customWidth="1"/>
    <col min="8" max="8" width="29.7109375" style="2" customWidth="1"/>
    <col min="9" max="9" width="21.85546875" style="2" customWidth="1"/>
    <col min="10" max="10" width="20" style="2" customWidth="1"/>
    <col min="11" max="11" width="27.28515625" style="2" customWidth="1"/>
    <col min="12" max="12" width="11.42578125" style="2"/>
    <col min="13" max="13" width="13.7109375" style="2" customWidth="1"/>
    <col min="14" max="14" width="16.42578125" style="2" customWidth="1"/>
    <col min="15" max="15" width="21.140625" style="2" customWidth="1"/>
    <col min="16" max="16" width="20.42578125" style="312" customWidth="1"/>
    <col min="17" max="17" width="32.7109375" style="297" customWidth="1"/>
    <col min="18" max="18" width="16.42578125" style="357" customWidth="1"/>
    <col min="19" max="19" width="16.42578125" style="289" customWidth="1"/>
    <col min="20" max="20" width="23.5703125" style="14" customWidth="1"/>
    <col min="21" max="21" width="56.28515625" style="2" customWidth="1"/>
    <col min="22" max="22" width="49.28515625" style="243" customWidth="1"/>
    <col min="23" max="23" width="32.7109375" style="66" customWidth="1"/>
    <col min="24" max="24" width="28.85546875" style="12" customWidth="1"/>
    <col min="25" max="25" width="74.140625" style="15" customWidth="1"/>
    <col min="26" max="26" width="18.42578125" style="9" customWidth="1"/>
    <col min="27" max="27" width="19.85546875" style="9" customWidth="1"/>
    <col min="28" max="28" width="22.7109375" style="73" customWidth="1"/>
    <col min="29" max="29" width="21" style="326" customWidth="1"/>
    <col min="30" max="30" width="18.85546875" style="2" bestFit="1" customWidth="1"/>
    <col min="31" max="31" width="14.28515625" style="2" customWidth="1"/>
    <col min="32" max="32" width="18" style="2" customWidth="1"/>
    <col min="33" max="33" width="25" style="14" customWidth="1"/>
    <col min="34" max="34" width="21.28515625" style="14" customWidth="1"/>
    <col min="35" max="35" width="19.140625" style="73" customWidth="1"/>
    <col min="36" max="36" width="13.42578125" style="276" customWidth="1"/>
    <col min="37" max="38" width="13.28515625" style="188" customWidth="1"/>
  </cols>
  <sheetData>
    <row r="1" spans="1:38" ht="72" customHeight="1">
      <c r="A1" s="61" t="s">
        <v>0</v>
      </c>
      <c r="B1" s="61" t="s">
        <v>1</v>
      </c>
      <c r="C1" s="229" t="s">
        <v>2</v>
      </c>
      <c r="D1" s="211" t="s">
        <v>3</v>
      </c>
      <c r="E1" s="303" t="s">
        <v>4</v>
      </c>
      <c r="F1" s="211" t="s">
        <v>5</v>
      </c>
      <c r="G1" s="211" t="s">
        <v>6</v>
      </c>
      <c r="H1" s="211" t="s">
        <v>7</v>
      </c>
      <c r="I1" s="211" t="s">
        <v>8</v>
      </c>
      <c r="J1" s="216" t="s">
        <v>9</v>
      </c>
      <c r="K1" s="216" t="s">
        <v>10</v>
      </c>
      <c r="L1" s="216" t="s">
        <v>11</v>
      </c>
      <c r="M1" s="216" t="s">
        <v>12</v>
      </c>
      <c r="N1" s="216" t="s">
        <v>13</v>
      </c>
      <c r="O1" s="216" t="s">
        <v>14</v>
      </c>
      <c r="P1" s="308" t="s">
        <v>15</v>
      </c>
      <c r="Q1" s="295" t="s">
        <v>16</v>
      </c>
      <c r="R1" s="356" t="s">
        <v>17</v>
      </c>
      <c r="S1" s="285" t="s">
        <v>18</v>
      </c>
      <c r="T1" s="216" t="s">
        <v>19</v>
      </c>
      <c r="U1" s="216" t="s">
        <v>20</v>
      </c>
      <c r="V1" s="212" t="s">
        <v>21</v>
      </c>
      <c r="W1" s="277" t="s">
        <v>22</v>
      </c>
      <c r="X1" s="290" t="s">
        <v>23</v>
      </c>
      <c r="Y1" s="240" t="s">
        <v>24</v>
      </c>
      <c r="Z1" s="239" t="s">
        <v>25</v>
      </c>
      <c r="AA1" s="239" t="s">
        <v>26</v>
      </c>
      <c r="AB1" s="212" t="s">
        <v>27</v>
      </c>
      <c r="AC1" s="323" t="s">
        <v>28</v>
      </c>
      <c r="AD1" s="216" t="s">
        <v>29</v>
      </c>
      <c r="AE1" s="267" t="s">
        <v>30</v>
      </c>
      <c r="AF1" s="216" t="s">
        <v>31</v>
      </c>
      <c r="AG1" s="216" t="s">
        <v>32</v>
      </c>
      <c r="AH1" s="216" t="s">
        <v>33</v>
      </c>
      <c r="AI1" s="212" t="s">
        <v>34</v>
      </c>
      <c r="AJ1" s="381" t="s">
        <v>35</v>
      </c>
      <c r="AK1" s="268" t="s">
        <v>36</v>
      </c>
      <c r="AL1" s="268" t="s">
        <v>37</v>
      </c>
    </row>
    <row r="2" spans="1:38" ht="24.75" customHeight="1">
      <c r="A2" s="227" t="s">
        <v>38</v>
      </c>
      <c r="B2" s="227">
        <v>179930</v>
      </c>
      <c r="C2" s="230" t="s">
        <v>39</v>
      </c>
      <c r="D2" s="5" t="s">
        <v>40</v>
      </c>
      <c r="E2" s="304">
        <v>46076</v>
      </c>
      <c r="F2" s="4" t="s">
        <v>41</v>
      </c>
      <c r="G2" s="4" t="s">
        <v>42</v>
      </c>
      <c r="H2" s="6">
        <v>46078</v>
      </c>
      <c r="I2" s="4" t="s">
        <v>43</v>
      </c>
      <c r="J2" s="4"/>
      <c r="K2" s="3" t="s">
        <v>44</v>
      </c>
      <c r="L2" s="4" t="s">
        <v>45</v>
      </c>
      <c r="M2" s="4" t="s">
        <v>46</v>
      </c>
      <c r="N2" s="4" t="s">
        <v>47</v>
      </c>
      <c r="O2" s="3" t="s">
        <v>48</v>
      </c>
      <c r="P2" s="288">
        <v>33737</v>
      </c>
      <c r="Q2" s="296" t="s">
        <v>49</v>
      </c>
      <c r="R2" s="74" t="s">
        <v>50</v>
      </c>
      <c r="S2" s="248" t="s">
        <v>51</v>
      </c>
      <c r="T2" s="278" t="s">
        <v>52</v>
      </c>
      <c r="U2" s="2" t="str">
        <f>VLOOKUP('IMPO TERR'!T2,'Matriz datos'!$J$2:$K$10,2,0)</f>
        <v>AV. GALVARINO 8601 BGA. 11, QUILICURA</v>
      </c>
      <c r="V2" s="18" t="s">
        <v>53</v>
      </c>
      <c r="W2" s="382" t="s">
        <v>54</v>
      </c>
      <c r="X2" s="247" t="s">
        <v>55</v>
      </c>
      <c r="Y2" s="220" t="s">
        <v>56</v>
      </c>
      <c r="Z2" s="219">
        <v>2605113227</v>
      </c>
      <c r="AA2" s="219">
        <v>2605114532</v>
      </c>
      <c r="AB2" s="19">
        <v>46083.859976851854</v>
      </c>
      <c r="AC2" s="324">
        <v>46084</v>
      </c>
      <c r="AD2" s="28">
        <v>46087</v>
      </c>
      <c r="AE2" s="5">
        <v>4090179930</v>
      </c>
      <c r="AF2" s="23">
        <v>46087.725694444445</v>
      </c>
      <c r="AG2" s="34">
        <v>46090.479398148149</v>
      </c>
      <c r="AH2" s="34">
        <v>46090.559687499997</v>
      </c>
      <c r="AI2" s="18"/>
      <c r="AJ2" s="383">
        <v>25010000</v>
      </c>
      <c r="AK2" s="269">
        <v>0</v>
      </c>
      <c r="AL2" s="269">
        <v>0</v>
      </c>
    </row>
    <row r="3" spans="1:38" ht="24.75" customHeight="1">
      <c r="A3" s="227" t="s">
        <v>57</v>
      </c>
      <c r="B3" s="227">
        <v>179947</v>
      </c>
      <c r="C3" s="230" t="s">
        <v>39</v>
      </c>
      <c r="D3" s="2" t="s">
        <v>58</v>
      </c>
      <c r="E3" s="189">
        <v>46076</v>
      </c>
      <c r="G3" s="2" t="s">
        <v>59</v>
      </c>
      <c r="J3" s="4"/>
      <c r="K3" s="3" t="s">
        <v>60</v>
      </c>
      <c r="L3" s="4" t="s">
        <v>61</v>
      </c>
      <c r="M3" s="4" t="s">
        <v>46</v>
      </c>
      <c r="N3" s="4" t="s">
        <v>47</v>
      </c>
      <c r="O3" s="3" t="s">
        <v>62</v>
      </c>
      <c r="P3" s="288">
        <v>32028</v>
      </c>
      <c r="Q3" s="296" t="s">
        <v>63</v>
      </c>
      <c r="R3" s="74" t="s">
        <v>64</v>
      </c>
      <c r="S3" s="248" t="s">
        <v>65</v>
      </c>
      <c r="T3" s="278" t="s">
        <v>66</v>
      </c>
      <c r="U3" s="2" t="str">
        <f>VLOOKUP('IMPO TERR'!T3,'Matriz datos'!$J$2:$K$10,2,0)</f>
        <v>CAMINO SANTA MARTA 2101, MAIPU</v>
      </c>
      <c r="V3" s="384" t="s">
        <v>67</v>
      </c>
      <c r="W3" s="279" t="s">
        <v>68</v>
      </c>
      <c r="X3" s="247" t="s">
        <v>69</v>
      </c>
      <c r="Y3" s="220" t="s">
        <v>70</v>
      </c>
      <c r="Z3" s="219">
        <v>2605101385</v>
      </c>
      <c r="AA3" s="219">
        <v>2605109992</v>
      </c>
      <c r="AB3" s="19">
        <v>46080.908217592594</v>
      </c>
      <c r="AC3" s="324">
        <v>46081</v>
      </c>
      <c r="AD3" s="6">
        <v>46085</v>
      </c>
      <c r="AE3" s="5">
        <v>4090179947</v>
      </c>
      <c r="AF3" s="23">
        <v>46085.553472222222</v>
      </c>
      <c r="AG3" s="35">
        <v>46086.655057870368</v>
      </c>
      <c r="AH3" s="49">
        <v>46093</v>
      </c>
      <c r="AI3" s="18"/>
      <c r="AJ3" s="383">
        <v>6500000</v>
      </c>
      <c r="AK3" s="188">
        <v>857.58</v>
      </c>
    </row>
    <row r="4" spans="1:38" ht="24.75" customHeight="1">
      <c r="A4" s="227" t="s">
        <v>71</v>
      </c>
      <c r="B4" s="227">
        <v>179972</v>
      </c>
      <c r="C4" s="230" t="s">
        <v>39</v>
      </c>
      <c r="D4" s="4" t="s">
        <v>58</v>
      </c>
      <c r="E4" s="304">
        <v>46077</v>
      </c>
      <c r="F4" s="4" t="s">
        <v>72</v>
      </c>
      <c r="G4" s="4" t="s">
        <v>72</v>
      </c>
      <c r="H4" s="4"/>
      <c r="I4" s="4"/>
      <c r="J4" s="4"/>
      <c r="K4" s="3" t="s">
        <v>44</v>
      </c>
      <c r="L4" s="4" t="s">
        <v>45</v>
      </c>
      <c r="M4" s="4" t="s">
        <v>46</v>
      </c>
      <c r="N4" s="4" t="s">
        <v>47</v>
      </c>
      <c r="O4" s="3" t="s">
        <v>73</v>
      </c>
      <c r="P4" s="288">
        <v>32413</v>
      </c>
      <c r="Q4" s="296" t="s">
        <v>49</v>
      </c>
      <c r="R4" s="74" t="s">
        <v>74</v>
      </c>
      <c r="S4" s="248" t="s">
        <v>75</v>
      </c>
      <c r="T4" s="278" t="s">
        <v>76</v>
      </c>
      <c r="U4" s="2" t="str">
        <f>VLOOKUP('IMPO TERR'!T4,'Matriz datos'!$J$2:$K$10,2,0)</f>
        <v>AV. PDTE. EDUARDO FREI 8301, QUILICURA</v>
      </c>
      <c r="V4" s="18" t="s">
        <v>77</v>
      </c>
      <c r="W4" s="280" t="s">
        <v>78</v>
      </c>
      <c r="X4" s="247" t="s">
        <v>79</v>
      </c>
      <c r="Y4" s="220" t="s">
        <v>80</v>
      </c>
      <c r="Z4" s="219">
        <v>2605106362</v>
      </c>
      <c r="AA4" s="219">
        <v>2605107634</v>
      </c>
      <c r="AB4" s="19">
        <v>46082.479074074072</v>
      </c>
      <c r="AC4" s="324">
        <v>46083</v>
      </c>
      <c r="AD4" s="213">
        <v>46085</v>
      </c>
      <c r="AE4" s="5">
        <v>4090179972</v>
      </c>
      <c r="AF4" s="23">
        <v>46085.652777777781</v>
      </c>
      <c r="AG4" s="34">
        <v>46085.753275462965</v>
      </c>
      <c r="AH4" s="34">
        <v>46085.83252314815</v>
      </c>
      <c r="AI4" s="18"/>
      <c r="AJ4" s="383">
        <v>25950000</v>
      </c>
      <c r="AK4" s="188">
        <v>857.58</v>
      </c>
      <c r="AL4" s="269"/>
    </row>
    <row r="5" spans="1:38" ht="24.75" customHeight="1">
      <c r="A5" s="227" t="s">
        <v>81</v>
      </c>
      <c r="B5" s="227">
        <v>180001</v>
      </c>
      <c r="C5" s="230" t="s">
        <v>39</v>
      </c>
      <c r="D5" s="4" t="s">
        <v>58</v>
      </c>
      <c r="E5" s="304">
        <v>46077</v>
      </c>
      <c r="F5" s="4"/>
      <c r="G5" s="4"/>
      <c r="H5" s="4"/>
      <c r="I5" s="4"/>
      <c r="J5" s="4"/>
      <c r="K5" s="3" t="s">
        <v>44</v>
      </c>
      <c r="L5" s="4" t="s">
        <v>45</v>
      </c>
      <c r="M5" s="4" t="s">
        <v>46</v>
      </c>
      <c r="N5" s="4" t="s">
        <v>47</v>
      </c>
      <c r="O5" s="3" t="s">
        <v>82</v>
      </c>
      <c r="P5" s="288"/>
      <c r="Q5" s="296" t="s">
        <v>49</v>
      </c>
      <c r="R5" s="74" t="s">
        <v>83</v>
      </c>
      <c r="S5" s="248" t="s">
        <v>84</v>
      </c>
      <c r="T5" s="278" t="s">
        <v>76</v>
      </c>
      <c r="U5" s="2" t="str">
        <f>VLOOKUP('IMPO TERR'!T5,'Matriz datos'!$J$2:$K$10,2,0)</f>
        <v>AV. PDTE. EDUARDO FREI 8301, QUILICURA</v>
      </c>
      <c r="V5" s="384" t="s">
        <v>85</v>
      </c>
      <c r="W5" s="280" t="s">
        <v>86</v>
      </c>
      <c r="X5" s="247" t="s">
        <v>87</v>
      </c>
      <c r="Y5" s="220" t="s">
        <v>88</v>
      </c>
      <c r="Z5" s="219">
        <v>260595504</v>
      </c>
      <c r="AA5" s="219">
        <v>260597318</v>
      </c>
      <c r="AB5" s="19">
        <v>46086.792349537034</v>
      </c>
      <c r="AC5" s="324">
        <v>46087</v>
      </c>
      <c r="AD5" s="213">
        <v>46079</v>
      </c>
      <c r="AE5" s="5">
        <v>4090180001</v>
      </c>
      <c r="AF5" s="23">
        <v>46087</v>
      </c>
      <c r="AG5" s="34">
        <v>46087.774537037039</v>
      </c>
      <c r="AH5" s="34">
        <v>46087.825578703705</v>
      </c>
      <c r="AI5" s="18"/>
      <c r="AJ5" s="383">
        <v>26010000</v>
      </c>
      <c r="AK5" s="188">
        <v>857.95</v>
      </c>
      <c r="AL5" s="269"/>
    </row>
    <row r="6" spans="1:38" ht="24.75" customHeight="1">
      <c r="A6" s="227" t="s">
        <v>89</v>
      </c>
      <c r="B6" s="227">
        <v>180023</v>
      </c>
      <c r="C6" s="230" t="s">
        <v>39</v>
      </c>
      <c r="D6" s="4" t="s">
        <v>58</v>
      </c>
      <c r="E6" s="189">
        <v>46078</v>
      </c>
      <c r="J6" s="4"/>
      <c r="K6" s="3" t="s">
        <v>44</v>
      </c>
      <c r="L6" s="4" t="s">
        <v>45</v>
      </c>
      <c r="M6" s="4" t="s">
        <v>46</v>
      </c>
      <c r="N6" s="4" t="s">
        <v>47</v>
      </c>
      <c r="O6" s="3" t="s">
        <v>90</v>
      </c>
      <c r="P6" s="288">
        <v>34269</v>
      </c>
      <c r="Q6" s="296" t="s">
        <v>49</v>
      </c>
      <c r="R6" s="74" t="s">
        <v>91</v>
      </c>
      <c r="S6" s="248" t="s">
        <v>92</v>
      </c>
      <c r="T6" s="278" t="s">
        <v>76</v>
      </c>
      <c r="U6" s="2" t="str">
        <f>VLOOKUP('IMPO TERR'!T6,'Matriz datos'!$J$2:$K$10,2,0)</f>
        <v>AV. PDTE. EDUARDO FREI 8301, QUILICURA</v>
      </c>
      <c r="V6" s="18" t="s">
        <v>93</v>
      </c>
      <c r="W6" s="280" t="s">
        <v>94</v>
      </c>
      <c r="X6" s="247" t="s">
        <v>95</v>
      </c>
      <c r="Y6" s="220" t="s">
        <v>96</v>
      </c>
      <c r="Z6" s="219">
        <v>260598254</v>
      </c>
      <c r="AA6" s="219">
        <v>260599583</v>
      </c>
      <c r="AB6" s="19">
        <v>46084.790868055556</v>
      </c>
      <c r="AC6" s="324">
        <v>46085</v>
      </c>
      <c r="AD6" s="213">
        <v>46080</v>
      </c>
      <c r="AE6" s="5">
        <v>4090180023</v>
      </c>
      <c r="AF6" s="23">
        <v>46085</v>
      </c>
      <c r="AG6" s="19">
        <v>46084.790868055556</v>
      </c>
      <c r="AH6" s="34">
        <v>46085.734293981484</v>
      </c>
      <c r="AI6" s="18"/>
      <c r="AJ6" s="383">
        <v>25520000</v>
      </c>
      <c r="AK6" s="188">
        <v>857.95</v>
      </c>
    </row>
    <row r="7" spans="1:38" ht="24.75" customHeight="1">
      <c r="A7" s="227" t="s">
        <v>97</v>
      </c>
      <c r="B7" s="227">
        <v>180040</v>
      </c>
      <c r="C7" s="230" t="s">
        <v>39</v>
      </c>
      <c r="D7" s="4" t="s">
        <v>58</v>
      </c>
      <c r="E7" s="304">
        <v>46078</v>
      </c>
      <c r="F7" s="4"/>
      <c r="G7" s="4"/>
      <c r="H7" s="4"/>
      <c r="I7" s="4"/>
      <c r="J7" s="4"/>
      <c r="K7" s="3" t="s">
        <v>44</v>
      </c>
      <c r="L7" s="4" t="s">
        <v>61</v>
      </c>
      <c r="M7" s="4" t="s">
        <v>46</v>
      </c>
      <c r="N7" s="4" t="s">
        <v>47</v>
      </c>
      <c r="O7" s="3" t="s">
        <v>98</v>
      </c>
      <c r="P7" s="288"/>
      <c r="Q7" s="296" t="s">
        <v>99</v>
      </c>
      <c r="R7" s="74" t="s">
        <v>100</v>
      </c>
      <c r="S7" s="248" t="s">
        <v>101</v>
      </c>
      <c r="T7" s="278" t="s">
        <v>102</v>
      </c>
      <c r="U7" s="2" t="str">
        <f>VLOOKUP('IMPO TERR'!T7,'Matriz datos'!$J$2:$K$10,2,0)</f>
        <v>AV. AMERICO VESPUCIO 0350, QUILICURA</v>
      </c>
      <c r="V7" s="384" t="s">
        <v>103</v>
      </c>
      <c r="W7" s="66" t="s">
        <v>104</v>
      </c>
      <c r="X7" s="247" t="s">
        <v>105</v>
      </c>
      <c r="Y7" s="220" t="s">
        <v>106</v>
      </c>
      <c r="Z7" s="219">
        <v>2605101685</v>
      </c>
      <c r="AA7" s="219">
        <v>2605107573</v>
      </c>
      <c r="AB7" s="19">
        <v>46082.751284722224</v>
      </c>
      <c r="AC7" s="324">
        <v>46083</v>
      </c>
      <c r="AD7" s="213">
        <v>46084</v>
      </c>
      <c r="AE7" s="5">
        <v>4090180040</v>
      </c>
      <c r="AF7" s="23">
        <v>46084</v>
      </c>
      <c r="AG7" s="34">
        <v>46085.669062499997</v>
      </c>
      <c r="AH7" s="34">
        <v>46087.305219907408</v>
      </c>
      <c r="AI7" s="18"/>
      <c r="AJ7" s="383">
        <v>28670000</v>
      </c>
      <c r="AK7" s="188">
        <v>857.58</v>
      </c>
      <c r="AL7" s="269"/>
    </row>
    <row r="8" spans="1:38" ht="24.75" customHeight="1">
      <c r="A8" s="227" t="s">
        <v>107</v>
      </c>
      <c r="B8" s="227">
        <v>180056</v>
      </c>
      <c r="C8" s="230" t="s">
        <v>39</v>
      </c>
      <c r="D8" s="4" t="s">
        <v>58</v>
      </c>
      <c r="E8" s="304">
        <v>46079</v>
      </c>
      <c r="F8" s="4"/>
      <c r="G8" s="4"/>
      <c r="H8" s="4"/>
      <c r="I8" s="4"/>
      <c r="J8" s="4"/>
      <c r="K8" s="3" t="s">
        <v>44</v>
      </c>
      <c r="L8" s="4" t="s">
        <v>45</v>
      </c>
      <c r="M8" s="4" t="s">
        <v>46</v>
      </c>
      <c r="N8" s="4" t="s">
        <v>47</v>
      </c>
      <c r="O8" s="3" t="s">
        <v>108</v>
      </c>
      <c r="P8" s="288"/>
      <c r="Q8" s="296" t="s">
        <v>49</v>
      </c>
      <c r="R8" s="74" t="s">
        <v>109</v>
      </c>
      <c r="S8" s="248" t="s">
        <v>110</v>
      </c>
      <c r="T8" s="278" t="s">
        <v>76</v>
      </c>
      <c r="U8" s="2" t="str">
        <f>VLOOKUP('IMPO TERR'!T8,'Matriz datos'!$J$2:$K$10,2,0)</f>
        <v>AV. PDTE. EDUARDO FREI 8301, QUILICURA</v>
      </c>
      <c r="V8" s="384" t="s">
        <v>111</v>
      </c>
      <c r="W8" s="280" t="s">
        <v>112</v>
      </c>
      <c r="X8" s="247" t="s">
        <v>113</v>
      </c>
      <c r="Y8" s="220" t="s">
        <v>114</v>
      </c>
      <c r="Z8" s="219">
        <v>2605101914</v>
      </c>
      <c r="AA8" s="219">
        <v>2605102768</v>
      </c>
      <c r="AB8" s="318">
        <v>46086.865740740737</v>
      </c>
      <c r="AC8" s="324">
        <v>46087</v>
      </c>
      <c r="AD8" s="213">
        <v>46083</v>
      </c>
      <c r="AE8" s="5">
        <v>4090180056</v>
      </c>
      <c r="AF8" s="23">
        <v>46087</v>
      </c>
      <c r="AG8" s="34">
        <v>46087.778796296298</v>
      </c>
      <c r="AH8" s="34">
        <v>46087.824224537035</v>
      </c>
      <c r="AI8" s="18"/>
      <c r="AJ8" s="383">
        <v>25880000</v>
      </c>
      <c r="AK8" s="188">
        <v>857.58</v>
      </c>
      <c r="AL8" s="269"/>
    </row>
    <row r="9" spans="1:38" ht="24.75" customHeight="1">
      <c r="A9" s="227" t="s">
        <v>115</v>
      </c>
      <c r="B9" s="227">
        <v>180057</v>
      </c>
      <c r="C9" s="230" t="s">
        <v>39</v>
      </c>
      <c r="D9" s="4" t="s">
        <v>58</v>
      </c>
      <c r="E9" s="189">
        <v>46079</v>
      </c>
      <c r="F9" s="300" t="s">
        <v>116</v>
      </c>
      <c r="G9" s="300" t="s">
        <v>116</v>
      </c>
      <c r="J9" s="4"/>
      <c r="K9" s="3" t="s">
        <v>44</v>
      </c>
      <c r="L9" s="4" t="s">
        <v>45</v>
      </c>
      <c r="M9" s="4" t="s">
        <v>46</v>
      </c>
      <c r="N9" s="4" t="s">
        <v>47</v>
      </c>
      <c r="O9" s="3" t="s">
        <v>117</v>
      </c>
      <c r="P9" s="288">
        <v>32539</v>
      </c>
      <c r="Q9" s="296" t="s">
        <v>49</v>
      </c>
      <c r="R9" s="74" t="s">
        <v>118</v>
      </c>
      <c r="S9" s="248" t="s">
        <v>119</v>
      </c>
      <c r="T9" s="278" t="s">
        <v>76</v>
      </c>
      <c r="U9" s="2" t="str">
        <f>VLOOKUP('IMPO TERR'!T9,'Matriz datos'!$J$2:$K$10,2,0)</f>
        <v>AV. PDTE. EDUARDO FREI 8301, QUILICURA</v>
      </c>
      <c r="V9" s="18" t="s">
        <v>120</v>
      </c>
      <c r="W9" s="384" t="s">
        <v>121</v>
      </c>
      <c r="X9" s="247" t="s">
        <v>122</v>
      </c>
      <c r="Y9" s="220" t="s">
        <v>123</v>
      </c>
      <c r="Z9" s="219">
        <v>2605100691</v>
      </c>
      <c r="AA9" s="219">
        <v>2605101997</v>
      </c>
      <c r="AB9" s="19">
        <v>46082.639456018522</v>
      </c>
      <c r="AC9" s="324">
        <v>46083</v>
      </c>
      <c r="AD9" s="213">
        <v>46084</v>
      </c>
      <c r="AE9" s="5">
        <v>4090180057</v>
      </c>
      <c r="AF9" s="23">
        <v>46084</v>
      </c>
      <c r="AG9" s="34">
        <v>46085.595659722225</v>
      </c>
      <c r="AH9" s="34">
        <v>46085.680081018516</v>
      </c>
      <c r="AI9" s="217"/>
      <c r="AJ9" s="383">
        <v>25770000</v>
      </c>
      <c r="AK9" s="188">
        <v>857.58</v>
      </c>
    </row>
    <row r="10" spans="1:38" ht="24.75" customHeight="1">
      <c r="A10" s="227" t="s">
        <v>124</v>
      </c>
      <c r="B10" s="227">
        <v>180059</v>
      </c>
      <c r="C10" s="230" t="s">
        <v>39</v>
      </c>
      <c r="D10" s="4" t="s">
        <v>58</v>
      </c>
      <c r="E10" s="304">
        <v>46079</v>
      </c>
      <c r="F10" s="4"/>
      <c r="G10" s="4"/>
      <c r="H10" s="4"/>
      <c r="I10" s="4"/>
      <c r="J10" s="4"/>
      <c r="K10" s="3" t="s">
        <v>60</v>
      </c>
      <c r="L10" s="4" t="s">
        <v>45</v>
      </c>
      <c r="M10" s="4" t="s">
        <v>46</v>
      </c>
      <c r="N10" s="4" t="s">
        <v>47</v>
      </c>
      <c r="O10" s="3" t="s">
        <v>125</v>
      </c>
      <c r="P10" s="288"/>
      <c r="Q10" s="296" t="s">
        <v>126</v>
      </c>
      <c r="R10" s="74" t="s">
        <v>127</v>
      </c>
      <c r="S10" s="286" t="s">
        <v>128</v>
      </c>
      <c r="T10" s="278" t="s">
        <v>76</v>
      </c>
      <c r="U10" s="2" t="str">
        <f>VLOOKUP('IMPO TERR'!T10,'Matriz datos'!$J$2:$K$10,2,0)</f>
        <v>AV. PDTE. EDUARDO FREI 8301, QUILICURA</v>
      </c>
      <c r="V10" s="18" t="s">
        <v>129</v>
      </c>
      <c r="W10" s="280" t="s">
        <v>130</v>
      </c>
      <c r="X10" s="247" t="s">
        <v>131</v>
      </c>
      <c r="Y10" s="220" t="s">
        <v>132</v>
      </c>
      <c r="Z10" s="219">
        <v>2605101437</v>
      </c>
      <c r="AA10" s="219">
        <v>2605101999</v>
      </c>
      <c r="AB10" s="19">
        <v>46087.029641203706</v>
      </c>
      <c r="AC10" s="324">
        <v>46087</v>
      </c>
      <c r="AD10" s="213">
        <v>46083</v>
      </c>
      <c r="AE10" s="5">
        <v>4090180059</v>
      </c>
      <c r="AF10" s="23">
        <v>46087</v>
      </c>
      <c r="AG10" s="19">
        <v>46088.48065972222</v>
      </c>
      <c r="AH10" s="19">
        <v>46088.604351851849</v>
      </c>
      <c r="AI10" s="18"/>
      <c r="AJ10" s="383">
        <v>25720000</v>
      </c>
      <c r="AK10" s="188">
        <v>857.58</v>
      </c>
      <c r="AL10" s="269"/>
    </row>
    <row r="11" spans="1:38" ht="24.75" customHeight="1">
      <c r="A11" s="227" t="s">
        <v>133</v>
      </c>
      <c r="B11" s="227">
        <v>180066</v>
      </c>
      <c r="C11" s="230" t="s">
        <v>39</v>
      </c>
      <c r="D11" s="5" t="s">
        <v>40</v>
      </c>
      <c r="E11" s="305">
        <v>46079</v>
      </c>
      <c r="F11" s="4"/>
      <c r="G11" s="4"/>
      <c r="H11" s="7"/>
      <c r="I11" s="4"/>
      <c r="J11" s="4"/>
      <c r="K11" s="3" t="s">
        <v>44</v>
      </c>
      <c r="L11" s="4" t="s">
        <v>45</v>
      </c>
      <c r="M11" s="4" t="s">
        <v>46</v>
      </c>
      <c r="N11" s="4" t="s">
        <v>47</v>
      </c>
      <c r="O11" s="3" t="s">
        <v>134</v>
      </c>
      <c r="P11" s="288"/>
      <c r="Q11" s="296" t="s">
        <v>135</v>
      </c>
      <c r="R11" s="75" t="s">
        <v>136</v>
      </c>
      <c r="S11" s="287" t="s">
        <v>137</v>
      </c>
      <c r="T11" s="278" t="s">
        <v>102</v>
      </c>
      <c r="U11" s="2" t="str">
        <f>VLOOKUP('IMPO TERR'!T11,'Matriz datos'!$J$2:$K$10,2,0)</f>
        <v>AV. AMERICO VESPUCIO 0350, QUILICURA</v>
      </c>
      <c r="V11" s="384" t="s">
        <v>138</v>
      </c>
      <c r="W11" s="66">
        <v>195216179</v>
      </c>
      <c r="X11" s="247" t="s">
        <v>139</v>
      </c>
      <c r="Y11" s="220" t="s">
        <v>140</v>
      </c>
      <c r="Z11" s="219">
        <v>2605106858</v>
      </c>
      <c r="AA11" s="219">
        <v>2605107743</v>
      </c>
      <c r="AB11" s="19">
        <v>46089.869884259257</v>
      </c>
      <c r="AC11" s="324">
        <v>46090</v>
      </c>
      <c r="AD11" s="213">
        <v>46085</v>
      </c>
      <c r="AE11" s="5">
        <v>4090180066</v>
      </c>
      <c r="AF11" s="23">
        <v>46090</v>
      </c>
      <c r="AG11" s="46">
        <v>46091</v>
      </c>
      <c r="AH11" s="46">
        <v>46092</v>
      </c>
      <c r="AI11" s="18">
        <v>141542</v>
      </c>
      <c r="AJ11" s="48">
        <v>25180000</v>
      </c>
      <c r="AK11" s="188">
        <v>857.58</v>
      </c>
      <c r="AL11" s="269"/>
    </row>
    <row r="12" spans="1:38" ht="24.75" customHeight="1">
      <c r="A12" s="227" t="s">
        <v>141</v>
      </c>
      <c r="B12" s="227">
        <v>180067</v>
      </c>
      <c r="C12" s="230" t="s">
        <v>39</v>
      </c>
      <c r="D12" s="5" t="s">
        <v>142</v>
      </c>
      <c r="E12" s="305">
        <v>46079</v>
      </c>
      <c r="F12" s="300" t="s">
        <v>116</v>
      </c>
      <c r="G12" s="300" t="s">
        <v>116</v>
      </c>
      <c r="H12" s="7"/>
      <c r="I12" s="4"/>
      <c r="J12" s="4"/>
      <c r="K12" s="3" t="s">
        <v>60</v>
      </c>
      <c r="L12" s="4" t="s">
        <v>45</v>
      </c>
      <c r="M12" s="4" t="s">
        <v>46</v>
      </c>
      <c r="N12" s="4" t="s">
        <v>47</v>
      </c>
      <c r="O12" s="3" t="s">
        <v>143</v>
      </c>
      <c r="P12" s="288"/>
      <c r="Q12" s="296"/>
      <c r="R12" s="75" t="s">
        <v>144</v>
      </c>
      <c r="S12" s="79" t="s">
        <v>145</v>
      </c>
      <c r="T12" s="278" t="s">
        <v>76</v>
      </c>
      <c r="U12" s="2" t="str">
        <f>VLOOKUP('IMPO TERR'!T12,'Matriz datos'!$J$2:$K$10,2,0)</f>
        <v>AV. PDTE. EDUARDO FREI 8301, QUILICURA</v>
      </c>
      <c r="V12" s="217" t="s">
        <v>146</v>
      </c>
      <c r="W12" s="384" t="s">
        <v>147</v>
      </c>
      <c r="X12" s="247" t="s">
        <v>148</v>
      </c>
      <c r="Y12" s="220" t="s">
        <v>149</v>
      </c>
      <c r="Z12" s="219">
        <v>2605100503</v>
      </c>
      <c r="AA12" s="219">
        <v>2605102001</v>
      </c>
      <c r="AB12" s="19">
        <v>46089.755486111113</v>
      </c>
      <c r="AC12" s="324" t="s">
        <v>150</v>
      </c>
      <c r="AD12" s="213">
        <v>46083</v>
      </c>
      <c r="AE12" s="5">
        <v>4090180067</v>
      </c>
      <c r="AF12" s="23">
        <v>46090</v>
      </c>
      <c r="AG12" s="34">
        <v>46090.659386574072</v>
      </c>
      <c r="AH12" s="42">
        <v>46090</v>
      </c>
      <c r="AI12" s="18">
        <v>141496</v>
      </c>
      <c r="AJ12" s="383">
        <v>24360000</v>
      </c>
      <c r="AK12" s="188">
        <v>857.58</v>
      </c>
      <c r="AL12" s="269"/>
    </row>
    <row r="13" spans="1:38" ht="24.75" customHeight="1">
      <c r="A13" s="227" t="s">
        <v>151</v>
      </c>
      <c r="B13" s="227">
        <v>180070</v>
      </c>
      <c r="C13" s="230" t="s">
        <v>39</v>
      </c>
      <c r="D13" s="4" t="s">
        <v>58</v>
      </c>
      <c r="E13" s="305">
        <v>46079</v>
      </c>
      <c r="F13" s="4"/>
      <c r="G13" s="4"/>
      <c r="H13" s="7"/>
      <c r="I13" s="4"/>
      <c r="J13" s="4"/>
      <c r="K13" s="3" t="s">
        <v>44</v>
      </c>
      <c r="L13" s="4" t="s">
        <v>61</v>
      </c>
      <c r="M13" s="4" t="s">
        <v>46</v>
      </c>
      <c r="N13" s="4" t="s">
        <v>47</v>
      </c>
      <c r="O13" s="3" t="s">
        <v>152</v>
      </c>
      <c r="P13" s="288"/>
      <c r="Q13" s="296" t="s">
        <v>99</v>
      </c>
      <c r="R13" s="74" t="s">
        <v>153</v>
      </c>
      <c r="S13" s="248" t="s">
        <v>154</v>
      </c>
      <c r="T13" s="278" t="s">
        <v>76</v>
      </c>
      <c r="U13" s="2" t="str">
        <f>VLOOKUP('IMPO TERR'!T13,'Matriz datos'!$J$2:$K$10,2,0)</f>
        <v>AV. PDTE. EDUARDO FREI 8301, QUILICURA</v>
      </c>
      <c r="V13" s="217" t="s">
        <v>155</v>
      </c>
      <c r="W13" s="385" t="s">
        <v>156</v>
      </c>
      <c r="X13" s="247" t="s">
        <v>157</v>
      </c>
      <c r="Y13" s="220" t="s">
        <v>158</v>
      </c>
      <c r="Z13" s="219">
        <v>2605106749</v>
      </c>
      <c r="AA13" s="219">
        <v>2605107710</v>
      </c>
      <c r="AB13" s="19">
        <v>46083.876631944448</v>
      </c>
      <c r="AC13" s="324">
        <v>46084</v>
      </c>
      <c r="AD13" s="213">
        <v>46085</v>
      </c>
      <c r="AE13" s="5">
        <v>4090180070</v>
      </c>
      <c r="AF13" s="23">
        <v>46085</v>
      </c>
      <c r="AG13" s="19">
        <v>46085.770775462966</v>
      </c>
      <c r="AH13" s="34">
        <v>46087.751863425925</v>
      </c>
      <c r="AI13" s="18"/>
      <c r="AJ13" s="383">
        <v>27110000</v>
      </c>
      <c r="AK13" s="188">
        <v>857.58</v>
      </c>
      <c r="AL13" s="269"/>
    </row>
    <row r="14" spans="1:38" ht="24.75" customHeight="1">
      <c r="A14" s="227" t="s">
        <v>159</v>
      </c>
      <c r="B14" s="227">
        <v>180072</v>
      </c>
      <c r="C14" s="230" t="s">
        <v>39</v>
      </c>
      <c r="D14" s="4" t="s">
        <v>58</v>
      </c>
      <c r="E14" s="305">
        <v>46079</v>
      </c>
      <c r="F14" s="4"/>
      <c r="G14" s="4"/>
      <c r="H14" s="7"/>
      <c r="I14" s="4"/>
      <c r="J14" s="4"/>
      <c r="K14" s="3" t="s">
        <v>44</v>
      </c>
      <c r="L14" s="4" t="s">
        <v>61</v>
      </c>
      <c r="M14" s="4" t="s">
        <v>46</v>
      </c>
      <c r="N14" s="4" t="s">
        <v>47</v>
      </c>
      <c r="O14" s="3" t="s">
        <v>160</v>
      </c>
      <c r="P14" s="288"/>
      <c r="Q14" s="296" t="s">
        <v>161</v>
      </c>
      <c r="R14" s="74" t="s">
        <v>162</v>
      </c>
      <c r="S14" s="286" t="s">
        <v>163</v>
      </c>
      <c r="T14" s="278" t="s">
        <v>76</v>
      </c>
      <c r="U14" s="2" t="str">
        <f>VLOOKUP('IMPO TERR'!T14,'Matriz datos'!$J$2:$K$10,2,0)</f>
        <v>AV. PDTE. EDUARDO FREI 8301, QUILICURA</v>
      </c>
      <c r="V14" s="217" t="s">
        <v>164</v>
      </c>
      <c r="W14" s="68" t="s">
        <v>165</v>
      </c>
      <c r="X14" s="247" t="s">
        <v>166</v>
      </c>
      <c r="Y14" s="220" t="s">
        <v>167</v>
      </c>
      <c r="Z14" s="219">
        <v>2605104506</v>
      </c>
      <c r="AA14" s="219">
        <v>2605105058</v>
      </c>
      <c r="AB14" s="19">
        <v>46084.793206018519</v>
      </c>
      <c r="AC14" s="324">
        <v>46085</v>
      </c>
      <c r="AD14" s="213">
        <v>46085</v>
      </c>
      <c r="AE14" s="5">
        <v>4090180072</v>
      </c>
      <c r="AF14" s="23">
        <v>46085</v>
      </c>
      <c r="AG14" s="19">
        <v>46085.747789351852</v>
      </c>
      <c r="AH14" s="42">
        <v>46091</v>
      </c>
      <c r="AI14" s="18"/>
      <c r="AJ14" s="383">
        <v>26210000</v>
      </c>
      <c r="AK14" s="188">
        <v>857.58</v>
      </c>
      <c r="AL14" s="269"/>
    </row>
    <row r="15" spans="1:38" ht="24.75" customHeight="1">
      <c r="A15" s="227" t="s">
        <v>168</v>
      </c>
      <c r="B15" s="227">
        <v>180073</v>
      </c>
      <c r="C15" s="230" t="s">
        <v>39</v>
      </c>
      <c r="D15" s="4" t="s">
        <v>58</v>
      </c>
      <c r="E15" s="305">
        <v>46079</v>
      </c>
      <c r="F15" s="4"/>
      <c r="G15" s="4"/>
      <c r="H15" s="7"/>
      <c r="I15" s="4"/>
      <c r="J15" s="4"/>
      <c r="K15" s="3" t="s">
        <v>44</v>
      </c>
      <c r="L15" s="4" t="s">
        <v>61</v>
      </c>
      <c r="M15" s="4" t="s">
        <v>46</v>
      </c>
      <c r="N15" s="4" t="s">
        <v>47</v>
      </c>
      <c r="O15" s="3" t="s">
        <v>169</v>
      </c>
      <c r="P15" s="288">
        <v>2026</v>
      </c>
      <c r="Q15" s="296" t="s">
        <v>170</v>
      </c>
      <c r="R15" s="74" t="s">
        <v>171</v>
      </c>
      <c r="S15" s="79" t="s">
        <v>172</v>
      </c>
      <c r="T15" s="278" t="s">
        <v>76</v>
      </c>
      <c r="U15" s="2" t="str">
        <f>VLOOKUP('IMPO TERR'!T15,'Matriz datos'!$J$2:$K$10,2,0)</f>
        <v>AV. PDTE. EDUARDO FREI 8301, QUILICURA</v>
      </c>
      <c r="V15" s="385" t="s">
        <v>173</v>
      </c>
      <c r="W15" s="68" t="s">
        <v>174</v>
      </c>
      <c r="X15" s="247" t="s">
        <v>175</v>
      </c>
      <c r="Y15" s="220" t="s">
        <v>176</v>
      </c>
      <c r="Z15" s="219">
        <v>2605103079</v>
      </c>
      <c r="AA15" s="219">
        <v>2605105078</v>
      </c>
      <c r="AB15" s="19">
        <v>46084.767557870371</v>
      </c>
      <c r="AC15" s="324">
        <v>46085</v>
      </c>
      <c r="AD15" s="213">
        <v>46083</v>
      </c>
      <c r="AE15" s="5">
        <v>4090180073</v>
      </c>
      <c r="AF15" s="23">
        <v>46085</v>
      </c>
      <c r="AG15" s="34">
        <v>46085.597418981481</v>
      </c>
      <c r="AH15" s="34">
        <v>46087.810104166667</v>
      </c>
      <c r="AI15" s="18"/>
      <c r="AJ15" s="383">
        <v>25670000</v>
      </c>
      <c r="AK15" s="188">
        <v>857.58</v>
      </c>
      <c r="AL15" s="269"/>
    </row>
    <row r="16" spans="1:38" ht="24.75" customHeight="1">
      <c r="A16" s="227" t="s">
        <v>177</v>
      </c>
      <c r="B16" s="227">
        <v>180074</v>
      </c>
      <c r="C16" s="230" t="s">
        <v>39</v>
      </c>
      <c r="D16" s="4" t="s">
        <v>58</v>
      </c>
      <c r="E16" s="305">
        <v>46079</v>
      </c>
      <c r="F16" s="300" t="s">
        <v>178</v>
      </c>
      <c r="G16" s="300" t="s">
        <v>178</v>
      </c>
      <c r="H16" s="7"/>
      <c r="I16" s="4"/>
      <c r="J16" s="4"/>
      <c r="K16" s="3" t="s">
        <v>44</v>
      </c>
      <c r="L16" s="4" t="s">
        <v>45</v>
      </c>
      <c r="M16" s="4" t="s">
        <v>46</v>
      </c>
      <c r="N16" s="4" t="s">
        <v>47</v>
      </c>
      <c r="O16" s="3" t="s">
        <v>179</v>
      </c>
      <c r="P16" s="288"/>
      <c r="Q16" s="297" t="s">
        <v>49</v>
      </c>
      <c r="R16" s="74" t="s">
        <v>180</v>
      </c>
      <c r="S16" s="286" t="s">
        <v>181</v>
      </c>
      <c r="T16" s="278" t="s">
        <v>76</v>
      </c>
      <c r="U16" s="2" t="str">
        <f>VLOOKUP('IMPO TERR'!T16,'Matriz datos'!$J$2:$K$10,2,0)</f>
        <v>AV. PDTE. EDUARDO FREI 8301, QUILICURA</v>
      </c>
      <c r="V16" s="217" t="s">
        <v>182</v>
      </c>
      <c r="W16" s="68"/>
      <c r="X16" s="247" t="s">
        <v>183</v>
      </c>
      <c r="Y16" s="220" t="s">
        <v>184</v>
      </c>
      <c r="Z16" s="219">
        <v>2605103668</v>
      </c>
      <c r="AA16" s="219">
        <v>2605105134</v>
      </c>
      <c r="AB16" s="19">
        <v>46087.570914351854</v>
      </c>
      <c r="AC16" s="324">
        <v>46088</v>
      </c>
      <c r="AD16" s="213">
        <v>46084</v>
      </c>
      <c r="AE16" s="5">
        <v>4090180074</v>
      </c>
      <c r="AF16" s="23">
        <v>46087</v>
      </c>
      <c r="AG16" s="19">
        <v>46088.563298611109</v>
      </c>
      <c r="AH16" s="34">
        <v>46088.638321759259</v>
      </c>
      <c r="AI16" s="18"/>
      <c r="AJ16" s="383">
        <v>24850000</v>
      </c>
      <c r="AK16" s="188">
        <v>857.58</v>
      </c>
      <c r="AL16" s="269"/>
    </row>
    <row r="17" spans="1:38" ht="24.75" customHeight="1">
      <c r="A17" s="227" t="s">
        <v>185</v>
      </c>
      <c r="B17" s="227">
        <v>180075</v>
      </c>
      <c r="C17" s="230" t="s">
        <v>39</v>
      </c>
      <c r="D17" s="5" t="s">
        <v>40</v>
      </c>
      <c r="E17" s="305">
        <v>46079</v>
      </c>
      <c r="F17" s="4"/>
      <c r="G17" s="4"/>
      <c r="H17" s="7"/>
      <c r="I17" s="4"/>
      <c r="J17" s="4"/>
      <c r="K17" s="3" t="s">
        <v>44</v>
      </c>
      <c r="L17" s="4" t="s">
        <v>45</v>
      </c>
      <c r="M17" s="4" t="s">
        <v>46</v>
      </c>
      <c r="N17" s="4" t="s">
        <v>47</v>
      </c>
      <c r="O17" s="3" t="s">
        <v>186</v>
      </c>
      <c r="P17" s="288"/>
      <c r="Q17" s="296"/>
      <c r="R17" s="74" t="s">
        <v>187</v>
      </c>
      <c r="S17" s="286" t="s">
        <v>187</v>
      </c>
      <c r="T17" s="278" t="s">
        <v>76</v>
      </c>
      <c r="U17" s="2" t="str">
        <f>VLOOKUP('IMPO TERR'!T17,'Matriz datos'!$J$2:$K$10,2,0)</f>
        <v>AV. PDTE. EDUARDO FREI 8301, QUILICURA</v>
      </c>
      <c r="V17" s="217" t="s">
        <v>188</v>
      </c>
      <c r="W17" s="68" t="s">
        <v>189</v>
      </c>
      <c r="X17" s="247" t="s">
        <v>190</v>
      </c>
      <c r="Y17" s="220" t="s">
        <v>191</v>
      </c>
      <c r="Z17" s="219">
        <v>2605102035</v>
      </c>
      <c r="AA17" s="219">
        <v>2605102626</v>
      </c>
      <c r="AB17" s="19">
        <v>46087.64466435185</v>
      </c>
      <c r="AC17" s="324">
        <v>46087</v>
      </c>
      <c r="AD17" s="213">
        <v>46083</v>
      </c>
      <c r="AE17" s="5">
        <v>4090180075</v>
      </c>
      <c r="AF17" s="23">
        <v>46087</v>
      </c>
      <c r="AG17" s="19">
        <v>46090.48064814815</v>
      </c>
      <c r="AH17" s="19">
        <v>46090.546446759261</v>
      </c>
      <c r="AI17" s="18"/>
      <c r="AJ17" s="383">
        <v>23250000</v>
      </c>
      <c r="AK17" s="188">
        <v>857.58</v>
      </c>
      <c r="AL17" s="269"/>
    </row>
    <row r="18" spans="1:38" ht="24.75" customHeight="1">
      <c r="A18" s="227" t="s">
        <v>192</v>
      </c>
      <c r="B18" s="227">
        <v>180109</v>
      </c>
      <c r="C18" s="230" t="s">
        <v>39</v>
      </c>
      <c r="D18" s="4" t="s">
        <v>58</v>
      </c>
      <c r="E18" s="305">
        <v>46080</v>
      </c>
      <c r="F18" s="4"/>
      <c r="G18" s="4"/>
      <c r="H18" s="7"/>
      <c r="I18" s="4"/>
      <c r="J18" s="4"/>
      <c r="K18" s="3" t="s">
        <v>44</v>
      </c>
      <c r="L18" s="4" t="s">
        <v>61</v>
      </c>
      <c r="M18" s="4" t="s">
        <v>46</v>
      </c>
      <c r="N18" s="4" t="s">
        <v>47</v>
      </c>
      <c r="O18" s="3" t="s">
        <v>193</v>
      </c>
      <c r="P18" s="288">
        <v>2026</v>
      </c>
      <c r="Q18" s="296" t="s">
        <v>170</v>
      </c>
      <c r="R18" s="74" t="s">
        <v>194</v>
      </c>
      <c r="S18" s="286" t="s">
        <v>195</v>
      </c>
      <c r="T18" s="278" t="s">
        <v>196</v>
      </c>
      <c r="U18" s="2" t="str">
        <f>VLOOKUP('IMPO TERR'!T18,'Matriz datos'!$J$2:$K$10,2,0)</f>
        <v>AV. EL PARRON 345, LA CISTERNA</v>
      </c>
      <c r="V18" s="217" t="s">
        <v>197</v>
      </c>
      <c r="W18" s="68"/>
      <c r="X18" s="247" t="s">
        <v>198</v>
      </c>
      <c r="Y18" s="220" t="s">
        <v>199</v>
      </c>
      <c r="Z18" s="219">
        <v>2605103273</v>
      </c>
      <c r="AA18" s="219">
        <v>2605104792</v>
      </c>
      <c r="AB18" s="19">
        <v>46087.402025462965</v>
      </c>
      <c r="AC18" s="324">
        <v>46087</v>
      </c>
      <c r="AD18" s="213">
        <v>46084</v>
      </c>
      <c r="AE18" s="5">
        <v>4090180109</v>
      </c>
      <c r="AF18" s="23">
        <v>46087</v>
      </c>
      <c r="AG18" s="34">
        <v>46087.777962962966</v>
      </c>
      <c r="AH18" s="42">
        <v>46091</v>
      </c>
      <c r="AI18" s="18"/>
      <c r="AJ18" s="383">
        <v>28760000</v>
      </c>
      <c r="AK18" s="188">
        <v>857.58</v>
      </c>
      <c r="AL18" s="269"/>
    </row>
    <row r="19" spans="1:38" ht="24.75" customHeight="1">
      <c r="A19" s="227" t="s">
        <v>200</v>
      </c>
      <c r="B19" s="227">
        <v>180110</v>
      </c>
      <c r="C19" s="230" t="s">
        <v>39</v>
      </c>
      <c r="D19" s="4" t="s">
        <v>58</v>
      </c>
      <c r="E19" s="305">
        <v>46080</v>
      </c>
      <c r="F19" s="4"/>
      <c r="G19" s="4"/>
      <c r="H19" s="7"/>
      <c r="I19" s="4"/>
      <c r="J19" s="4"/>
      <c r="K19" s="3" t="s">
        <v>44</v>
      </c>
      <c r="L19" s="4" t="s">
        <v>45</v>
      </c>
      <c r="M19" s="4" t="s">
        <v>46</v>
      </c>
      <c r="N19" s="4" t="s">
        <v>47</v>
      </c>
      <c r="O19" s="3" t="s">
        <v>201</v>
      </c>
      <c r="P19" s="288"/>
      <c r="Q19" s="296" t="s">
        <v>49</v>
      </c>
      <c r="R19" s="74" t="s">
        <v>202</v>
      </c>
      <c r="S19" s="248" t="s">
        <v>203</v>
      </c>
      <c r="T19" s="278" t="s">
        <v>76</v>
      </c>
      <c r="U19" s="2" t="str">
        <f>VLOOKUP('IMPO TERR'!T19,'Matriz datos'!$J$2:$K$10,2,0)</f>
        <v>AV. PDTE. EDUARDO FREI 8301, QUILICURA</v>
      </c>
      <c r="V19" s="217" t="s">
        <v>204</v>
      </c>
      <c r="W19" s="68" t="s">
        <v>205</v>
      </c>
      <c r="X19" s="247" t="s">
        <v>206</v>
      </c>
      <c r="Y19" s="220" t="s">
        <v>207</v>
      </c>
      <c r="Z19" s="219">
        <v>2605107269</v>
      </c>
      <c r="AA19" s="219">
        <v>2605110378</v>
      </c>
      <c r="AB19" s="19">
        <v>46086.751331018517</v>
      </c>
      <c r="AC19" s="324">
        <v>46087</v>
      </c>
      <c r="AD19" s="213">
        <v>46085</v>
      </c>
      <c r="AE19" s="5">
        <v>4090180110</v>
      </c>
      <c r="AF19" s="23">
        <v>46087</v>
      </c>
      <c r="AG19" s="34">
        <v>46087.745219907411</v>
      </c>
      <c r="AH19" s="34">
        <v>46087.807812500003</v>
      </c>
      <c r="AI19" s="18"/>
      <c r="AJ19" s="383">
        <v>24290000</v>
      </c>
      <c r="AK19" s="188">
        <v>857.58</v>
      </c>
      <c r="AL19" s="269"/>
    </row>
    <row r="20" spans="1:38" ht="24.75" customHeight="1">
      <c r="A20" s="187" t="s">
        <v>208</v>
      </c>
      <c r="B20" s="187">
        <v>180112</v>
      </c>
      <c r="C20" s="230" t="s">
        <v>39</v>
      </c>
      <c r="D20" s="2" t="s">
        <v>58</v>
      </c>
      <c r="E20" s="189">
        <v>46080</v>
      </c>
      <c r="K20" s="3" t="s">
        <v>44</v>
      </c>
      <c r="L20" s="2" t="s">
        <v>45</v>
      </c>
      <c r="M20" s="4" t="s">
        <v>46</v>
      </c>
      <c r="N20" s="4" t="s">
        <v>47</v>
      </c>
      <c r="O20" s="3" t="s">
        <v>209</v>
      </c>
      <c r="P20" s="288"/>
      <c r="Q20" s="296" t="s">
        <v>49</v>
      </c>
      <c r="R20" s="74" t="s">
        <v>210</v>
      </c>
      <c r="S20" s="248" t="s">
        <v>211</v>
      </c>
      <c r="T20" s="278" t="s">
        <v>102</v>
      </c>
      <c r="U20" s="2" t="str">
        <f>VLOOKUP('IMPO TERR'!T20,'Matriz datos'!$J$2:$K$10,2,0)</f>
        <v>AV. AMERICO VESPUCIO 0350, QUILICURA</v>
      </c>
      <c r="V20" s="384" t="s">
        <v>212</v>
      </c>
      <c r="W20" s="66" t="s">
        <v>213</v>
      </c>
      <c r="X20" s="247" t="s">
        <v>214</v>
      </c>
      <c r="Y20" s="220" t="s">
        <v>215</v>
      </c>
      <c r="Z20" s="219">
        <v>2605107217</v>
      </c>
      <c r="AA20" s="219">
        <v>2605110317</v>
      </c>
      <c r="AB20" s="386">
        <v>46087.459421296298</v>
      </c>
      <c r="AC20" s="324">
        <v>46087</v>
      </c>
      <c r="AD20" s="213">
        <v>46085</v>
      </c>
      <c r="AE20" s="5">
        <v>4090180112</v>
      </c>
      <c r="AF20" s="23">
        <v>46087</v>
      </c>
      <c r="AG20" s="35">
        <v>46087.787546296298</v>
      </c>
      <c r="AH20" s="35">
        <v>46088.511770833335</v>
      </c>
      <c r="AI20" s="384"/>
      <c r="AJ20" s="383">
        <v>25920000</v>
      </c>
      <c r="AK20" s="188">
        <v>857.58</v>
      </c>
    </row>
    <row r="21" spans="1:38" ht="24.75" customHeight="1">
      <c r="A21" s="187" t="s">
        <v>216</v>
      </c>
      <c r="B21" s="187">
        <v>180114</v>
      </c>
      <c r="C21" s="230" t="s">
        <v>39</v>
      </c>
      <c r="D21" s="2" t="s">
        <v>58</v>
      </c>
      <c r="E21" s="189">
        <v>46080</v>
      </c>
      <c r="K21" s="3" t="s">
        <v>60</v>
      </c>
      <c r="L21" s="2" t="s">
        <v>45</v>
      </c>
      <c r="M21" s="4" t="s">
        <v>46</v>
      </c>
      <c r="N21" s="4" t="s">
        <v>47</v>
      </c>
      <c r="O21" s="3" t="s">
        <v>217</v>
      </c>
      <c r="P21" s="288"/>
      <c r="Q21" s="296" t="s">
        <v>218</v>
      </c>
      <c r="R21" s="74" t="s">
        <v>219</v>
      </c>
      <c r="S21" s="286" t="s">
        <v>220</v>
      </c>
      <c r="T21" s="278" t="s">
        <v>196</v>
      </c>
      <c r="U21" s="2" t="str">
        <f>VLOOKUP('IMPO TERR'!T21,'Matriz datos'!$J$2:$K$10,2,0)</f>
        <v>AV. EL PARRON 345, LA CISTERNA</v>
      </c>
      <c r="V21" s="384" t="s">
        <v>221</v>
      </c>
      <c r="W21" s="66" t="s">
        <v>222</v>
      </c>
      <c r="X21" s="247" t="s">
        <v>223</v>
      </c>
      <c r="Y21" s="220" t="s">
        <v>224</v>
      </c>
      <c r="Z21" s="219">
        <v>2605107322</v>
      </c>
      <c r="AA21" s="219">
        <v>2605110277</v>
      </c>
      <c r="AB21" s="386">
        <v>46087.438958333332</v>
      </c>
      <c r="AC21" s="324">
        <v>46087</v>
      </c>
      <c r="AD21" s="213">
        <v>46085</v>
      </c>
      <c r="AE21" s="5">
        <v>4090180114</v>
      </c>
      <c r="AF21" s="23">
        <v>46087</v>
      </c>
      <c r="AG21" s="35">
        <v>46087.776701388888</v>
      </c>
      <c r="AH21" s="35">
        <v>46088.412118055552</v>
      </c>
      <c r="AI21" s="384"/>
      <c r="AJ21" s="383">
        <v>25840000</v>
      </c>
      <c r="AK21" s="188">
        <v>857.58</v>
      </c>
    </row>
    <row r="22" spans="1:38" ht="24.75" customHeight="1">
      <c r="A22" s="187" t="s">
        <v>225</v>
      </c>
      <c r="B22" s="187">
        <v>180115</v>
      </c>
      <c r="C22" s="230" t="s">
        <v>39</v>
      </c>
      <c r="D22" s="5" t="s">
        <v>40</v>
      </c>
      <c r="E22" s="189">
        <v>46080</v>
      </c>
      <c r="K22" s="3" t="s">
        <v>44</v>
      </c>
      <c r="L22" s="2" t="s">
        <v>61</v>
      </c>
      <c r="M22" s="4" t="s">
        <v>46</v>
      </c>
      <c r="N22" s="4" t="s">
        <v>47</v>
      </c>
      <c r="O22" s="3" t="s">
        <v>226</v>
      </c>
      <c r="P22" s="288">
        <v>2026</v>
      </c>
      <c r="Q22" s="296" t="s">
        <v>170</v>
      </c>
      <c r="R22" s="74" t="s">
        <v>227</v>
      </c>
      <c r="S22" s="387" t="s">
        <v>228</v>
      </c>
      <c r="T22" s="278" t="s">
        <v>76</v>
      </c>
      <c r="U22" s="2" t="str">
        <f>VLOOKUP('IMPO TERR'!T22,'Matriz datos'!$J$2:$K$10,2,0)</f>
        <v>AV. PDTE. EDUARDO FREI 8301, QUILICURA</v>
      </c>
      <c r="V22" s="384" t="s">
        <v>229</v>
      </c>
      <c r="W22" s="66" t="s">
        <v>230</v>
      </c>
      <c r="X22" s="247" t="s">
        <v>231</v>
      </c>
      <c r="Y22" s="220" t="s">
        <v>232</v>
      </c>
      <c r="Z22" s="219">
        <v>2605103977</v>
      </c>
      <c r="AA22" s="219">
        <v>2605104765</v>
      </c>
      <c r="AB22" s="386">
        <v>46088.768761574072</v>
      </c>
      <c r="AC22" s="74" t="s">
        <v>233</v>
      </c>
      <c r="AD22" s="213">
        <v>46084</v>
      </c>
      <c r="AE22" s="5">
        <v>4090180115</v>
      </c>
      <c r="AF22" s="23">
        <v>46090</v>
      </c>
      <c r="AG22" s="19">
        <v>46090.528437499997</v>
      </c>
      <c r="AH22" s="388">
        <v>46092</v>
      </c>
      <c r="AI22" s="384">
        <v>141491</v>
      </c>
      <c r="AJ22" s="383">
        <v>25470000</v>
      </c>
      <c r="AK22" s="188">
        <v>857.58</v>
      </c>
    </row>
    <row r="23" spans="1:38" ht="24.75" customHeight="1">
      <c r="A23" s="187" t="s">
        <v>234</v>
      </c>
      <c r="B23" s="187">
        <v>180133</v>
      </c>
      <c r="C23" s="230" t="s">
        <v>39</v>
      </c>
      <c r="D23" s="43" t="s">
        <v>40</v>
      </c>
      <c r="E23" s="189">
        <v>46083</v>
      </c>
      <c r="G23" s="2" t="s">
        <v>235</v>
      </c>
      <c r="K23" s="3" t="s">
        <v>60</v>
      </c>
      <c r="L23" s="2" t="s">
        <v>45</v>
      </c>
      <c r="M23" s="4" t="s">
        <v>46</v>
      </c>
      <c r="N23" s="4" t="s">
        <v>47</v>
      </c>
      <c r="O23" s="3" t="s">
        <v>236</v>
      </c>
      <c r="P23" s="288"/>
      <c r="Q23" s="296" t="s">
        <v>237</v>
      </c>
      <c r="R23" s="389" t="s">
        <v>238</v>
      </c>
      <c r="S23" s="30" t="s">
        <v>239</v>
      </c>
      <c r="T23" s="278" t="s">
        <v>102</v>
      </c>
      <c r="U23" s="281" t="s">
        <v>240</v>
      </c>
      <c r="V23" s="384" t="s">
        <v>241</v>
      </c>
      <c r="W23" s="66" t="s">
        <v>242</v>
      </c>
      <c r="X23" s="247" t="s">
        <v>243</v>
      </c>
      <c r="Y23" s="220" t="s">
        <v>244</v>
      </c>
      <c r="Z23" s="219">
        <v>2605108712</v>
      </c>
      <c r="AA23" s="219">
        <v>2605110144</v>
      </c>
      <c r="AB23" s="386">
        <v>46089.863599537035</v>
      </c>
      <c r="AC23" s="390">
        <v>46090</v>
      </c>
      <c r="AD23" s="213">
        <v>46085</v>
      </c>
      <c r="AE23" s="5">
        <v>4090180133</v>
      </c>
      <c r="AF23" s="23">
        <v>46090</v>
      </c>
      <c r="AG23" s="46">
        <v>46090</v>
      </c>
      <c r="AH23" s="388">
        <v>46090</v>
      </c>
      <c r="AI23" s="384">
        <v>141489</v>
      </c>
      <c r="AJ23" s="383">
        <v>16870000</v>
      </c>
      <c r="AK23" s="188">
        <v>857.58</v>
      </c>
    </row>
    <row r="24" spans="1:38" ht="24.75" customHeight="1">
      <c r="A24" s="187" t="s">
        <v>245</v>
      </c>
      <c r="B24" s="187">
        <v>180136</v>
      </c>
      <c r="C24" s="230" t="s">
        <v>39</v>
      </c>
      <c r="D24" s="2" t="s">
        <v>58</v>
      </c>
      <c r="E24" s="189">
        <v>46083</v>
      </c>
      <c r="K24" s="3" t="s">
        <v>60</v>
      </c>
      <c r="L24" s="2" t="s">
        <v>45</v>
      </c>
      <c r="M24" s="4" t="s">
        <v>46</v>
      </c>
      <c r="N24" s="4" t="s">
        <v>47</v>
      </c>
      <c r="O24" s="3" t="s">
        <v>246</v>
      </c>
      <c r="P24" s="288"/>
      <c r="Q24" s="296" t="s">
        <v>247</v>
      </c>
      <c r="R24" s="74" t="s">
        <v>248</v>
      </c>
      <c r="S24" s="248" t="s">
        <v>249</v>
      </c>
      <c r="T24" s="278" t="s">
        <v>102</v>
      </c>
      <c r="U24" s="2" t="str">
        <f>VLOOKUP('IMPO TERR'!T24,'Matriz datos'!$J$2:$K$10,2,0)</f>
        <v>AV. AMERICO VESPUCIO 0350, QUILICURA</v>
      </c>
      <c r="V24" s="384" t="s">
        <v>250</v>
      </c>
      <c r="W24" s="66" t="s">
        <v>251</v>
      </c>
      <c r="X24" s="247" t="s">
        <v>252</v>
      </c>
      <c r="Y24" s="220" t="s">
        <v>253</v>
      </c>
      <c r="Z24" s="219">
        <v>2605109923</v>
      </c>
      <c r="AA24" s="219">
        <v>2605112548</v>
      </c>
      <c r="AB24" s="386">
        <v>46086.937673611108</v>
      </c>
      <c r="AC24" s="324">
        <v>46087</v>
      </c>
      <c r="AD24" s="213">
        <v>46086</v>
      </c>
      <c r="AE24" s="5">
        <v>4090180136</v>
      </c>
      <c r="AF24" s="23">
        <v>46087</v>
      </c>
      <c r="AG24" s="35">
        <v>46087.776747685188</v>
      </c>
      <c r="AH24" s="35">
        <v>46088.445532407408</v>
      </c>
      <c r="AI24" s="384"/>
      <c r="AJ24" s="383">
        <v>25980000</v>
      </c>
      <c r="AK24" s="188">
        <v>857.58</v>
      </c>
    </row>
    <row r="25" spans="1:38" ht="24.75" customHeight="1">
      <c r="A25" s="187" t="s">
        <v>254</v>
      </c>
      <c r="B25" s="187">
        <v>180137</v>
      </c>
      <c r="C25" s="230" t="s">
        <v>39</v>
      </c>
      <c r="D25" s="2" t="s">
        <v>58</v>
      </c>
      <c r="E25" s="189">
        <v>46083</v>
      </c>
      <c r="K25" s="3" t="s">
        <v>44</v>
      </c>
      <c r="L25" s="2" t="s">
        <v>45</v>
      </c>
      <c r="M25" s="4" t="s">
        <v>46</v>
      </c>
      <c r="N25" s="4" t="s">
        <v>47</v>
      </c>
      <c r="O25" s="3" t="s">
        <v>255</v>
      </c>
      <c r="P25" s="288">
        <v>32433</v>
      </c>
      <c r="Q25" s="296" t="s">
        <v>49</v>
      </c>
      <c r="R25" s="74" t="s">
        <v>256</v>
      </c>
      <c r="S25" s="286" t="s">
        <v>257</v>
      </c>
      <c r="T25" s="278" t="s">
        <v>76</v>
      </c>
      <c r="U25" s="2" t="str">
        <f>VLOOKUP('IMPO TERR'!T25,'Matriz datos'!$J$2:$K$10,2,0)</f>
        <v>AV. PDTE. EDUARDO FREI 8301, QUILICURA</v>
      </c>
      <c r="V25" s="384" t="s">
        <v>258</v>
      </c>
      <c r="W25" s="362" t="s">
        <v>259</v>
      </c>
      <c r="X25" s="247" t="s">
        <v>260</v>
      </c>
      <c r="Y25" s="220" t="s">
        <v>261</v>
      </c>
      <c r="Z25" s="219">
        <v>2605106196</v>
      </c>
      <c r="AA25" s="219">
        <v>2605107984</v>
      </c>
      <c r="AB25" s="19">
        <v>46082.574502314812</v>
      </c>
      <c r="AC25" s="74" t="s">
        <v>262</v>
      </c>
      <c r="AD25" s="213">
        <v>46085</v>
      </c>
      <c r="AE25" s="5">
        <v>4090180137</v>
      </c>
      <c r="AF25" s="23">
        <v>46085</v>
      </c>
      <c r="AG25" s="34">
        <v>46085.756076388891</v>
      </c>
      <c r="AH25" s="34">
        <v>46085.835439814815</v>
      </c>
      <c r="AI25" s="18"/>
      <c r="AJ25" s="383">
        <v>24410000</v>
      </c>
      <c r="AK25" s="188">
        <v>857.58</v>
      </c>
    </row>
    <row r="26" spans="1:38" ht="24.75" customHeight="1">
      <c r="A26" s="187" t="s">
        <v>263</v>
      </c>
      <c r="B26" s="187">
        <v>180139</v>
      </c>
      <c r="C26" s="230" t="s">
        <v>39</v>
      </c>
      <c r="D26" s="5" t="s">
        <v>142</v>
      </c>
      <c r="E26" s="189">
        <v>46083</v>
      </c>
      <c r="K26" s="3" t="s">
        <v>44</v>
      </c>
      <c r="L26" s="2" t="s">
        <v>45</v>
      </c>
      <c r="M26" s="4" t="s">
        <v>46</v>
      </c>
      <c r="N26" s="4" t="s">
        <v>47</v>
      </c>
      <c r="O26" s="3" t="s">
        <v>264</v>
      </c>
      <c r="P26" s="288"/>
      <c r="Q26" s="296" t="s">
        <v>49</v>
      </c>
      <c r="R26" s="389" t="s">
        <v>265</v>
      </c>
      <c r="S26" s="30" t="s">
        <v>266</v>
      </c>
      <c r="T26" s="278" t="s">
        <v>76</v>
      </c>
      <c r="U26" s="2" t="str">
        <f>VLOOKUP('IMPO TERR'!T26,'Matriz datos'!$J$2:$K$10,2,0)</f>
        <v>AV. PDTE. EDUARDO FREI 8301, QUILICURA</v>
      </c>
      <c r="V26" s="391" t="s">
        <v>267</v>
      </c>
      <c r="W26" s="384" t="s">
        <v>268</v>
      </c>
      <c r="X26" s="247" t="s">
        <v>269</v>
      </c>
      <c r="Y26" s="220" t="s">
        <v>270</v>
      </c>
      <c r="Z26" s="219">
        <v>2605109152</v>
      </c>
      <c r="AA26" s="219">
        <v>2605110090</v>
      </c>
      <c r="AB26" s="386">
        <v>46089.475370370368</v>
      </c>
      <c r="AC26" s="324">
        <v>46090</v>
      </c>
      <c r="AD26" s="213">
        <v>46086</v>
      </c>
      <c r="AE26" s="5">
        <v>4090180139</v>
      </c>
      <c r="AF26" s="23">
        <v>46090</v>
      </c>
      <c r="AG26" s="270">
        <v>46090</v>
      </c>
      <c r="AH26" s="388">
        <v>46091</v>
      </c>
      <c r="AI26" s="18">
        <v>141504</v>
      </c>
      <c r="AJ26" s="383">
        <v>25980000</v>
      </c>
      <c r="AK26" s="188">
        <v>857.58</v>
      </c>
    </row>
    <row r="27" spans="1:38" ht="24.75" customHeight="1">
      <c r="A27" s="187" t="s">
        <v>271</v>
      </c>
      <c r="B27" s="187">
        <v>180145</v>
      </c>
      <c r="C27" s="230" t="s">
        <v>39</v>
      </c>
      <c r="D27" s="2" t="s">
        <v>58</v>
      </c>
      <c r="E27" s="189">
        <v>46083</v>
      </c>
      <c r="K27" s="3" t="s">
        <v>44</v>
      </c>
      <c r="L27" s="2" t="s">
        <v>45</v>
      </c>
      <c r="M27" s="4" t="s">
        <v>46</v>
      </c>
      <c r="N27" s="4" t="s">
        <v>47</v>
      </c>
      <c r="O27" s="3" t="s">
        <v>272</v>
      </c>
      <c r="P27" s="288"/>
      <c r="Q27" s="296" t="s">
        <v>49</v>
      </c>
      <c r="R27" s="74" t="s">
        <v>273</v>
      </c>
      <c r="S27" s="248" t="s">
        <v>274</v>
      </c>
      <c r="T27" s="278" t="s">
        <v>76</v>
      </c>
      <c r="U27" s="9" t="str">
        <f>VLOOKUP('IMPO TERR'!T27,'Matriz datos'!$J$2:$K$10,2,0)</f>
        <v>AV. PDTE. EDUARDO FREI 8301, QUILICURA</v>
      </c>
      <c r="V27" s="384" t="s">
        <v>275</v>
      </c>
      <c r="W27" s="363" t="s">
        <v>276</v>
      </c>
      <c r="X27" s="247" t="s">
        <v>277</v>
      </c>
      <c r="Y27" s="220" t="s">
        <v>278</v>
      </c>
      <c r="Z27" s="219">
        <v>2605109255</v>
      </c>
      <c r="AA27" s="219">
        <v>2605110037</v>
      </c>
      <c r="AB27" s="386">
        <v>46087.548402777778</v>
      </c>
      <c r="AC27" s="390">
        <v>46088</v>
      </c>
      <c r="AD27" s="213">
        <v>46086</v>
      </c>
      <c r="AE27" s="5">
        <v>4090180145</v>
      </c>
      <c r="AF27" s="23">
        <v>46088</v>
      </c>
      <c r="AG27" s="35">
        <v>46088.561828703707</v>
      </c>
      <c r="AH27" s="35">
        <v>46088.650856481479</v>
      </c>
      <c r="AI27" s="384"/>
      <c r="AJ27" s="383">
        <v>24010000</v>
      </c>
      <c r="AK27" s="188">
        <v>857.58</v>
      </c>
    </row>
    <row r="28" spans="1:38" ht="24.75" customHeight="1">
      <c r="A28" s="187" t="s">
        <v>279</v>
      </c>
      <c r="B28" s="187">
        <v>180146</v>
      </c>
      <c r="C28" s="230" t="s">
        <v>39</v>
      </c>
      <c r="D28" s="2" t="s">
        <v>58</v>
      </c>
      <c r="E28" s="189">
        <v>46083</v>
      </c>
      <c r="K28" s="3" t="s">
        <v>44</v>
      </c>
      <c r="L28" s="2" t="s">
        <v>280</v>
      </c>
      <c r="M28" s="4" t="s">
        <v>46</v>
      </c>
      <c r="N28" s="4" t="s">
        <v>47</v>
      </c>
      <c r="O28" s="3" t="s">
        <v>281</v>
      </c>
      <c r="P28" s="288"/>
      <c r="Q28" s="296" t="s">
        <v>282</v>
      </c>
      <c r="R28" s="74" t="s">
        <v>283</v>
      </c>
      <c r="S28" s="248" t="s">
        <v>284</v>
      </c>
      <c r="T28" s="278" t="s">
        <v>76</v>
      </c>
      <c r="U28" s="2" t="str">
        <f>VLOOKUP('IMPO TERR'!T28,'Matriz datos'!$J$2:$K$10,2,0)</f>
        <v>AV. PDTE. EDUARDO FREI 8301, QUILICURA</v>
      </c>
      <c r="V28" s="392" t="s">
        <v>285</v>
      </c>
      <c r="W28" s="66" t="s">
        <v>286</v>
      </c>
      <c r="X28" s="247" t="s">
        <v>287</v>
      </c>
      <c r="Y28" s="220" t="s">
        <v>288</v>
      </c>
      <c r="Z28" s="219">
        <v>2605109265</v>
      </c>
      <c r="AA28" s="219">
        <v>2605110562</v>
      </c>
      <c r="AB28" s="19">
        <v>46084.560254629629</v>
      </c>
      <c r="AC28" s="324">
        <v>46085</v>
      </c>
      <c r="AD28" s="213">
        <v>46086</v>
      </c>
      <c r="AE28" s="5">
        <v>4090180146</v>
      </c>
      <c r="AF28" s="23">
        <v>46086</v>
      </c>
      <c r="AG28" s="35">
        <v>46086.739374999997</v>
      </c>
      <c r="AH28" s="34">
        <v>46086.837060185186</v>
      </c>
      <c r="AI28" s="18"/>
      <c r="AJ28" s="384"/>
      <c r="AK28" s="188">
        <v>857.58</v>
      </c>
    </row>
    <row r="29" spans="1:38" ht="24.75" customHeight="1">
      <c r="A29" s="187" t="s">
        <v>289</v>
      </c>
      <c r="B29" s="187">
        <v>180147</v>
      </c>
      <c r="C29" s="230" t="s">
        <v>39</v>
      </c>
      <c r="D29" s="2" t="s">
        <v>58</v>
      </c>
      <c r="E29" s="189">
        <v>46083</v>
      </c>
      <c r="K29" s="3" t="s">
        <v>44</v>
      </c>
      <c r="L29" s="2" t="s">
        <v>280</v>
      </c>
      <c r="M29" s="4" t="s">
        <v>46</v>
      </c>
      <c r="N29" s="4" t="s">
        <v>47</v>
      </c>
      <c r="O29" s="3" t="s">
        <v>290</v>
      </c>
      <c r="P29" s="288"/>
      <c r="Q29" s="296" t="s">
        <v>291</v>
      </c>
      <c r="R29" s="74" t="s">
        <v>292</v>
      </c>
      <c r="S29" s="286" t="s">
        <v>293</v>
      </c>
      <c r="T29" s="278" t="s">
        <v>76</v>
      </c>
      <c r="U29" s="2" t="str">
        <f>VLOOKUP('IMPO TERR'!T29,'Matriz datos'!$J$2:$K$10,2,0)</f>
        <v>AV. PDTE. EDUARDO FREI 8301, QUILICURA</v>
      </c>
      <c r="V29" s="385" t="s">
        <v>294</v>
      </c>
      <c r="W29" s="66" t="s">
        <v>295</v>
      </c>
      <c r="X29" s="247" t="s">
        <v>296</v>
      </c>
      <c r="Y29" s="220" t="s">
        <v>297</v>
      </c>
      <c r="Z29" s="219">
        <v>2605105649</v>
      </c>
      <c r="AA29" s="219">
        <v>2605107389</v>
      </c>
      <c r="AB29" s="19">
        <v>46084.080914351849</v>
      </c>
      <c r="AC29" s="324">
        <v>46084</v>
      </c>
      <c r="AD29" s="213">
        <v>46085</v>
      </c>
      <c r="AE29" s="5">
        <v>4090180147</v>
      </c>
      <c r="AF29" s="23">
        <v>46085</v>
      </c>
      <c r="AG29" s="34">
        <v>46085.672048611108</v>
      </c>
      <c r="AH29" s="386">
        <v>46088.467731481483</v>
      </c>
      <c r="AI29" s="18"/>
      <c r="AJ29" s="384"/>
      <c r="AK29" s="188">
        <v>857.58</v>
      </c>
    </row>
    <row r="30" spans="1:38" ht="24.75" customHeight="1">
      <c r="A30" s="187" t="s">
        <v>298</v>
      </c>
      <c r="B30" s="187">
        <v>180152</v>
      </c>
      <c r="C30" s="231" t="s">
        <v>39</v>
      </c>
      <c r="D30" s="43" t="s">
        <v>142</v>
      </c>
      <c r="E30" s="189">
        <v>46083</v>
      </c>
      <c r="K30" s="3" t="s">
        <v>44</v>
      </c>
      <c r="L30" s="2" t="s">
        <v>45</v>
      </c>
      <c r="M30" s="4" t="s">
        <v>46</v>
      </c>
      <c r="N30" s="4" t="s">
        <v>47</v>
      </c>
      <c r="O30" s="3" t="s">
        <v>299</v>
      </c>
      <c r="P30" s="288"/>
      <c r="Q30" s="296" t="s">
        <v>49</v>
      </c>
      <c r="R30" s="389" t="s">
        <v>300</v>
      </c>
      <c r="S30" s="387" t="s">
        <v>301</v>
      </c>
      <c r="T30" s="278" t="s">
        <v>76</v>
      </c>
      <c r="U30" s="2" t="str">
        <f>VLOOKUP('IMPO TERR'!T30,'Matriz datos'!$J$2:$K$10,2,0)</f>
        <v>AV. PDTE. EDUARDO FREI 8301, QUILICURA</v>
      </c>
      <c r="V30" s="384" t="s">
        <v>302</v>
      </c>
      <c r="W30" s="66" t="s">
        <v>303</v>
      </c>
      <c r="X30" s="247" t="s">
        <v>304</v>
      </c>
      <c r="Y30" s="220" t="s">
        <v>305</v>
      </c>
      <c r="Z30" s="219">
        <v>2605109941</v>
      </c>
      <c r="AA30" s="219">
        <v>2605112533</v>
      </c>
      <c r="AB30" s="388">
        <v>46091</v>
      </c>
      <c r="AC30" s="390">
        <v>46092</v>
      </c>
      <c r="AD30" s="213">
        <v>46086</v>
      </c>
      <c r="AE30" s="5">
        <v>4090180152</v>
      </c>
      <c r="AF30" s="23">
        <v>46091</v>
      </c>
      <c r="AG30" s="46">
        <v>46092</v>
      </c>
      <c r="AH30" s="388">
        <v>46092</v>
      </c>
      <c r="AI30" s="384">
        <v>141548</v>
      </c>
      <c r="AJ30" s="384"/>
      <c r="AK30" s="188">
        <v>857.58</v>
      </c>
    </row>
    <row r="31" spans="1:38" ht="24.75" customHeight="1">
      <c r="A31" s="187" t="s">
        <v>306</v>
      </c>
      <c r="B31" s="187">
        <v>180153</v>
      </c>
      <c r="C31" s="230" t="s">
        <v>39</v>
      </c>
      <c r="D31" s="2" t="s">
        <v>58</v>
      </c>
      <c r="E31" s="189">
        <v>46083</v>
      </c>
      <c r="K31" s="3" t="s">
        <v>60</v>
      </c>
      <c r="L31" s="2" t="s">
        <v>45</v>
      </c>
      <c r="M31" s="4" t="s">
        <v>46</v>
      </c>
      <c r="N31" s="4" t="s">
        <v>47</v>
      </c>
      <c r="O31" s="3" t="s">
        <v>307</v>
      </c>
      <c r="P31" s="288"/>
      <c r="Q31" s="296" t="s">
        <v>49</v>
      </c>
      <c r="R31" s="389" t="s">
        <v>308</v>
      </c>
      <c r="S31" s="30" t="s">
        <v>309</v>
      </c>
      <c r="T31" s="278" t="s">
        <v>102</v>
      </c>
      <c r="U31" s="2" t="str">
        <f>VLOOKUP('IMPO TERR'!T31,'Matriz datos'!$J$2:$K$10,2,0)</f>
        <v>AV. AMERICO VESPUCIO 0350, QUILICURA</v>
      </c>
      <c r="V31" s="384" t="s">
        <v>310</v>
      </c>
      <c r="W31" s="66" t="s">
        <v>311</v>
      </c>
      <c r="X31" s="247" t="s">
        <v>312</v>
      </c>
      <c r="Y31" s="220" t="s">
        <v>313</v>
      </c>
      <c r="Z31" s="219">
        <v>2605105906</v>
      </c>
      <c r="AA31" s="219">
        <v>2605107383</v>
      </c>
      <c r="AB31" s="386">
        <v>46087.730578703704</v>
      </c>
      <c r="AC31" s="390">
        <v>46088</v>
      </c>
      <c r="AD31" s="213">
        <v>46085</v>
      </c>
      <c r="AE31" s="5">
        <v>4090180153</v>
      </c>
      <c r="AF31" s="23">
        <v>46088</v>
      </c>
      <c r="AG31" s="386">
        <v>46088.573564814818</v>
      </c>
      <c r="AH31" s="386">
        <v>46088.648101851853</v>
      </c>
      <c r="AI31" s="384"/>
      <c r="AJ31" s="384"/>
      <c r="AK31" s="188">
        <v>857.58</v>
      </c>
    </row>
    <row r="32" spans="1:38" ht="24.75" customHeight="1">
      <c r="A32" s="187" t="s">
        <v>314</v>
      </c>
      <c r="B32" s="187">
        <v>180154</v>
      </c>
      <c r="C32" s="230" t="s">
        <v>39</v>
      </c>
      <c r="D32" s="5" t="s">
        <v>142</v>
      </c>
      <c r="E32" s="189">
        <v>46083</v>
      </c>
      <c r="K32" s="3" t="s">
        <v>60</v>
      </c>
      <c r="L32" s="2" t="s">
        <v>45</v>
      </c>
      <c r="M32" s="4" t="s">
        <v>46</v>
      </c>
      <c r="N32" s="4" t="s">
        <v>47</v>
      </c>
      <c r="O32" s="3" t="s">
        <v>315</v>
      </c>
      <c r="P32" s="288"/>
      <c r="Q32" s="296" t="s">
        <v>49</v>
      </c>
      <c r="R32" s="389" t="s">
        <v>316</v>
      </c>
      <c r="S32" s="387" t="s">
        <v>317</v>
      </c>
      <c r="T32" s="278" t="s">
        <v>102</v>
      </c>
      <c r="U32" s="2" t="str">
        <f>VLOOKUP('IMPO TERR'!T32,'Matriz datos'!$J$2:$K$10,2,0)</f>
        <v>AV. AMERICO VESPUCIO 0350, QUILICURA</v>
      </c>
      <c r="V32" s="384" t="s">
        <v>318</v>
      </c>
      <c r="W32" s="66" t="s">
        <v>319</v>
      </c>
      <c r="X32" s="247" t="s">
        <v>320</v>
      </c>
      <c r="Y32" s="220" t="s">
        <v>321</v>
      </c>
      <c r="Z32" s="219">
        <v>2605109424</v>
      </c>
      <c r="AA32" s="219">
        <v>2605110377</v>
      </c>
      <c r="AB32" s="19">
        <v>46089.969363425924</v>
      </c>
      <c r="AC32" s="324">
        <v>46090</v>
      </c>
      <c r="AD32" s="213">
        <v>46086</v>
      </c>
      <c r="AE32" s="5">
        <v>4090180154</v>
      </c>
      <c r="AF32" s="23">
        <v>46090</v>
      </c>
      <c r="AG32" s="46">
        <v>46090</v>
      </c>
      <c r="AH32" s="46">
        <v>46090</v>
      </c>
      <c r="AI32" s="384">
        <v>141505</v>
      </c>
      <c r="AJ32" s="384"/>
      <c r="AK32" s="188">
        <v>857.58</v>
      </c>
    </row>
    <row r="33" spans="1:37" ht="24.75" customHeight="1">
      <c r="A33" s="187" t="s">
        <v>322</v>
      </c>
      <c r="B33" s="187">
        <v>180178</v>
      </c>
      <c r="C33" s="230" t="s">
        <v>39</v>
      </c>
      <c r="D33" s="5" t="s">
        <v>142</v>
      </c>
      <c r="E33" s="189">
        <v>46084</v>
      </c>
      <c r="K33" s="3" t="s">
        <v>44</v>
      </c>
      <c r="L33" s="2" t="s">
        <v>45</v>
      </c>
      <c r="M33" s="4" t="s">
        <v>46</v>
      </c>
      <c r="N33" s="4" t="s">
        <v>47</v>
      </c>
      <c r="O33" s="3" t="s">
        <v>323</v>
      </c>
      <c r="P33" s="288"/>
      <c r="Q33" s="296" t="s">
        <v>49</v>
      </c>
      <c r="R33" s="389" t="s">
        <v>324</v>
      </c>
      <c r="S33" s="387" t="s">
        <v>325</v>
      </c>
      <c r="T33" s="278" t="s">
        <v>76</v>
      </c>
      <c r="U33" s="2" t="str">
        <f>VLOOKUP('IMPO TERR'!T33,'Matriz datos'!$J$2:$K$10,2,0)</f>
        <v>AV. PDTE. EDUARDO FREI 8301, QUILICURA</v>
      </c>
      <c r="V33" s="384" t="s">
        <v>326</v>
      </c>
      <c r="W33" s="66" t="s">
        <v>327</v>
      </c>
      <c r="X33" s="247" t="s">
        <v>328</v>
      </c>
      <c r="Y33" s="220" t="s">
        <v>329</v>
      </c>
      <c r="Z33" s="219">
        <v>2605111544</v>
      </c>
      <c r="AA33" s="219">
        <v>2605112433</v>
      </c>
      <c r="AB33" s="46">
        <v>46091</v>
      </c>
      <c r="AC33" s="390">
        <v>46092</v>
      </c>
      <c r="AD33" s="213">
        <v>46087</v>
      </c>
      <c r="AE33" s="5">
        <v>4090180178</v>
      </c>
      <c r="AF33" s="23">
        <v>46091</v>
      </c>
      <c r="AG33" s="46">
        <v>46092</v>
      </c>
      <c r="AH33" s="388">
        <v>46092</v>
      </c>
      <c r="AI33" s="384">
        <v>141553</v>
      </c>
      <c r="AJ33" s="384"/>
      <c r="AK33" s="188">
        <v>857.58</v>
      </c>
    </row>
    <row r="34" spans="1:37" ht="24.75" customHeight="1">
      <c r="A34" s="187" t="s">
        <v>330</v>
      </c>
      <c r="B34" s="187">
        <v>180180</v>
      </c>
      <c r="C34" s="230" t="s">
        <v>39</v>
      </c>
      <c r="D34" s="5" t="s">
        <v>40</v>
      </c>
      <c r="E34" s="189">
        <v>46084</v>
      </c>
      <c r="K34" s="3" t="s">
        <v>44</v>
      </c>
      <c r="L34" s="2" t="s">
        <v>45</v>
      </c>
      <c r="M34" s="4" t="s">
        <v>46</v>
      </c>
      <c r="N34" s="4" t="s">
        <v>47</v>
      </c>
      <c r="O34" s="3" t="s">
        <v>331</v>
      </c>
      <c r="P34" s="288"/>
      <c r="Q34" s="296" t="s">
        <v>49</v>
      </c>
      <c r="R34" s="389" t="s">
        <v>332</v>
      </c>
      <c r="S34" s="387" t="s">
        <v>333</v>
      </c>
      <c r="T34" s="278" t="s">
        <v>76</v>
      </c>
      <c r="U34" s="2" t="str">
        <f>VLOOKUP('IMPO TERR'!T34,'Matriz datos'!$J$2:$K$10,2,0)</f>
        <v>AV. PDTE. EDUARDO FREI 8301, QUILICURA</v>
      </c>
      <c r="V34" s="393" t="s">
        <v>334</v>
      </c>
      <c r="W34" s="362" t="s">
        <v>335</v>
      </c>
      <c r="X34" s="247" t="s">
        <v>336</v>
      </c>
      <c r="Y34" s="220" t="s">
        <v>337</v>
      </c>
      <c r="Z34" s="219">
        <v>2605108064</v>
      </c>
      <c r="AA34" s="219">
        <v>2605109863</v>
      </c>
      <c r="AB34" s="19">
        <v>46090.494444444441</v>
      </c>
      <c r="AC34" s="324">
        <v>46091</v>
      </c>
      <c r="AD34" s="213">
        <v>46086</v>
      </c>
      <c r="AE34" s="5">
        <v>4090180180</v>
      </c>
      <c r="AF34" s="23">
        <v>46090</v>
      </c>
      <c r="AG34" s="49">
        <v>46091</v>
      </c>
      <c r="AH34" s="388">
        <v>46091</v>
      </c>
      <c r="AI34" s="384">
        <v>141522</v>
      </c>
      <c r="AJ34" s="384"/>
      <c r="AK34" s="188">
        <v>857.58</v>
      </c>
    </row>
    <row r="35" spans="1:37" ht="24.75" customHeight="1">
      <c r="A35" s="187" t="s">
        <v>338</v>
      </c>
      <c r="B35" s="187">
        <v>180181</v>
      </c>
      <c r="C35" s="230" t="s">
        <v>39</v>
      </c>
      <c r="D35" s="43" t="s">
        <v>40</v>
      </c>
      <c r="E35" s="189">
        <v>46084</v>
      </c>
      <c r="K35" s="3" t="s">
        <v>44</v>
      </c>
      <c r="L35" s="2" t="s">
        <v>45</v>
      </c>
      <c r="M35" s="4" t="s">
        <v>46</v>
      </c>
      <c r="N35" s="4" t="s">
        <v>47</v>
      </c>
      <c r="O35" s="3" t="s">
        <v>339</v>
      </c>
      <c r="P35" s="288"/>
      <c r="Q35" s="296" t="s">
        <v>49</v>
      </c>
      <c r="R35" s="389" t="s">
        <v>340</v>
      </c>
      <c r="S35" s="30" t="s">
        <v>341</v>
      </c>
      <c r="T35" s="278" t="s">
        <v>76</v>
      </c>
      <c r="U35" s="2" t="str">
        <f>VLOOKUP('IMPO TERR'!T35,'Matriz datos'!$J$2:$K$10,2,0)</f>
        <v>AV. PDTE. EDUARDO FREI 8301, QUILICURA</v>
      </c>
      <c r="V35" s="387" t="s">
        <v>342</v>
      </c>
      <c r="W35" s="384" t="s">
        <v>343</v>
      </c>
      <c r="X35" s="247" t="s">
        <v>344</v>
      </c>
      <c r="Y35" s="220" t="s">
        <v>345</v>
      </c>
      <c r="Z35" s="219">
        <v>2605109685</v>
      </c>
      <c r="AA35" s="219">
        <v>2605110139</v>
      </c>
      <c r="AB35" s="388">
        <v>46090</v>
      </c>
      <c r="AC35" s="324">
        <v>46091</v>
      </c>
      <c r="AD35" s="213">
        <v>46086</v>
      </c>
      <c r="AE35" s="5">
        <v>4090180181</v>
      </c>
      <c r="AF35" s="23">
        <v>46091</v>
      </c>
      <c r="AG35" s="388">
        <v>46091</v>
      </c>
      <c r="AH35" s="388">
        <v>46091</v>
      </c>
      <c r="AI35" s="384">
        <v>141526</v>
      </c>
      <c r="AJ35" s="384"/>
      <c r="AK35" s="188">
        <v>857.58</v>
      </c>
    </row>
    <row r="36" spans="1:37" ht="24.75" customHeight="1">
      <c r="A36" s="187" t="s">
        <v>346</v>
      </c>
      <c r="B36" s="187">
        <v>180183</v>
      </c>
      <c r="C36" s="230" t="s">
        <v>39</v>
      </c>
      <c r="D36" s="5" t="s">
        <v>40</v>
      </c>
      <c r="E36" s="189">
        <v>46084</v>
      </c>
      <c r="K36" s="3" t="s">
        <v>44</v>
      </c>
      <c r="L36" s="2" t="s">
        <v>45</v>
      </c>
      <c r="M36" s="4" t="s">
        <v>46</v>
      </c>
      <c r="N36" s="4" t="s">
        <v>47</v>
      </c>
      <c r="O36" s="3" t="s">
        <v>347</v>
      </c>
      <c r="P36" s="288">
        <v>40365</v>
      </c>
      <c r="Q36" s="296" t="s">
        <v>49</v>
      </c>
      <c r="R36" s="389" t="s">
        <v>348</v>
      </c>
      <c r="S36" s="30" t="s">
        <v>349</v>
      </c>
      <c r="T36" s="278" t="s">
        <v>76</v>
      </c>
      <c r="U36" s="2" t="str">
        <f>VLOOKUP('IMPO TERR'!T36,'Matriz datos'!$J$2:$K$10,2,0)</f>
        <v>AV. PDTE. EDUARDO FREI 8301, QUILICURA</v>
      </c>
      <c r="V36" s="384" t="s">
        <v>350</v>
      </c>
      <c r="W36" s="333" t="s">
        <v>351</v>
      </c>
      <c r="X36" s="247" t="s">
        <v>352</v>
      </c>
      <c r="Y36" s="220" t="s">
        <v>353</v>
      </c>
      <c r="Z36" s="219">
        <v>2605109639</v>
      </c>
      <c r="AA36" s="219">
        <v>2605110120</v>
      </c>
      <c r="AB36" s="388">
        <v>46094</v>
      </c>
      <c r="AC36" s="390">
        <v>46095</v>
      </c>
      <c r="AD36" s="213">
        <v>46086</v>
      </c>
      <c r="AE36" s="5">
        <v>4090180183</v>
      </c>
      <c r="AF36" s="23">
        <v>46095</v>
      </c>
      <c r="AG36" s="388">
        <v>46095</v>
      </c>
      <c r="AH36" s="388">
        <v>46095</v>
      </c>
      <c r="AI36" s="384">
        <v>141601</v>
      </c>
      <c r="AJ36" s="384"/>
      <c r="AK36" s="188">
        <v>857.58</v>
      </c>
    </row>
    <row r="37" spans="1:37" ht="24.75" customHeight="1">
      <c r="A37" s="187" t="s">
        <v>354</v>
      </c>
      <c r="B37" s="187">
        <v>180184</v>
      </c>
      <c r="C37" s="230" t="s">
        <v>39</v>
      </c>
      <c r="D37" s="5" t="s">
        <v>40</v>
      </c>
      <c r="E37" s="189">
        <v>46084</v>
      </c>
      <c r="K37" s="3" t="s">
        <v>44</v>
      </c>
      <c r="L37" s="2" t="s">
        <v>61</v>
      </c>
      <c r="M37" s="4" t="s">
        <v>46</v>
      </c>
      <c r="N37" s="4" t="s">
        <v>47</v>
      </c>
      <c r="O37" s="3" t="s">
        <v>355</v>
      </c>
      <c r="P37" s="288"/>
      <c r="Q37" s="296" t="s">
        <v>63</v>
      </c>
      <c r="R37" s="389" t="s">
        <v>356</v>
      </c>
      <c r="S37" s="30" t="s">
        <v>357</v>
      </c>
      <c r="T37" s="278" t="s">
        <v>76</v>
      </c>
      <c r="U37" s="2" t="str">
        <f>VLOOKUP('IMPO TERR'!T37,'Matriz datos'!$J$2:$K$10,2,0)</f>
        <v>AV. PDTE. EDUARDO FREI 8301, QUILICURA</v>
      </c>
      <c r="V37" s="394" t="s">
        <v>358</v>
      </c>
      <c r="W37" s="66" t="s">
        <v>359</v>
      </c>
      <c r="X37" s="247" t="s">
        <v>360</v>
      </c>
      <c r="Y37" s="220" t="s">
        <v>361</v>
      </c>
      <c r="Z37" s="219">
        <v>2605111953</v>
      </c>
      <c r="AA37" s="219">
        <v>2605112430</v>
      </c>
      <c r="AB37" s="19">
        <v>46088.67019675926</v>
      </c>
      <c r="AC37" s="324">
        <v>46089</v>
      </c>
      <c r="AD37" s="213">
        <v>46087</v>
      </c>
      <c r="AE37" s="5">
        <v>4090180184</v>
      </c>
      <c r="AF37" s="23">
        <v>46090</v>
      </c>
      <c r="AG37" s="386">
        <v>46090.530243055553</v>
      </c>
      <c r="AH37" s="46">
        <v>46092</v>
      </c>
      <c r="AI37" s="384">
        <v>141488</v>
      </c>
      <c r="AJ37" s="384"/>
      <c r="AK37" s="188">
        <v>857.58</v>
      </c>
    </row>
    <row r="38" spans="1:37" ht="24.75" customHeight="1">
      <c r="A38" s="187" t="s">
        <v>362</v>
      </c>
      <c r="B38" s="187">
        <v>180186</v>
      </c>
      <c r="C38" s="230" t="s">
        <v>39</v>
      </c>
      <c r="D38" s="2" t="s">
        <v>58</v>
      </c>
      <c r="E38" s="189">
        <v>46084</v>
      </c>
      <c r="K38" s="3" t="s">
        <v>44</v>
      </c>
      <c r="L38" s="2" t="s">
        <v>280</v>
      </c>
      <c r="M38" s="4" t="s">
        <v>46</v>
      </c>
      <c r="N38" s="4" t="s">
        <v>47</v>
      </c>
      <c r="O38" s="3" t="s">
        <v>363</v>
      </c>
      <c r="P38" s="288"/>
      <c r="Q38" s="296" t="s">
        <v>291</v>
      </c>
      <c r="R38" s="74" t="s">
        <v>364</v>
      </c>
      <c r="S38" s="248" t="s">
        <v>365</v>
      </c>
      <c r="T38" s="278" t="s">
        <v>366</v>
      </c>
      <c r="U38" s="9" t="str">
        <f>VLOOKUP('IMPO TERR'!T38,'Matriz datos'!$J$2:$K$10,2,0)</f>
        <v>AV. AMERICO VESPUCIO 0350, QUILICURA</v>
      </c>
      <c r="V38" s="384" t="s">
        <v>367</v>
      </c>
      <c r="W38" s="352" t="s">
        <v>368</v>
      </c>
      <c r="X38" s="247" t="s">
        <v>369</v>
      </c>
      <c r="Y38" s="220" t="s">
        <v>370</v>
      </c>
      <c r="Z38" s="219">
        <v>2605110760</v>
      </c>
      <c r="AA38" s="219">
        <v>2605112514</v>
      </c>
      <c r="AB38" s="19">
        <v>46086.158715277779</v>
      </c>
      <c r="AC38" s="324">
        <v>46087</v>
      </c>
      <c r="AD38" s="213">
        <v>46087</v>
      </c>
      <c r="AE38" s="5">
        <v>4090180186</v>
      </c>
      <c r="AF38" s="23">
        <v>46087</v>
      </c>
      <c r="AG38" s="19">
        <v>46087.774513888886</v>
      </c>
      <c r="AH38" s="46">
        <v>46091</v>
      </c>
      <c r="AI38" s="18"/>
      <c r="AJ38" s="384"/>
      <c r="AK38" s="188">
        <v>857.58</v>
      </c>
    </row>
    <row r="39" spans="1:37" ht="24.75" customHeight="1">
      <c r="A39" s="187" t="s">
        <v>371</v>
      </c>
      <c r="B39" s="187">
        <v>180188</v>
      </c>
      <c r="C39" s="230" t="s">
        <v>39</v>
      </c>
      <c r="D39" s="5" t="s">
        <v>40</v>
      </c>
      <c r="E39" s="189">
        <v>46084</v>
      </c>
      <c r="K39" s="3" t="s">
        <v>60</v>
      </c>
      <c r="L39" s="2" t="s">
        <v>45</v>
      </c>
      <c r="M39" s="4" t="s">
        <v>46</v>
      </c>
      <c r="N39" s="4" t="s">
        <v>47</v>
      </c>
      <c r="O39" s="3" t="s">
        <v>372</v>
      </c>
      <c r="P39" s="288"/>
      <c r="Q39" s="296" t="s">
        <v>126</v>
      </c>
      <c r="R39" s="389" t="s">
        <v>373</v>
      </c>
      <c r="S39" s="30" t="s">
        <v>374</v>
      </c>
      <c r="T39" s="278" t="s">
        <v>76</v>
      </c>
      <c r="U39" s="2" t="str">
        <f>VLOOKUP('IMPO TERR'!T39,'Matriz datos'!$J$2:$K$10,2,0)</f>
        <v>AV. PDTE. EDUARDO FREI 8301, QUILICURA</v>
      </c>
      <c r="V39" s="392" t="s">
        <v>375</v>
      </c>
      <c r="W39" s="66" t="s">
        <v>376</v>
      </c>
      <c r="X39" s="247" t="s">
        <v>377</v>
      </c>
      <c r="Y39" s="220" t="s">
        <v>378</v>
      </c>
      <c r="Z39" s="219">
        <v>2605108147</v>
      </c>
      <c r="AA39" s="219">
        <v>2605109858</v>
      </c>
      <c r="AB39" s="388">
        <v>46090</v>
      </c>
      <c r="AC39" s="390">
        <v>46091</v>
      </c>
      <c r="AD39" s="214">
        <v>46085</v>
      </c>
      <c r="AE39" s="106">
        <v>4090180188</v>
      </c>
      <c r="AF39" s="90">
        <v>46091</v>
      </c>
      <c r="AG39" s="388">
        <v>46091</v>
      </c>
      <c r="AH39" s="46">
        <v>46092</v>
      </c>
      <c r="AI39" s="384">
        <v>141540</v>
      </c>
      <c r="AJ39" s="384"/>
      <c r="AK39" s="188">
        <v>857.58</v>
      </c>
    </row>
    <row r="40" spans="1:37" ht="24.75" customHeight="1">
      <c r="A40" s="187" t="s">
        <v>379</v>
      </c>
      <c r="B40" s="187">
        <v>180190</v>
      </c>
      <c r="C40" s="230" t="s">
        <v>39</v>
      </c>
      <c r="D40" s="5" t="s">
        <v>40</v>
      </c>
      <c r="E40" s="189">
        <v>46084</v>
      </c>
      <c r="K40" s="3" t="s">
        <v>44</v>
      </c>
      <c r="L40" s="2" t="s">
        <v>45</v>
      </c>
      <c r="M40" s="4" t="s">
        <v>46</v>
      </c>
      <c r="N40" s="4" t="s">
        <v>47</v>
      </c>
      <c r="O40" s="3" t="s">
        <v>380</v>
      </c>
      <c r="P40" s="288">
        <v>40933</v>
      </c>
      <c r="Q40" s="296" t="s">
        <v>49</v>
      </c>
      <c r="R40" s="389" t="s">
        <v>381</v>
      </c>
      <c r="S40" s="30" t="s">
        <v>382</v>
      </c>
      <c r="T40" s="278" t="s">
        <v>76</v>
      </c>
      <c r="U40" s="2" t="str">
        <f>VLOOKUP('IMPO TERR'!T40,'Matriz datos'!$J$2:$K$10,2,0)</f>
        <v>AV. PDTE. EDUARDO FREI 8301, QUILICURA</v>
      </c>
      <c r="V40" s="384" t="s">
        <v>383</v>
      </c>
      <c r="W40" s="382" t="s">
        <v>384</v>
      </c>
      <c r="X40" s="247" t="s">
        <v>385</v>
      </c>
      <c r="Y40" s="220" t="s">
        <v>386</v>
      </c>
      <c r="Z40" s="219">
        <v>2605109742</v>
      </c>
      <c r="AA40" s="221">
        <v>2605110213</v>
      </c>
      <c r="AB40" s="388">
        <v>46096</v>
      </c>
      <c r="AC40" s="390">
        <v>46097</v>
      </c>
      <c r="AD40" s="215">
        <v>46086</v>
      </c>
      <c r="AE40" s="271">
        <v>4090180190</v>
      </c>
      <c r="AF40" s="24">
        <v>46097</v>
      </c>
      <c r="AG40" s="46">
        <v>46098</v>
      </c>
      <c r="AH40" s="388">
        <v>46098</v>
      </c>
      <c r="AI40" s="384">
        <v>141644</v>
      </c>
      <c r="AJ40" s="384"/>
      <c r="AK40" s="188">
        <v>857.58</v>
      </c>
    </row>
    <row r="41" spans="1:37" ht="24.75" customHeight="1">
      <c r="A41" s="187" t="s">
        <v>387</v>
      </c>
      <c r="B41" s="187">
        <v>180192</v>
      </c>
      <c r="C41" s="230" t="s">
        <v>39</v>
      </c>
      <c r="D41" s="5" t="s">
        <v>142</v>
      </c>
      <c r="E41" s="189">
        <v>46084</v>
      </c>
      <c r="K41" s="3" t="s">
        <v>60</v>
      </c>
      <c r="L41" s="2" t="s">
        <v>45</v>
      </c>
      <c r="M41" s="4" t="s">
        <v>46</v>
      </c>
      <c r="N41" s="4" t="s">
        <v>47</v>
      </c>
      <c r="O41" s="3" t="s">
        <v>388</v>
      </c>
      <c r="P41" s="288"/>
      <c r="Q41" s="296" t="s">
        <v>389</v>
      </c>
      <c r="R41" s="389" t="s">
        <v>390</v>
      </c>
      <c r="S41" s="387" t="s">
        <v>391</v>
      </c>
      <c r="T41" s="278" t="s">
        <v>76</v>
      </c>
      <c r="U41" s="2" t="str">
        <f>VLOOKUP('IMPO TERR'!T41,'Matriz datos'!$J$2:$K$10,2,0)</f>
        <v>AV. PDTE. EDUARDO FREI 8301, QUILICURA</v>
      </c>
      <c r="V41" s="384" t="s">
        <v>392</v>
      </c>
      <c r="W41" s="361" t="s">
        <v>393</v>
      </c>
      <c r="X41" s="247" t="s">
        <v>394</v>
      </c>
      <c r="Y41" s="220" t="s">
        <v>395</v>
      </c>
      <c r="Z41" s="219">
        <v>2605108514</v>
      </c>
      <c r="AA41" s="219">
        <v>2605109851</v>
      </c>
      <c r="AB41" s="19">
        <v>46090.378703703704</v>
      </c>
      <c r="AC41" s="324">
        <v>46091</v>
      </c>
      <c r="AD41" s="213">
        <v>46085</v>
      </c>
      <c r="AE41" s="5">
        <v>4090180192</v>
      </c>
      <c r="AF41" s="23">
        <v>46090</v>
      </c>
      <c r="AG41" s="46">
        <v>46091</v>
      </c>
      <c r="AH41" s="388">
        <v>46091</v>
      </c>
      <c r="AI41" s="384">
        <v>141523</v>
      </c>
      <c r="AJ41" s="384"/>
      <c r="AK41" s="188">
        <v>857.58</v>
      </c>
    </row>
    <row r="42" spans="1:37" ht="24.75" customHeight="1">
      <c r="A42" s="187" t="s">
        <v>396</v>
      </c>
      <c r="B42" s="187">
        <v>180193</v>
      </c>
      <c r="C42" s="230" t="s">
        <v>39</v>
      </c>
      <c r="D42" s="2" t="s">
        <v>58</v>
      </c>
      <c r="E42" s="189">
        <v>46084</v>
      </c>
      <c r="K42" s="3" t="s">
        <v>44</v>
      </c>
      <c r="L42" s="2" t="s">
        <v>61</v>
      </c>
      <c r="M42" s="4" t="s">
        <v>46</v>
      </c>
      <c r="N42" s="4" t="s">
        <v>47</v>
      </c>
      <c r="O42" s="3" t="s">
        <v>397</v>
      </c>
      <c r="P42" s="288"/>
      <c r="Q42" s="296" t="s">
        <v>398</v>
      </c>
      <c r="R42" s="389" t="s">
        <v>399</v>
      </c>
      <c r="S42" s="387" t="s">
        <v>400</v>
      </c>
      <c r="T42" s="278" t="s">
        <v>76</v>
      </c>
      <c r="U42" s="2" t="str">
        <f>VLOOKUP('IMPO TERR'!T42,'Matriz datos'!$J$2:$K$10,2,0)</f>
        <v>AV. PDTE. EDUARDO FREI 8301, QUILICURA</v>
      </c>
      <c r="V42" s="384" t="s">
        <v>401</v>
      </c>
      <c r="W42" s="66" t="s">
        <v>402</v>
      </c>
      <c r="X42" s="247" t="s">
        <v>403</v>
      </c>
      <c r="Y42" s="220" t="s">
        <v>404</v>
      </c>
      <c r="Z42" s="219">
        <v>2605109732</v>
      </c>
      <c r="AA42" s="219">
        <v>2605110161</v>
      </c>
      <c r="AB42" s="386">
        <v>46087.375636574077</v>
      </c>
      <c r="AC42" s="74" t="s">
        <v>405</v>
      </c>
      <c r="AD42" s="213">
        <v>46086</v>
      </c>
      <c r="AE42" s="5">
        <v>4090180193</v>
      </c>
      <c r="AF42" s="23">
        <v>46087</v>
      </c>
      <c r="AG42" s="386">
        <v>46087.775949074072</v>
      </c>
      <c r="AH42" s="388">
        <v>46091</v>
      </c>
      <c r="AI42" s="384"/>
      <c r="AJ42" s="384"/>
      <c r="AK42" s="188">
        <v>857.58</v>
      </c>
    </row>
    <row r="43" spans="1:37" ht="24.75" customHeight="1">
      <c r="A43" s="187" t="s">
        <v>406</v>
      </c>
      <c r="B43" s="187">
        <v>180195</v>
      </c>
      <c r="C43" s="230" t="s">
        <v>39</v>
      </c>
      <c r="D43" s="5" t="s">
        <v>142</v>
      </c>
      <c r="E43" s="189">
        <v>46084</v>
      </c>
      <c r="K43" s="3" t="s">
        <v>60</v>
      </c>
      <c r="L43" s="2" t="s">
        <v>45</v>
      </c>
      <c r="M43" s="4" t="s">
        <v>46</v>
      </c>
      <c r="N43" s="4" t="s">
        <v>47</v>
      </c>
      <c r="O43" s="3" t="s">
        <v>407</v>
      </c>
      <c r="P43" s="288"/>
      <c r="Q43" s="296" t="s">
        <v>126</v>
      </c>
      <c r="R43" s="389" t="s">
        <v>408</v>
      </c>
      <c r="S43" s="387" t="s">
        <v>409</v>
      </c>
      <c r="T43" s="278" t="s">
        <v>102</v>
      </c>
      <c r="U43" s="2" t="str">
        <f>VLOOKUP('IMPO TERR'!T43,'Matriz datos'!$J$2:$K$10,2,0)</f>
        <v>AV. AMERICO VESPUCIO 0350, QUILICURA</v>
      </c>
      <c r="V43" s="384" t="s">
        <v>410</v>
      </c>
      <c r="W43" s="66" t="s">
        <v>411</v>
      </c>
      <c r="X43" s="247" t="s">
        <v>412</v>
      </c>
      <c r="Y43" s="220" t="s">
        <v>413</v>
      </c>
      <c r="Z43" s="219">
        <v>2605113276</v>
      </c>
      <c r="AA43" s="219">
        <v>2605114534</v>
      </c>
      <c r="AB43" s="46">
        <v>46091</v>
      </c>
      <c r="AC43" s="317">
        <v>46091</v>
      </c>
      <c r="AD43" s="215">
        <v>46087</v>
      </c>
      <c r="AE43" s="271">
        <v>4090180195</v>
      </c>
      <c r="AF43" s="23">
        <v>46091</v>
      </c>
      <c r="AG43" s="388">
        <v>46092</v>
      </c>
      <c r="AH43" s="388">
        <v>46092</v>
      </c>
      <c r="AI43" s="384">
        <v>141546</v>
      </c>
      <c r="AJ43" s="384"/>
      <c r="AK43" s="188">
        <v>857.58</v>
      </c>
    </row>
    <row r="44" spans="1:37" ht="24.75" customHeight="1">
      <c r="A44" s="187" t="s">
        <v>414</v>
      </c>
      <c r="B44" s="187">
        <v>180196</v>
      </c>
      <c r="C44" s="230" t="s">
        <v>39</v>
      </c>
      <c r="D44" s="5" t="s">
        <v>142</v>
      </c>
      <c r="E44" s="189">
        <v>46084</v>
      </c>
      <c r="K44" s="3" t="s">
        <v>60</v>
      </c>
      <c r="L44" s="2" t="s">
        <v>45</v>
      </c>
      <c r="M44" s="4" t="s">
        <v>46</v>
      </c>
      <c r="N44" s="4" t="s">
        <v>47</v>
      </c>
      <c r="O44" s="3" t="s">
        <v>415</v>
      </c>
      <c r="P44" s="288"/>
      <c r="Q44" s="296" t="s">
        <v>126</v>
      </c>
      <c r="R44" s="389" t="s">
        <v>416</v>
      </c>
      <c r="S44" s="30" t="s">
        <v>417</v>
      </c>
      <c r="T44" s="278" t="s">
        <v>76</v>
      </c>
      <c r="U44" s="2" t="str">
        <f>VLOOKUP('IMPO TERR'!T44,'Matriz datos'!$J$2:$K$10,2,0)</f>
        <v>AV. PDTE. EDUARDO FREI 8301, QUILICURA</v>
      </c>
      <c r="V44" s="384" t="s">
        <v>418</v>
      </c>
      <c r="W44" s="66" t="s">
        <v>419</v>
      </c>
      <c r="X44" s="247" t="s">
        <v>420</v>
      </c>
      <c r="Y44" s="220" t="s">
        <v>421</v>
      </c>
      <c r="Z44" s="219">
        <v>2605113362</v>
      </c>
      <c r="AA44" s="219">
        <v>2605114515</v>
      </c>
      <c r="AB44" s="386">
        <v>46089.714236111111</v>
      </c>
      <c r="AC44" s="324">
        <v>46090</v>
      </c>
      <c r="AD44" s="215">
        <v>46087</v>
      </c>
      <c r="AE44" s="271">
        <v>4090180196</v>
      </c>
      <c r="AF44" s="24">
        <v>46090</v>
      </c>
      <c r="AG44" s="46">
        <v>46090</v>
      </c>
      <c r="AH44" s="388">
        <v>46091</v>
      </c>
      <c r="AI44" s="384">
        <v>141509</v>
      </c>
      <c r="AJ44" s="384"/>
      <c r="AK44" s="188">
        <v>857.58</v>
      </c>
    </row>
    <row r="45" spans="1:37" ht="24.75" customHeight="1">
      <c r="A45" s="187" t="s">
        <v>422</v>
      </c>
      <c r="B45" s="187">
        <v>180198</v>
      </c>
      <c r="C45" s="230" t="s">
        <v>39</v>
      </c>
      <c r="D45" s="2" t="s">
        <v>58</v>
      </c>
      <c r="E45" s="189">
        <v>46084</v>
      </c>
      <c r="K45" s="3" t="s">
        <v>44</v>
      </c>
      <c r="L45" s="2" t="s">
        <v>280</v>
      </c>
      <c r="M45" s="4" t="s">
        <v>46</v>
      </c>
      <c r="N45" s="4" t="s">
        <v>47</v>
      </c>
      <c r="O45" s="3" t="s">
        <v>423</v>
      </c>
      <c r="P45" s="288"/>
      <c r="Q45" s="296" t="s">
        <v>291</v>
      </c>
      <c r="R45" s="74" t="s">
        <v>424</v>
      </c>
      <c r="S45" s="286" t="s">
        <v>425</v>
      </c>
      <c r="T45" s="278" t="s">
        <v>76</v>
      </c>
      <c r="U45" s="2" t="str">
        <f>VLOOKUP('IMPO TERR'!T45,'Matriz datos'!$J$2:$K$10,2,0)</f>
        <v>AV. PDTE. EDUARDO FREI 8301, QUILICURA</v>
      </c>
      <c r="V45" s="384" t="s">
        <v>426</v>
      </c>
      <c r="W45" s="66" t="s">
        <v>427</v>
      </c>
      <c r="X45" s="247" t="s">
        <v>428</v>
      </c>
      <c r="Y45" s="249" t="s">
        <v>429</v>
      </c>
      <c r="Z45" s="219">
        <v>2605108328</v>
      </c>
      <c r="AA45" s="219">
        <v>2605109841</v>
      </c>
      <c r="AB45" s="19">
        <v>46086.15730324074</v>
      </c>
      <c r="AC45" s="324">
        <v>46087</v>
      </c>
      <c r="AD45" s="215">
        <v>46085</v>
      </c>
      <c r="AE45" s="271">
        <v>4090180198</v>
      </c>
      <c r="AF45" s="24">
        <v>46086</v>
      </c>
      <c r="AG45" s="386">
        <v>46087.596365740741</v>
      </c>
      <c r="AH45" s="46">
        <v>46091</v>
      </c>
      <c r="AI45" s="18"/>
      <c r="AJ45" s="384"/>
      <c r="AK45" s="188">
        <v>857.58</v>
      </c>
    </row>
    <row r="46" spans="1:37" ht="24.75" customHeight="1">
      <c r="A46" s="187" t="s">
        <v>430</v>
      </c>
      <c r="B46" s="187">
        <v>180199</v>
      </c>
      <c r="C46" s="230" t="s">
        <v>39</v>
      </c>
      <c r="D46" s="5" t="s">
        <v>142</v>
      </c>
      <c r="E46" s="189">
        <v>46084</v>
      </c>
      <c r="K46" s="3" t="s">
        <v>44</v>
      </c>
      <c r="L46" s="2" t="s">
        <v>61</v>
      </c>
      <c r="M46" s="4" t="s">
        <v>46</v>
      </c>
      <c r="N46" s="4" t="s">
        <v>47</v>
      </c>
      <c r="O46" s="3" t="s">
        <v>431</v>
      </c>
      <c r="P46" s="288"/>
      <c r="Q46" s="296" t="s">
        <v>99</v>
      </c>
      <c r="R46" s="389" t="s">
        <v>432</v>
      </c>
      <c r="S46" s="30" t="s">
        <v>433</v>
      </c>
      <c r="T46" s="278" t="s">
        <v>102</v>
      </c>
      <c r="U46" s="2" t="str">
        <f>VLOOKUP('IMPO TERR'!T46,'Matriz datos'!$J$2:$K$10,2,0)</f>
        <v>AV. AMERICO VESPUCIO 0350, QUILICURA</v>
      </c>
      <c r="V46" s="384" t="s">
        <v>434</v>
      </c>
      <c r="W46" s="282">
        <v>4928664</v>
      </c>
      <c r="X46" s="220" t="s">
        <v>435</v>
      </c>
      <c r="Y46" s="5" t="s">
        <v>436</v>
      </c>
      <c r="Z46" s="220">
        <v>2605109779</v>
      </c>
      <c r="AA46" s="219">
        <v>2605112451</v>
      </c>
      <c r="AB46" s="386">
        <v>46089.79310185185</v>
      </c>
      <c r="AC46" s="390">
        <v>46090</v>
      </c>
      <c r="AD46" s="215">
        <v>46087</v>
      </c>
      <c r="AE46" s="271">
        <v>4090180199</v>
      </c>
      <c r="AF46" s="24">
        <v>46090</v>
      </c>
      <c r="AG46" s="388">
        <v>46090</v>
      </c>
      <c r="AH46" s="46">
        <v>46091</v>
      </c>
      <c r="AI46" s="384">
        <v>141511</v>
      </c>
      <c r="AJ46" s="384"/>
      <c r="AK46" s="188">
        <v>857.58</v>
      </c>
    </row>
    <row r="47" spans="1:37" ht="24.75" customHeight="1">
      <c r="A47" s="187" t="s">
        <v>437</v>
      </c>
      <c r="B47" s="187">
        <v>180201</v>
      </c>
      <c r="C47" s="230" t="s">
        <v>39</v>
      </c>
      <c r="D47" s="2" t="s">
        <v>58</v>
      </c>
      <c r="E47" s="189">
        <v>46084</v>
      </c>
      <c r="K47" s="3" t="s">
        <v>44</v>
      </c>
      <c r="L47" s="2" t="s">
        <v>280</v>
      </c>
      <c r="M47" s="4" t="s">
        <v>46</v>
      </c>
      <c r="N47" s="4" t="s">
        <v>47</v>
      </c>
      <c r="O47" s="3" t="s">
        <v>438</v>
      </c>
      <c r="P47" s="288"/>
      <c r="Q47" s="296" t="s">
        <v>282</v>
      </c>
      <c r="R47" s="74" t="s">
        <v>439</v>
      </c>
      <c r="S47" s="286" t="s">
        <v>440</v>
      </c>
      <c r="T47" s="278" t="s">
        <v>441</v>
      </c>
      <c r="U47" s="2" t="str">
        <f>VLOOKUP('IMPO TERR'!T47,'Matriz datos'!$J$2:$K$10,2,0)</f>
        <v>CAMINO LO AGUIRRE SUR 537, PUDAHUEL </v>
      </c>
      <c r="V47" s="384" t="s">
        <v>442</v>
      </c>
      <c r="W47" s="384" t="s">
        <v>443</v>
      </c>
      <c r="X47" s="220" t="s">
        <v>444</v>
      </c>
      <c r="Y47" s="43" t="s">
        <v>445</v>
      </c>
      <c r="Z47" s="220">
        <v>2605108680</v>
      </c>
      <c r="AA47" s="219">
        <v>2605110346</v>
      </c>
      <c r="AB47" s="19">
        <v>46085.890706018516</v>
      </c>
      <c r="AC47" s="324">
        <v>46086</v>
      </c>
      <c r="AD47" s="213">
        <v>46085</v>
      </c>
      <c r="AE47" s="5">
        <v>4090180201</v>
      </c>
      <c r="AF47" s="23">
        <v>46086</v>
      </c>
      <c r="AG47" s="386">
        <v>46086.737673611111</v>
      </c>
      <c r="AH47" s="19">
        <v>46086.831087962964</v>
      </c>
      <c r="AI47" s="384"/>
      <c r="AJ47" s="384"/>
      <c r="AK47" s="188">
        <v>857.58</v>
      </c>
    </row>
    <row r="48" spans="1:37" ht="24.75" customHeight="1">
      <c r="A48" s="187" t="s">
        <v>446</v>
      </c>
      <c r="B48" s="187">
        <v>180202</v>
      </c>
      <c r="C48" s="230" t="s">
        <v>39</v>
      </c>
      <c r="D48" s="5" t="s">
        <v>142</v>
      </c>
      <c r="E48" s="189">
        <v>46084</v>
      </c>
      <c r="K48" s="3" t="s">
        <v>44</v>
      </c>
      <c r="L48" s="2" t="s">
        <v>61</v>
      </c>
      <c r="M48" s="4" t="s">
        <v>46</v>
      </c>
      <c r="N48" s="4" t="s">
        <v>47</v>
      </c>
      <c r="O48" s="3" t="s">
        <v>447</v>
      </c>
      <c r="P48" s="288">
        <v>2026</v>
      </c>
      <c r="Q48" s="296" t="s">
        <v>170</v>
      </c>
      <c r="R48" s="74" t="s">
        <v>448</v>
      </c>
      <c r="S48" s="30" t="s">
        <v>449</v>
      </c>
      <c r="T48" s="278" t="s">
        <v>450</v>
      </c>
      <c r="U48" s="2" t="str">
        <f>VLOOKUP('IMPO TERR'!T48,'Matriz datos'!$J$2:$K$10,2,0)</f>
        <v>CORDILLERA 451, QUILICURA</v>
      </c>
      <c r="V48" s="384" t="s">
        <v>451</v>
      </c>
      <c r="W48" s="383">
        <v>4628433</v>
      </c>
      <c r="X48" s="220" t="s">
        <v>452</v>
      </c>
      <c r="Y48" s="5" t="s">
        <v>453</v>
      </c>
      <c r="Z48" s="220">
        <v>2605113395</v>
      </c>
      <c r="AA48" s="219">
        <v>2605114518</v>
      </c>
      <c r="AB48" s="386">
        <v>46088.621296296296</v>
      </c>
      <c r="AC48" s="390">
        <v>46089</v>
      </c>
      <c r="AD48" s="215">
        <v>46087</v>
      </c>
      <c r="AE48" s="271">
        <v>4090180202</v>
      </c>
      <c r="AF48" s="24">
        <v>46090</v>
      </c>
      <c r="AG48" s="388">
        <v>46090</v>
      </c>
      <c r="AH48" s="388">
        <v>46092</v>
      </c>
      <c r="AI48" s="384">
        <v>141494</v>
      </c>
      <c r="AJ48" s="384"/>
      <c r="AK48" s="188">
        <v>857.58</v>
      </c>
    </row>
    <row r="49" spans="1:37" ht="24.75" customHeight="1">
      <c r="A49" s="187" t="s">
        <v>454</v>
      </c>
      <c r="B49" s="187">
        <v>180213</v>
      </c>
      <c r="C49" s="230" t="s">
        <v>39</v>
      </c>
      <c r="D49" s="2" t="s">
        <v>58</v>
      </c>
      <c r="E49" s="189">
        <v>46084</v>
      </c>
      <c r="K49" s="3" t="s">
        <v>44</v>
      </c>
      <c r="L49" s="2" t="s">
        <v>280</v>
      </c>
      <c r="M49" s="4" t="s">
        <v>46</v>
      </c>
      <c r="N49" s="4" t="s">
        <v>47</v>
      </c>
      <c r="O49" s="3" t="s">
        <v>455</v>
      </c>
      <c r="P49" s="288"/>
      <c r="Q49" s="296" t="s">
        <v>456</v>
      </c>
      <c r="R49" s="74" t="s">
        <v>457</v>
      </c>
      <c r="S49" s="286" t="s">
        <v>458</v>
      </c>
      <c r="T49" s="278" t="s">
        <v>76</v>
      </c>
      <c r="U49" s="2" t="str">
        <f>VLOOKUP('IMPO TERR'!T49,'Matriz datos'!$J$2:$K$10,2,0)</f>
        <v>AV. PDTE. EDUARDO FREI 8301, QUILICURA</v>
      </c>
      <c r="V49" s="384" t="s">
        <v>459</v>
      </c>
      <c r="W49" s="66" t="s">
        <v>460</v>
      </c>
      <c r="X49" s="220" t="s">
        <v>461</v>
      </c>
      <c r="Y49" s="5" t="s">
        <v>462</v>
      </c>
      <c r="Z49" s="220">
        <v>2605110890</v>
      </c>
      <c r="AA49" s="219">
        <v>2605112505</v>
      </c>
      <c r="AB49" s="19">
        <v>46085.809814814813</v>
      </c>
      <c r="AC49" s="324">
        <v>46086</v>
      </c>
      <c r="AD49" s="215">
        <v>46087</v>
      </c>
      <c r="AE49" s="271">
        <v>4090180213</v>
      </c>
      <c r="AF49" s="24">
        <v>46087</v>
      </c>
      <c r="AG49" s="386">
        <v>46087.775717592594</v>
      </c>
      <c r="AH49" s="388">
        <v>46090</v>
      </c>
      <c r="AI49" s="18"/>
      <c r="AJ49" s="384"/>
      <c r="AK49" s="188">
        <v>857.58</v>
      </c>
    </row>
    <row r="50" spans="1:37" ht="24.75" customHeight="1">
      <c r="A50" s="187" t="s">
        <v>463</v>
      </c>
      <c r="B50" s="187">
        <v>180226</v>
      </c>
      <c r="C50" s="230" t="s">
        <v>39</v>
      </c>
      <c r="D50" s="5" t="s">
        <v>142</v>
      </c>
      <c r="E50" s="189">
        <v>46085</v>
      </c>
      <c r="K50" s="3" t="s">
        <v>44</v>
      </c>
      <c r="L50" s="2" t="s">
        <v>45</v>
      </c>
      <c r="M50" s="4" t="s">
        <v>46</v>
      </c>
      <c r="N50" s="2" t="s">
        <v>47</v>
      </c>
      <c r="O50" s="3" t="s">
        <v>464</v>
      </c>
      <c r="P50" s="288"/>
      <c r="Q50" s="296" t="s">
        <v>49</v>
      </c>
      <c r="R50" s="389" t="s">
        <v>465</v>
      </c>
      <c r="S50" s="30" t="s">
        <v>466</v>
      </c>
      <c r="T50" s="278" t="s">
        <v>76</v>
      </c>
      <c r="U50" s="2" t="str">
        <f>VLOOKUP('IMPO TERR'!T50,'Matriz datos'!$J$2:$K$10,2,0)</f>
        <v>AV. PDTE. EDUARDO FREI 8301, QUILICURA</v>
      </c>
      <c r="V50" s="384" t="s">
        <v>467</v>
      </c>
      <c r="W50" s="66" t="s">
        <v>468</v>
      </c>
      <c r="X50" s="220" t="s">
        <v>469</v>
      </c>
      <c r="Y50" s="254" t="s">
        <v>470</v>
      </c>
      <c r="Z50" s="220">
        <v>2605113776</v>
      </c>
      <c r="AA50" s="219">
        <v>2605114358</v>
      </c>
      <c r="AB50" s="19">
        <v>46089.799814814818</v>
      </c>
      <c r="AC50" s="324">
        <v>46090</v>
      </c>
      <c r="AD50" s="215">
        <v>46087</v>
      </c>
      <c r="AE50" s="271">
        <v>4090180226</v>
      </c>
      <c r="AF50" s="24">
        <v>46090</v>
      </c>
      <c r="AG50" s="388">
        <v>46090</v>
      </c>
      <c r="AH50" s="388">
        <v>46090</v>
      </c>
      <c r="AI50" s="384">
        <v>141500</v>
      </c>
      <c r="AJ50" s="384"/>
      <c r="AK50" s="188">
        <v>857.58</v>
      </c>
    </row>
    <row r="51" spans="1:37" ht="24.75" customHeight="1">
      <c r="A51" s="187" t="s">
        <v>471</v>
      </c>
      <c r="B51" s="187">
        <v>180228</v>
      </c>
      <c r="C51" s="230" t="s">
        <v>39</v>
      </c>
      <c r="D51" s="5" t="s">
        <v>40</v>
      </c>
      <c r="E51" s="189">
        <v>46085</v>
      </c>
      <c r="K51" s="3" t="s">
        <v>60</v>
      </c>
      <c r="L51" s="2" t="s">
        <v>45</v>
      </c>
      <c r="M51" s="4" t="s">
        <v>46</v>
      </c>
      <c r="N51" s="2" t="s">
        <v>47</v>
      </c>
      <c r="O51" s="3" t="s">
        <v>472</v>
      </c>
      <c r="P51" s="288"/>
      <c r="Q51" s="296" t="s">
        <v>135</v>
      </c>
      <c r="R51" s="389" t="s">
        <v>473</v>
      </c>
      <c r="S51" s="30" t="s">
        <v>474</v>
      </c>
      <c r="T51" s="278" t="s">
        <v>76</v>
      </c>
      <c r="U51" s="2" t="str">
        <f>VLOOKUP('IMPO TERR'!T51,'Matriz datos'!$J$2:$K$10,2,0)</f>
        <v>AV. PDTE. EDUARDO FREI 8301, QUILICURA</v>
      </c>
      <c r="V51" s="384" t="s">
        <v>475</v>
      </c>
      <c r="W51" s="66" t="s">
        <v>476</v>
      </c>
      <c r="X51" s="220" t="s">
        <v>477</v>
      </c>
      <c r="Y51" s="5" t="s">
        <v>478</v>
      </c>
      <c r="Z51" s="220">
        <v>2605113989</v>
      </c>
      <c r="AA51" s="219">
        <v>2605114359</v>
      </c>
      <c r="AB51" s="386">
        <v>46089.287129629629</v>
      </c>
      <c r="AC51" s="390">
        <v>46090</v>
      </c>
      <c r="AD51" s="213">
        <v>46087</v>
      </c>
      <c r="AE51" s="5">
        <v>4090180228</v>
      </c>
      <c r="AF51" s="24">
        <v>46090</v>
      </c>
      <c r="AG51" s="46">
        <v>46090</v>
      </c>
      <c r="AH51" s="388">
        <v>46091</v>
      </c>
      <c r="AI51" s="384">
        <v>141508</v>
      </c>
      <c r="AJ51" s="384"/>
      <c r="AK51" s="188">
        <v>857.58</v>
      </c>
    </row>
    <row r="52" spans="1:37" ht="24.75" customHeight="1">
      <c r="A52" s="187" t="s">
        <v>479</v>
      </c>
      <c r="B52" s="187">
        <v>180230</v>
      </c>
      <c r="C52" s="230" t="s">
        <v>39</v>
      </c>
      <c r="D52" s="5" t="s">
        <v>40</v>
      </c>
      <c r="E52" s="189">
        <v>46085</v>
      </c>
      <c r="K52" s="3" t="s">
        <v>44</v>
      </c>
      <c r="L52" s="2" t="s">
        <v>45</v>
      </c>
      <c r="M52" s="4" t="s">
        <v>46</v>
      </c>
      <c r="N52" s="2" t="s">
        <v>47</v>
      </c>
      <c r="O52" s="3" t="s">
        <v>480</v>
      </c>
      <c r="P52" s="288">
        <v>40352</v>
      </c>
      <c r="Q52" s="296" t="s">
        <v>481</v>
      </c>
      <c r="R52" s="389" t="s">
        <v>482</v>
      </c>
      <c r="S52" s="30" t="s">
        <v>483</v>
      </c>
      <c r="T52" s="278" t="s">
        <v>102</v>
      </c>
      <c r="U52" s="2" t="str">
        <f>VLOOKUP('IMPO TERR'!T51,'Matriz datos'!$J$2:$K$10,2,0)</f>
        <v>AV. PDTE. EDUARDO FREI 8301, QUILICURA</v>
      </c>
      <c r="V52" s="384" t="s">
        <v>484</v>
      </c>
      <c r="W52" s="66" t="s">
        <v>485</v>
      </c>
      <c r="X52" s="220" t="s">
        <v>486</v>
      </c>
      <c r="Y52" s="5" t="s">
        <v>487</v>
      </c>
      <c r="Z52" s="220">
        <v>2605114628</v>
      </c>
      <c r="AA52" s="219">
        <v>2605117796</v>
      </c>
      <c r="AB52" s="388">
        <v>46094</v>
      </c>
      <c r="AC52" s="390">
        <v>46095</v>
      </c>
      <c r="AD52" s="39">
        <v>46090</v>
      </c>
      <c r="AE52" s="271">
        <v>4090180230</v>
      </c>
      <c r="AF52" s="24">
        <v>46095</v>
      </c>
      <c r="AG52" s="388">
        <v>46097</v>
      </c>
      <c r="AH52" s="46">
        <v>46097</v>
      </c>
      <c r="AI52" s="384">
        <v>41609</v>
      </c>
      <c r="AJ52" s="384"/>
      <c r="AK52" s="188">
        <v>857.58</v>
      </c>
    </row>
    <row r="53" spans="1:37" ht="24.75" customHeight="1">
      <c r="A53" s="187" t="s">
        <v>488</v>
      </c>
      <c r="B53" s="187">
        <v>180242</v>
      </c>
      <c r="C53" s="230" t="s">
        <v>39</v>
      </c>
      <c r="D53" s="43" t="s">
        <v>40</v>
      </c>
      <c r="E53" s="189">
        <v>46086</v>
      </c>
      <c r="G53" s="2" t="s">
        <v>489</v>
      </c>
      <c r="K53" s="3" t="s">
        <v>60</v>
      </c>
      <c r="L53" s="2" t="s">
        <v>45</v>
      </c>
      <c r="M53" s="4" t="s">
        <v>46</v>
      </c>
      <c r="N53" s="2" t="s">
        <v>47</v>
      </c>
      <c r="O53" s="3" t="s">
        <v>490</v>
      </c>
      <c r="P53" s="288"/>
      <c r="Q53" s="296" t="s">
        <v>237</v>
      </c>
      <c r="R53" s="389" t="s">
        <v>491</v>
      </c>
      <c r="S53" s="30" t="s">
        <v>492</v>
      </c>
      <c r="T53" s="278" t="s">
        <v>102</v>
      </c>
      <c r="U53" s="2" t="s">
        <v>493</v>
      </c>
      <c r="V53" s="384" t="s">
        <v>494</v>
      </c>
      <c r="W53" s="66" t="s">
        <v>495</v>
      </c>
      <c r="X53" s="220" t="s">
        <v>496</v>
      </c>
      <c r="Y53" s="5" t="s">
        <v>497</v>
      </c>
      <c r="Z53" s="220">
        <v>2605111955</v>
      </c>
      <c r="AA53" s="219">
        <v>2605112639</v>
      </c>
      <c r="AB53" s="386">
        <v>46089.864548611113</v>
      </c>
      <c r="AC53" s="324">
        <v>46090</v>
      </c>
      <c r="AD53" s="215">
        <v>46087</v>
      </c>
      <c r="AE53" s="271">
        <v>4090180242</v>
      </c>
      <c r="AF53" s="24">
        <v>46090</v>
      </c>
      <c r="AG53" s="388">
        <v>46090</v>
      </c>
      <c r="AH53" s="388">
        <v>46090</v>
      </c>
      <c r="AI53" s="384">
        <v>141490</v>
      </c>
      <c r="AJ53" s="384"/>
      <c r="AK53" s="188">
        <v>857.58</v>
      </c>
    </row>
    <row r="54" spans="1:37" ht="24.75" customHeight="1">
      <c r="A54" s="187" t="s">
        <v>498</v>
      </c>
      <c r="B54" s="187">
        <v>180249</v>
      </c>
      <c r="C54" s="230" t="s">
        <v>39</v>
      </c>
      <c r="D54" s="5" t="s">
        <v>40</v>
      </c>
      <c r="E54" s="189">
        <v>46086</v>
      </c>
      <c r="K54" s="3" t="s">
        <v>60</v>
      </c>
      <c r="L54" s="2" t="s">
        <v>45</v>
      </c>
      <c r="M54" s="4" t="s">
        <v>46</v>
      </c>
      <c r="N54" s="2" t="s">
        <v>47</v>
      </c>
      <c r="O54" s="2" t="s">
        <v>499</v>
      </c>
      <c r="P54" s="288"/>
      <c r="Q54" s="296" t="s">
        <v>49</v>
      </c>
      <c r="R54" s="389" t="s">
        <v>500</v>
      </c>
      <c r="S54" s="30" t="s">
        <v>501</v>
      </c>
      <c r="T54" s="278" t="s">
        <v>102</v>
      </c>
      <c r="U54" s="2" t="str">
        <f>VLOOKUP('IMPO TERR'!T54,'Matriz datos'!$J$2:$K$10,2,0)</f>
        <v>AV. AMERICO VESPUCIO 0350, QUILICURA</v>
      </c>
      <c r="V54" s="384" t="s">
        <v>502</v>
      </c>
      <c r="W54" s="66" t="s">
        <v>503</v>
      </c>
      <c r="X54" s="247" t="s">
        <v>504</v>
      </c>
      <c r="Y54" s="33" t="s">
        <v>505</v>
      </c>
      <c r="Z54" s="219">
        <v>2605111677</v>
      </c>
      <c r="AA54" s="219">
        <v>2605112425</v>
      </c>
      <c r="AB54" s="19">
        <v>46090.026643518519</v>
      </c>
      <c r="AC54" s="324">
        <v>46090</v>
      </c>
      <c r="AD54" s="215">
        <v>46087</v>
      </c>
      <c r="AE54" s="271">
        <v>4090180249</v>
      </c>
      <c r="AF54" s="24">
        <v>46090</v>
      </c>
      <c r="AG54" s="388">
        <v>46090</v>
      </c>
      <c r="AH54" s="46">
        <v>46090</v>
      </c>
      <c r="AI54" s="384">
        <v>141498</v>
      </c>
      <c r="AJ54" s="384"/>
      <c r="AK54" s="188">
        <v>857.58</v>
      </c>
    </row>
    <row r="55" spans="1:37" ht="24.75" customHeight="1">
      <c r="A55" s="187" t="s">
        <v>506</v>
      </c>
      <c r="B55" s="187">
        <v>180257</v>
      </c>
      <c r="C55" s="230" t="s">
        <v>39</v>
      </c>
      <c r="D55" s="43" t="s">
        <v>40</v>
      </c>
      <c r="E55" s="189">
        <v>46086</v>
      </c>
      <c r="G55" s="2" t="s">
        <v>507</v>
      </c>
      <c r="K55" s="3" t="s">
        <v>44</v>
      </c>
      <c r="L55" s="2" t="s">
        <v>280</v>
      </c>
      <c r="M55" s="4" t="s">
        <v>46</v>
      </c>
      <c r="N55" s="2" t="s">
        <v>47</v>
      </c>
      <c r="O55" s="2" t="s">
        <v>508</v>
      </c>
      <c r="P55" s="288"/>
      <c r="Q55" s="296" t="s">
        <v>509</v>
      </c>
      <c r="R55" s="389" t="s">
        <v>510</v>
      </c>
      <c r="S55" s="387" t="s">
        <v>511</v>
      </c>
      <c r="T55" s="278" t="s">
        <v>441</v>
      </c>
      <c r="U55" s="2" t="str">
        <f>VLOOKUP('IMPO TERR'!T55,'Matriz datos'!$J$2:$K$10,2,0)</f>
        <v>CAMINO LO AGUIRRE SUR 537, PUDAHUEL </v>
      </c>
      <c r="V55" s="384" t="s">
        <v>512</v>
      </c>
      <c r="W55" s="66" t="s">
        <v>513</v>
      </c>
      <c r="X55" s="247" t="s">
        <v>514</v>
      </c>
      <c r="Y55" s="220" t="s">
        <v>515</v>
      </c>
      <c r="Z55" s="219">
        <v>2605113022</v>
      </c>
      <c r="AA55" s="219">
        <v>2605114351</v>
      </c>
      <c r="AB55" s="386">
        <v>46087.834062499998</v>
      </c>
      <c r="AC55" s="324">
        <v>46088</v>
      </c>
      <c r="AD55" s="215">
        <v>46087</v>
      </c>
      <c r="AE55" s="271">
        <v>4090180257</v>
      </c>
      <c r="AF55" s="24">
        <v>46090</v>
      </c>
      <c r="AG55" s="46">
        <v>46091</v>
      </c>
      <c r="AH55" s="388">
        <v>46092</v>
      </c>
      <c r="AI55" s="384">
        <v>141516</v>
      </c>
      <c r="AJ55" s="384"/>
    </row>
    <row r="56" spans="1:37" ht="24.75" customHeight="1">
      <c r="A56" s="187" t="s">
        <v>516</v>
      </c>
      <c r="B56" s="187">
        <v>180261</v>
      </c>
      <c r="C56" s="230" t="s">
        <v>39</v>
      </c>
      <c r="D56" s="43" t="s">
        <v>40</v>
      </c>
      <c r="E56" s="189">
        <v>46086</v>
      </c>
      <c r="K56" s="3" t="s">
        <v>44</v>
      </c>
      <c r="L56" s="2" t="s">
        <v>61</v>
      </c>
      <c r="M56" s="4" t="s">
        <v>46</v>
      </c>
      <c r="N56" s="2" t="s">
        <v>47</v>
      </c>
      <c r="O56" s="395" t="s">
        <v>517</v>
      </c>
      <c r="P56" s="288">
        <v>2026</v>
      </c>
      <c r="Q56" s="297" t="s">
        <v>170</v>
      </c>
      <c r="R56" s="389" t="s">
        <v>518</v>
      </c>
      <c r="S56" s="387" t="s">
        <v>519</v>
      </c>
      <c r="T56" s="278" t="s">
        <v>196</v>
      </c>
      <c r="U56" s="2" t="str">
        <f>VLOOKUP('IMPO TERR'!T56,'Matriz datos'!$J$2:$K$10,2,0)</f>
        <v>AV. EL PARRON 345, LA CISTERNA</v>
      </c>
      <c r="V56" s="384" t="s">
        <v>520</v>
      </c>
      <c r="X56" s="247" t="s">
        <v>521</v>
      </c>
      <c r="Y56" s="220" t="s">
        <v>522</v>
      </c>
      <c r="Z56" s="219">
        <v>2605114146</v>
      </c>
      <c r="AA56" s="219">
        <v>2605117769</v>
      </c>
      <c r="AB56" s="388">
        <v>46091</v>
      </c>
      <c r="AC56" s="390">
        <v>46092</v>
      </c>
      <c r="AD56" s="22">
        <v>46090</v>
      </c>
      <c r="AE56" s="5">
        <v>4090180261</v>
      </c>
      <c r="AF56" s="23">
        <v>46092</v>
      </c>
      <c r="AG56" s="46">
        <v>46092</v>
      </c>
      <c r="AH56" s="388">
        <v>46094</v>
      </c>
      <c r="AI56" s="384">
        <v>141554</v>
      </c>
      <c r="AJ56" s="383">
        <v>28770000</v>
      </c>
    </row>
    <row r="57" spans="1:37" ht="24.75" customHeight="1">
      <c r="A57" s="187" t="s">
        <v>523</v>
      </c>
      <c r="B57" s="187">
        <v>180263</v>
      </c>
      <c r="C57" s="230" t="s">
        <v>39</v>
      </c>
      <c r="D57" s="5" t="s">
        <v>40</v>
      </c>
      <c r="E57" s="189">
        <v>46086</v>
      </c>
      <c r="K57" s="3" t="s">
        <v>44</v>
      </c>
      <c r="L57" s="2" t="s">
        <v>61</v>
      </c>
      <c r="M57" s="4" t="s">
        <v>46</v>
      </c>
      <c r="N57" s="2" t="s">
        <v>47</v>
      </c>
      <c r="O57" s="395" t="s">
        <v>524</v>
      </c>
      <c r="P57" s="288"/>
      <c r="Q57" s="296" t="s">
        <v>63</v>
      </c>
      <c r="R57" s="389" t="s">
        <v>525</v>
      </c>
      <c r="S57" s="387" t="s">
        <v>526</v>
      </c>
      <c r="T57" s="278" t="s">
        <v>441</v>
      </c>
      <c r="U57" s="2" t="str">
        <f>VLOOKUP('IMPO TERR'!T57,'Matriz datos'!$J$2:$K$10,2,0)</f>
        <v>CAMINO LO AGUIRRE SUR 537, PUDAHUEL </v>
      </c>
      <c r="V57" s="384" t="s">
        <v>527</v>
      </c>
      <c r="W57" s="66" t="s">
        <v>528</v>
      </c>
      <c r="X57" s="247" t="s">
        <v>529</v>
      </c>
      <c r="Y57" s="220" t="s">
        <v>530</v>
      </c>
      <c r="Z57" s="219">
        <v>2605112925</v>
      </c>
      <c r="AA57" s="219">
        <v>2605114353</v>
      </c>
      <c r="AB57" s="388">
        <v>46091</v>
      </c>
      <c r="AC57" s="390">
        <v>46091</v>
      </c>
      <c r="AD57" s="213">
        <v>46088</v>
      </c>
      <c r="AE57" s="5">
        <v>4090180263</v>
      </c>
      <c r="AF57" s="23">
        <v>46091</v>
      </c>
      <c r="AG57" s="388">
        <v>46091</v>
      </c>
      <c r="AH57" s="388">
        <v>46092</v>
      </c>
      <c r="AI57" s="384">
        <v>141533</v>
      </c>
      <c r="AJ57" s="384"/>
    </row>
    <row r="58" spans="1:37" ht="24.75" customHeight="1">
      <c r="A58" s="187" t="s">
        <v>531</v>
      </c>
      <c r="B58" s="187">
        <v>180265</v>
      </c>
      <c r="C58" s="230" t="s">
        <v>39</v>
      </c>
      <c r="D58" s="43" t="s">
        <v>40</v>
      </c>
      <c r="E58" s="189">
        <v>46086</v>
      </c>
      <c r="K58" s="3" t="s">
        <v>44</v>
      </c>
      <c r="L58" s="2" t="s">
        <v>61</v>
      </c>
      <c r="M58" s="4" t="s">
        <v>46</v>
      </c>
      <c r="N58" s="2" t="s">
        <v>47</v>
      </c>
      <c r="O58" s="2" t="s">
        <v>532</v>
      </c>
      <c r="P58" s="288">
        <v>2026</v>
      </c>
      <c r="Q58" s="296" t="s">
        <v>170</v>
      </c>
      <c r="R58" s="74" t="s">
        <v>533</v>
      </c>
      <c r="S58" s="387" t="s">
        <v>534</v>
      </c>
      <c r="T58" s="278" t="s">
        <v>535</v>
      </c>
      <c r="U58" s="2" t="str">
        <f>VLOOKUP('IMPO TERR'!T58,'Matriz datos'!$J$2:$K$10,2,0)</f>
        <v>6 ORIENTE 152-D CALETERA ORIENTE ALTURA KM 39, PAINE</v>
      </c>
      <c r="V58" s="384" t="s">
        <v>536</v>
      </c>
      <c r="W58" s="282">
        <v>3541151</v>
      </c>
      <c r="X58" s="247" t="s">
        <v>537</v>
      </c>
      <c r="Y58" s="220" t="s">
        <v>538</v>
      </c>
      <c r="Z58" s="219">
        <v>2605115963</v>
      </c>
      <c r="AA58" s="221">
        <v>2605117795</v>
      </c>
      <c r="AB58" s="46">
        <v>46091</v>
      </c>
      <c r="AC58" s="390">
        <v>46092</v>
      </c>
      <c r="AD58" s="6">
        <v>46090</v>
      </c>
      <c r="AE58" s="5">
        <v>4090180265</v>
      </c>
      <c r="AF58" s="23">
        <v>46092</v>
      </c>
      <c r="AG58" s="46">
        <v>46092</v>
      </c>
      <c r="AH58" s="388">
        <v>46093</v>
      </c>
      <c r="AI58" s="384">
        <v>141550</v>
      </c>
      <c r="AJ58" s="384"/>
    </row>
    <row r="59" spans="1:37" ht="24.75" customHeight="1">
      <c r="A59" s="187" t="s">
        <v>539</v>
      </c>
      <c r="B59" s="187">
        <v>180284</v>
      </c>
      <c r="C59" s="230" t="s">
        <v>39</v>
      </c>
      <c r="D59" s="5" t="s">
        <v>40</v>
      </c>
      <c r="E59" s="189">
        <v>46087</v>
      </c>
      <c r="K59" s="3" t="s">
        <v>44</v>
      </c>
      <c r="L59" s="2" t="s">
        <v>61</v>
      </c>
      <c r="M59" s="4" t="s">
        <v>46</v>
      </c>
      <c r="N59" s="2" t="s">
        <v>47</v>
      </c>
      <c r="O59" s="395" t="s">
        <v>540</v>
      </c>
      <c r="P59" s="288">
        <v>2026</v>
      </c>
      <c r="Q59" s="296" t="s">
        <v>170</v>
      </c>
      <c r="R59" s="389" t="s">
        <v>541</v>
      </c>
      <c r="S59" s="387" t="s">
        <v>542</v>
      </c>
      <c r="T59" s="278" t="s">
        <v>76</v>
      </c>
      <c r="U59" s="2" t="str">
        <f>VLOOKUP('IMPO TERR'!T59,'Matriz datos'!$J$2:$K$10,2,0)</f>
        <v>AV. PDTE. EDUARDO FREI 8301, QUILICURA</v>
      </c>
      <c r="V59" s="384" t="s">
        <v>543</v>
      </c>
      <c r="W59" s="282">
        <v>5168711</v>
      </c>
      <c r="X59" s="247" t="s">
        <v>544</v>
      </c>
      <c r="Y59" s="220" t="s">
        <v>545</v>
      </c>
      <c r="Z59" s="219">
        <v>2605116837</v>
      </c>
      <c r="AA59" s="219">
        <v>2605117897</v>
      </c>
      <c r="AB59" s="46">
        <v>46091</v>
      </c>
      <c r="AC59" s="390">
        <v>46092</v>
      </c>
      <c r="AD59" s="6">
        <v>46091</v>
      </c>
      <c r="AE59" s="5">
        <v>4090180284</v>
      </c>
      <c r="AF59" s="23">
        <v>46092</v>
      </c>
      <c r="AG59" s="388">
        <v>46092</v>
      </c>
      <c r="AH59" s="388">
        <v>46093</v>
      </c>
      <c r="AI59" s="384">
        <v>141551</v>
      </c>
      <c r="AJ59" s="384"/>
    </row>
    <row r="60" spans="1:37" ht="24.75" customHeight="1">
      <c r="A60" s="187" t="s">
        <v>546</v>
      </c>
      <c r="B60" s="187">
        <v>180286</v>
      </c>
      <c r="C60" s="230" t="s">
        <v>39</v>
      </c>
      <c r="D60" s="5" t="s">
        <v>40</v>
      </c>
      <c r="E60" s="189">
        <v>46087</v>
      </c>
      <c r="K60" s="3" t="s">
        <v>60</v>
      </c>
      <c r="L60" s="2" t="s">
        <v>45</v>
      </c>
      <c r="M60" s="4" t="s">
        <v>46</v>
      </c>
      <c r="N60" s="2" t="s">
        <v>47</v>
      </c>
      <c r="O60" s="395" t="s">
        <v>547</v>
      </c>
      <c r="P60" s="288"/>
      <c r="Q60" s="296" t="s">
        <v>49</v>
      </c>
      <c r="R60" s="389" t="s">
        <v>548</v>
      </c>
      <c r="S60" s="387" t="s">
        <v>549</v>
      </c>
      <c r="T60" s="278" t="s">
        <v>66</v>
      </c>
      <c r="U60" s="2" t="str">
        <f>VLOOKUP('IMPO TERR'!T60,'Matriz datos'!$J$2:$K$10,2,0)</f>
        <v>CAMINO SANTA MARTA 2101, MAIPU</v>
      </c>
      <c r="V60" s="384" t="s">
        <v>550</v>
      </c>
      <c r="W60" s="66" t="s">
        <v>551</v>
      </c>
      <c r="X60" s="247" t="s">
        <v>552</v>
      </c>
      <c r="Y60" s="220" t="s">
        <v>553</v>
      </c>
      <c r="Z60" s="219">
        <v>2605115511</v>
      </c>
      <c r="AA60" s="219">
        <v>2605123254</v>
      </c>
      <c r="AB60" s="49">
        <v>46093</v>
      </c>
      <c r="AC60" s="324">
        <v>46094</v>
      </c>
      <c r="AD60" s="57">
        <v>46092</v>
      </c>
      <c r="AE60" s="5">
        <v>4090180286</v>
      </c>
      <c r="AF60" s="23">
        <v>46093</v>
      </c>
      <c r="AG60" s="46">
        <v>46094</v>
      </c>
      <c r="AH60" s="388">
        <v>46094</v>
      </c>
      <c r="AI60" s="384">
        <v>141587</v>
      </c>
      <c r="AJ60" s="383">
        <v>16820000</v>
      </c>
    </row>
    <row r="61" spans="1:37" ht="24.75" customHeight="1">
      <c r="A61" s="187" t="s">
        <v>554</v>
      </c>
      <c r="B61" s="187">
        <v>180288</v>
      </c>
      <c r="C61" s="230" t="s">
        <v>39</v>
      </c>
      <c r="D61" s="5" t="s">
        <v>40</v>
      </c>
      <c r="E61" s="189">
        <v>46087</v>
      </c>
      <c r="K61" s="3" t="s">
        <v>44</v>
      </c>
      <c r="L61" s="2" t="s">
        <v>45</v>
      </c>
      <c r="M61" s="4" t="s">
        <v>46</v>
      </c>
      <c r="N61" s="2" t="s">
        <v>47</v>
      </c>
      <c r="O61" s="395" t="s">
        <v>555</v>
      </c>
      <c r="P61" s="288">
        <v>45262</v>
      </c>
      <c r="Q61" s="296" t="s">
        <v>49</v>
      </c>
      <c r="R61" s="389" t="s">
        <v>556</v>
      </c>
      <c r="S61" s="387" t="s">
        <v>557</v>
      </c>
      <c r="T61" s="278" t="s">
        <v>76</v>
      </c>
      <c r="U61" s="2" t="str">
        <f>VLOOKUP('IMPO TERR'!T61,'Matriz datos'!$J$2:$K$10,2,0)</f>
        <v>AV. PDTE. EDUARDO FREI 8301, QUILICURA</v>
      </c>
      <c r="V61" s="384" t="s">
        <v>558</v>
      </c>
      <c r="W61" s="66" t="s">
        <v>559</v>
      </c>
      <c r="X61" s="247" t="s">
        <v>560</v>
      </c>
      <c r="Y61" s="220" t="s">
        <v>561</v>
      </c>
      <c r="Z61" s="219">
        <v>2605117066</v>
      </c>
      <c r="AA61" s="256">
        <v>2605117915</v>
      </c>
      <c r="AB61" s="388">
        <v>46104</v>
      </c>
      <c r="AC61" s="324">
        <v>46105</v>
      </c>
      <c r="AD61" s="22">
        <v>46091</v>
      </c>
      <c r="AE61" s="5">
        <v>4090180288</v>
      </c>
      <c r="AF61" s="265">
        <v>46105</v>
      </c>
      <c r="AG61" s="388">
        <v>46105</v>
      </c>
      <c r="AH61" s="388">
        <v>46105</v>
      </c>
      <c r="AI61" s="384"/>
      <c r="AJ61" s="384"/>
    </row>
    <row r="62" spans="1:37" ht="24.75" customHeight="1">
      <c r="A62" s="187" t="s">
        <v>562</v>
      </c>
      <c r="B62" s="187">
        <v>180289</v>
      </c>
      <c r="C62" s="230" t="s">
        <v>39</v>
      </c>
      <c r="D62" s="5" t="s">
        <v>40</v>
      </c>
      <c r="E62" s="189">
        <v>46087</v>
      </c>
      <c r="G62" s="2" t="s">
        <v>563</v>
      </c>
      <c r="K62" s="3" t="s">
        <v>60</v>
      </c>
      <c r="L62" s="2" t="s">
        <v>45</v>
      </c>
      <c r="M62" s="4" t="s">
        <v>46</v>
      </c>
      <c r="N62" s="2" t="s">
        <v>47</v>
      </c>
      <c r="O62" s="395" t="s">
        <v>564</v>
      </c>
      <c r="P62" s="288">
        <v>40322</v>
      </c>
      <c r="Q62" s="296" t="s">
        <v>247</v>
      </c>
      <c r="R62" s="389" t="s">
        <v>565</v>
      </c>
      <c r="S62" s="387" t="s">
        <v>566</v>
      </c>
      <c r="T62" s="278" t="s">
        <v>76</v>
      </c>
      <c r="U62" s="2" t="str">
        <f>VLOOKUP('IMPO TERR'!T62,'Matriz datos'!$J$2:$K$10,2,0)</f>
        <v>AV. PDTE. EDUARDO FREI 8301, QUILICURA</v>
      </c>
      <c r="V62" s="384" t="s">
        <v>567</v>
      </c>
      <c r="W62" s="66" t="s">
        <v>568</v>
      </c>
      <c r="X62" s="247" t="s">
        <v>569</v>
      </c>
      <c r="Y62" s="220" t="s">
        <v>570</v>
      </c>
      <c r="Z62" s="219">
        <v>2605118034</v>
      </c>
      <c r="AA62" s="221">
        <v>2605120449</v>
      </c>
      <c r="AB62" s="46">
        <v>46094</v>
      </c>
      <c r="AC62" s="390">
        <v>46095</v>
      </c>
      <c r="AD62" s="57">
        <v>46091</v>
      </c>
      <c r="AE62" s="5">
        <v>4090180289</v>
      </c>
      <c r="AF62" s="23">
        <v>46095</v>
      </c>
      <c r="AG62" s="388">
        <v>46104</v>
      </c>
      <c r="AH62" s="46">
        <v>46104</v>
      </c>
      <c r="AI62" s="384"/>
      <c r="AJ62" s="383">
        <v>21190000</v>
      </c>
    </row>
    <row r="63" spans="1:37" ht="24.75" customHeight="1">
      <c r="A63" s="187" t="s">
        <v>571</v>
      </c>
      <c r="B63" s="187">
        <v>180290</v>
      </c>
      <c r="C63" s="230" t="s">
        <v>39</v>
      </c>
      <c r="D63" s="43" t="s">
        <v>40</v>
      </c>
      <c r="E63" s="189">
        <v>46088</v>
      </c>
      <c r="K63" s="3" t="s">
        <v>44</v>
      </c>
      <c r="L63" s="2" t="s">
        <v>45</v>
      </c>
      <c r="M63" s="4" t="s">
        <v>46</v>
      </c>
      <c r="N63" s="2" t="s">
        <v>47</v>
      </c>
      <c r="O63" s="395" t="s">
        <v>572</v>
      </c>
      <c r="P63" s="288">
        <v>42111</v>
      </c>
      <c r="Q63" s="296" t="s">
        <v>126</v>
      </c>
      <c r="R63" s="389" t="s">
        <v>573</v>
      </c>
      <c r="S63" s="387" t="s">
        <v>574</v>
      </c>
      <c r="T63" s="278" t="s">
        <v>102</v>
      </c>
      <c r="U63" s="2" t="s">
        <v>575</v>
      </c>
      <c r="V63" s="384" t="s">
        <v>576</v>
      </c>
      <c r="W63" s="66" t="s">
        <v>577</v>
      </c>
      <c r="X63" s="247" t="s">
        <v>578</v>
      </c>
      <c r="Y63" s="5" t="s">
        <v>579</v>
      </c>
      <c r="Z63" s="219">
        <v>2605115713</v>
      </c>
      <c r="AA63" s="221">
        <v>2605117940</v>
      </c>
      <c r="AB63" s="388">
        <v>46097</v>
      </c>
      <c r="AC63" s="390">
        <v>46098</v>
      </c>
      <c r="AD63" s="22">
        <v>46090</v>
      </c>
      <c r="AE63" s="5">
        <v>4090180290</v>
      </c>
      <c r="AF63" s="23">
        <v>46098</v>
      </c>
      <c r="AG63" s="46">
        <v>46098</v>
      </c>
      <c r="AH63" s="46">
        <v>46098</v>
      </c>
      <c r="AI63" s="384"/>
      <c r="AJ63" s="383">
        <v>27800000</v>
      </c>
    </row>
    <row r="64" spans="1:37" ht="24.75" customHeight="1">
      <c r="A64" s="187" t="s">
        <v>580</v>
      </c>
      <c r="B64" s="187">
        <v>180291</v>
      </c>
      <c r="C64" s="230" t="s">
        <v>39</v>
      </c>
      <c r="D64" s="5" t="s">
        <v>40</v>
      </c>
      <c r="E64" s="189">
        <v>46088</v>
      </c>
      <c r="K64" s="3" t="s">
        <v>60</v>
      </c>
      <c r="L64" s="2" t="s">
        <v>45</v>
      </c>
      <c r="M64" s="4" t="s">
        <v>46</v>
      </c>
      <c r="N64" s="2" t="s">
        <v>47</v>
      </c>
      <c r="O64" s="395" t="s">
        <v>581</v>
      </c>
      <c r="P64" s="288">
        <v>40320</v>
      </c>
      <c r="Q64" s="296" t="s">
        <v>49</v>
      </c>
      <c r="R64" s="389" t="s">
        <v>582</v>
      </c>
      <c r="S64" s="387" t="s">
        <v>583</v>
      </c>
      <c r="T64" s="278" t="s">
        <v>76</v>
      </c>
      <c r="U64" s="2" t="str">
        <f>VLOOKUP('IMPO TERR'!T64,'Matriz datos'!$J$2:$K$10,2,0)</f>
        <v>AV. PDTE. EDUARDO FREI 8301, QUILICURA</v>
      </c>
      <c r="V64" s="384" t="s">
        <v>584</v>
      </c>
      <c r="W64" s="66" t="s">
        <v>585</v>
      </c>
      <c r="X64" s="247" t="s">
        <v>586</v>
      </c>
      <c r="Y64" s="220" t="s">
        <v>587</v>
      </c>
      <c r="Z64" s="219">
        <v>2605117336</v>
      </c>
      <c r="AA64" s="219">
        <v>2605120518</v>
      </c>
      <c r="AB64" s="388">
        <v>46094</v>
      </c>
      <c r="AC64" s="390">
        <v>46095</v>
      </c>
      <c r="AD64" s="22">
        <v>46091</v>
      </c>
      <c r="AE64" s="5">
        <v>4090180291</v>
      </c>
      <c r="AF64" s="23">
        <v>46095</v>
      </c>
      <c r="AG64" s="388">
        <v>46095</v>
      </c>
      <c r="AH64" s="388">
        <v>46095</v>
      </c>
      <c r="AI64" s="384">
        <v>141598</v>
      </c>
      <c r="AJ64" s="383">
        <v>20440000</v>
      </c>
    </row>
    <row r="65" spans="1:36" ht="24.75" customHeight="1">
      <c r="A65" s="187" t="s">
        <v>588</v>
      </c>
      <c r="B65" s="187">
        <v>180292</v>
      </c>
      <c r="C65" s="230" t="s">
        <v>39</v>
      </c>
      <c r="D65" s="5" t="s">
        <v>40</v>
      </c>
      <c r="E65" s="189">
        <v>46088</v>
      </c>
      <c r="K65" s="3" t="s">
        <v>44</v>
      </c>
      <c r="L65" s="2" t="s">
        <v>45</v>
      </c>
      <c r="M65" s="4" t="s">
        <v>46</v>
      </c>
      <c r="N65" s="2" t="s">
        <v>47</v>
      </c>
      <c r="O65" s="395" t="s">
        <v>589</v>
      </c>
      <c r="P65" s="288">
        <v>41046</v>
      </c>
      <c r="Q65" s="296" t="s">
        <v>49</v>
      </c>
      <c r="R65" s="389" t="s">
        <v>590</v>
      </c>
      <c r="S65" s="387" t="s">
        <v>590</v>
      </c>
      <c r="T65" s="278" t="s">
        <v>76</v>
      </c>
      <c r="U65" s="2" t="str">
        <f>VLOOKUP('IMPO TERR'!T65,'Matriz datos'!$J$2:$K$10,2,0)</f>
        <v>AV. PDTE. EDUARDO FREI 8301, QUILICURA</v>
      </c>
      <c r="V65" s="384" t="s">
        <v>591</v>
      </c>
      <c r="W65" s="66" t="s">
        <v>592</v>
      </c>
      <c r="X65" s="247" t="s">
        <v>593</v>
      </c>
      <c r="Y65" s="220" t="s">
        <v>594</v>
      </c>
      <c r="Z65" s="219">
        <v>2605116674</v>
      </c>
      <c r="AA65" s="219">
        <v>2605117725</v>
      </c>
      <c r="AB65" s="388">
        <v>46096</v>
      </c>
      <c r="AC65" s="324">
        <v>46097</v>
      </c>
      <c r="AD65" s="22">
        <v>46090</v>
      </c>
      <c r="AE65" s="5">
        <v>4090180292</v>
      </c>
      <c r="AF65" s="23">
        <v>46097</v>
      </c>
      <c r="AG65" s="388">
        <v>46097</v>
      </c>
      <c r="AH65" s="388">
        <v>46098</v>
      </c>
      <c r="AI65" s="384">
        <v>141638</v>
      </c>
      <c r="AJ65" s="383">
        <v>26080000</v>
      </c>
    </row>
    <row r="66" spans="1:36" ht="24.75" customHeight="1">
      <c r="A66" s="187" t="s">
        <v>595</v>
      </c>
      <c r="B66" s="187">
        <v>180293</v>
      </c>
      <c r="C66" s="230" t="s">
        <v>39</v>
      </c>
      <c r="D66" s="5" t="s">
        <v>142</v>
      </c>
      <c r="E66" s="189">
        <v>46088</v>
      </c>
      <c r="K66" s="3" t="s">
        <v>44</v>
      </c>
      <c r="L66" s="2" t="s">
        <v>45</v>
      </c>
      <c r="M66" s="4" t="s">
        <v>46</v>
      </c>
      <c r="N66" s="2" t="s">
        <v>47</v>
      </c>
      <c r="O66" s="395" t="s">
        <v>596</v>
      </c>
      <c r="P66" s="288">
        <v>41312</v>
      </c>
      <c r="Q66" s="296" t="s">
        <v>49</v>
      </c>
      <c r="R66" s="389" t="s">
        <v>597</v>
      </c>
      <c r="S66" s="387" t="s">
        <v>598</v>
      </c>
      <c r="T66" s="278" t="s">
        <v>76</v>
      </c>
      <c r="U66" s="2" t="str">
        <f>VLOOKUP('IMPO TERR'!T66,'Matriz datos'!$J$2:$K$10,2,0)</f>
        <v>AV. PDTE. EDUARDO FREI 8301, QUILICURA</v>
      </c>
      <c r="V66" s="384" t="s">
        <v>599</v>
      </c>
      <c r="W66" s="66" t="s">
        <v>600</v>
      </c>
      <c r="X66" s="247" t="s">
        <v>601</v>
      </c>
      <c r="Y66" s="33" t="s">
        <v>602</v>
      </c>
      <c r="Z66" s="219">
        <v>2605116951</v>
      </c>
      <c r="AA66" s="221">
        <v>2605117887</v>
      </c>
      <c r="AB66" s="388">
        <v>46096</v>
      </c>
      <c r="AC66" s="390">
        <v>46097</v>
      </c>
      <c r="AD66" s="22">
        <v>46091</v>
      </c>
      <c r="AE66" s="5">
        <v>4090180293</v>
      </c>
      <c r="AF66" s="23">
        <v>46097</v>
      </c>
      <c r="AG66" s="388">
        <v>46098</v>
      </c>
      <c r="AH66" s="388">
        <v>46098</v>
      </c>
      <c r="AI66" s="384">
        <v>141650</v>
      </c>
      <c r="AJ66" s="383">
        <v>24400000</v>
      </c>
    </row>
    <row r="67" spans="1:36" ht="24.75" customHeight="1">
      <c r="A67" s="187" t="s">
        <v>603</v>
      </c>
      <c r="B67" s="187">
        <v>180311</v>
      </c>
      <c r="C67" s="230" t="s">
        <v>39</v>
      </c>
      <c r="D67" s="43" t="s">
        <v>40</v>
      </c>
      <c r="E67" s="189">
        <v>46090</v>
      </c>
      <c r="K67" s="3" t="s">
        <v>60</v>
      </c>
      <c r="L67" s="2" t="s">
        <v>45</v>
      </c>
      <c r="M67" s="4" t="s">
        <v>46</v>
      </c>
      <c r="N67" s="2" t="s">
        <v>47</v>
      </c>
      <c r="O67" s="395" t="s">
        <v>604</v>
      </c>
      <c r="P67" s="288">
        <v>40314</v>
      </c>
      <c r="Q67" s="296"/>
      <c r="R67" s="389" t="s">
        <v>605</v>
      </c>
      <c r="S67" s="387" t="s">
        <v>606</v>
      </c>
      <c r="T67" s="278" t="s">
        <v>102</v>
      </c>
      <c r="U67" s="395" t="s">
        <v>240</v>
      </c>
      <c r="V67" s="384" t="s">
        <v>607</v>
      </c>
      <c r="W67" s="66">
        <v>24625000</v>
      </c>
      <c r="X67" s="220" t="s">
        <v>608</v>
      </c>
      <c r="Y67" s="5" t="s">
        <v>609</v>
      </c>
      <c r="Z67" s="220">
        <v>2605119647</v>
      </c>
      <c r="AA67" s="219">
        <v>2605120411</v>
      </c>
      <c r="AB67" s="46">
        <v>46094</v>
      </c>
      <c r="AC67" s="390">
        <v>46095</v>
      </c>
      <c r="AD67" s="22">
        <v>46092</v>
      </c>
      <c r="AE67" s="5">
        <v>4090180311</v>
      </c>
      <c r="AF67" s="23">
        <v>46095</v>
      </c>
      <c r="AG67" s="388">
        <v>46095</v>
      </c>
      <c r="AH67" s="388">
        <v>46095</v>
      </c>
      <c r="AI67" s="384">
        <v>141604</v>
      </c>
      <c r="AJ67" s="383">
        <v>17540000</v>
      </c>
    </row>
    <row r="68" spans="1:36" ht="24.75" customHeight="1">
      <c r="A68" s="187" t="s">
        <v>610</v>
      </c>
      <c r="B68" s="187">
        <v>180312</v>
      </c>
      <c r="C68" s="230" t="s">
        <v>39</v>
      </c>
      <c r="D68" s="5" t="s">
        <v>142</v>
      </c>
      <c r="E68" s="189">
        <v>46090</v>
      </c>
      <c r="K68" s="3" t="s">
        <v>44</v>
      </c>
      <c r="L68" s="2" t="s">
        <v>45</v>
      </c>
      <c r="M68" s="4" t="s">
        <v>46</v>
      </c>
      <c r="N68" s="2" t="s">
        <v>47</v>
      </c>
      <c r="O68" s="395" t="s">
        <v>611</v>
      </c>
      <c r="P68" s="288">
        <v>40978</v>
      </c>
      <c r="Q68" s="296" t="s">
        <v>49</v>
      </c>
      <c r="R68" s="389" t="s">
        <v>612</v>
      </c>
      <c r="S68" s="387" t="s">
        <v>613</v>
      </c>
      <c r="T68" s="278" t="s">
        <v>76</v>
      </c>
      <c r="U68" s="2" t="str">
        <f>VLOOKUP('IMPO TERR'!T68,'Matriz datos'!$J$2:$K$10,2,0)</f>
        <v>AV. PDTE. EDUARDO FREI 8301, QUILICURA</v>
      </c>
      <c r="V68" s="384" t="s">
        <v>614</v>
      </c>
      <c r="W68" s="66" t="s">
        <v>615</v>
      </c>
      <c r="X68" s="247" t="s">
        <v>616</v>
      </c>
      <c r="Y68" s="255" t="s">
        <v>617</v>
      </c>
      <c r="Z68" s="219">
        <v>2605118330</v>
      </c>
      <c r="AA68" s="221">
        <v>2605120465</v>
      </c>
      <c r="AB68" s="388">
        <v>46096</v>
      </c>
      <c r="AC68" s="390">
        <v>46097</v>
      </c>
      <c r="AD68" s="57">
        <v>46091</v>
      </c>
      <c r="AE68" s="5">
        <v>4090180312</v>
      </c>
      <c r="AF68" s="23">
        <v>46097</v>
      </c>
      <c r="AG68" s="388">
        <v>46098</v>
      </c>
      <c r="AH68" s="388">
        <v>46098</v>
      </c>
      <c r="AI68" s="384">
        <v>141647</v>
      </c>
      <c r="AJ68" s="383">
        <v>24110000</v>
      </c>
    </row>
    <row r="69" spans="1:36" ht="24.75" customHeight="1">
      <c r="A69" s="187" t="s">
        <v>618</v>
      </c>
      <c r="B69" s="187">
        <v>180313</v>
      </c>
      <c r="C69" s="230" t="s">
        <v>39</v>
      </c>
      <c r="D69" s="5" t="s">
        <v>40</v>
      </c>
      <c r="E69" s="189">
        <v>46090</v>
      </c>
      <c r="K69" s="3" t="s">
        <v>60</v>
      </c>
      <c r="L69" s="2" t="s">
        <v>45</v>
      </c>
      <c r="M69" s="4" t="s">
        <v>46</v>
      </c>
      <c r="N69" s="2" t="s">
        <v>47</v>
      </c>
      <c r="O69" s="395" t="s">
        <v>619</v>
      </c>
      <c r="P69" s="288">
        <v>40485</v>
      </c>
      <c r="Q69" s="296"/>
      <c r="R69" s="389" t="s">
        <v>620</v>
      </c>
      <c r="S69" s="387" t="s">
        <v>621</v>
      </c>
      <c r="T69" s="14" t="s">
        <v>66</v>
      </c>
      <c r="U69" s="2" t="str">
        <f>VLOOKUP('IMPO TERR'!T69,'Matriz datos'!$J$2:$K$10,2,0)</f>
        <v>CAMINO SANTA MARTA 2101, MAIPU</v>
      </c>
      <c r="V69" s="384" t="s">
        <v>622</v>
      </c>
      <c r="W69" s="66" t="s">
        <v>623</v>
      </c>
      <c r="X69" s="247" t="s">
        <v>624</v>
      </c>
      <c r="Y69" s="220" t="s">
        <v>625</v>
      </c>
      <c r="Z69" s="219">
        <v>2605117369</v>
      </c>
      <c r="AA69" s="219">
        <v>2605122815</v>
      </c>
      <c r="AB69" s="388">
        <v>46094</v>
      </c>
      <c r="AC69" s="324">
        <v>46095</v>
      </c>
      <c r="AD69" s="22">
        <v>46093</v>
      </c>
      <c r="AE69" s="5">
        <v>4090180313</v>
      </c>
      <c r="AF69" s="23">
        <v>46095</v>
      </c>
      <c r="AG69" s="388">
        <v>46095</v>
      </c>
      <c r="AH69" s="388">
        <v>46095</v>
      </c>
      <c r="AI69" s="384">
        <v>141610</v>
      </c>
      <c r="AJ69" s="383">
        <v>16870000</v>
      </c>
    </row>
    <row r="70" spans="1:36" ht="24.75" customHeight="1">
      <c r="A70" s="187" t="s">
        <v>626</v>
      </c>
      <c r="B70" s="187">
        <v>180314</v>
      </c>
      <c r="C70" s="230" t="s">
        <v>39</v>
      </c>
      <c r="D70" s="5" t="s">
        <v>40</v>
      </c>
      <c r="E70" s="189">
        <v>46090</v>
      </c>
      <c r="G70" s="2" t="s">
        <v>627</v>
      </c>
      <c r="K70" s="3" t="s">
        <v>44</v>
      </c>
      <c r="L70" s="2" t="s">
        <v>45</v>
      </c>
      <c r="M70" s="4" t="s">
        <v>46</v>
      </c>
      <c r="N70" s="2" t="s">
        <v>47</v>
      </c>
      <c r="O70" s="395" t="s">
        <v>628</v>
      </c>
      <c r="P70" s="288">
        <v>37030</v>
      </c>
      <c r="Q70" s="296" t="s">
        <v>49</v>
      </c>
      <c r="R70" s="389" t="s">
        <v>629</v>
      </c>
      <c r="S70" s="387" t="s">
        <v>630</v>
      </c>
      <c r="T70" s="14" t="s">
        <v>76</v>
      </c>
      <c r="U70" s="2" t="str">
        <f>VLOOKUP('IMPO TERR'!T70,'Matriz datos'!$J$2:$K$10,2,0)</f>
        <v>AV. PDTE. EDUARDO FREI 8301, QUILICURA</v>
      </c>
      <c r="V70" s="384" t="s">
        <v>631</v>
      </c>
      <c r="W70" s="66" t="s">
        <v>632</v>
      </c>
      <c r="X70" s="247" t="s">
        <v>633</v>
      </c>
      <c r="Y70" s="220" t="s">
        <v>634</v>
      </c>
      <c r="Z70" s="219">
        <v>2605116934</v>
      </c>
      <c r="AA70" s="219">
        <v>2605125477</v>
      </c>
      <c r="AB70" s="46">
        <v>46089</v>
      </c>
      <c r="AC70" s="390">
        <v>46090</v>
      </c>
      <c r="AD70" s="22">
        <v>46093</v>
      </c>
      <c r="AE70" s="5">
        <v>4090180314</v>
      </c>
      <c r="AF70" s="23">
        <v>46094</v>
      </c>
      <c r="AG70" s="49">
        <v>46094</v>
      </c>
      <c r="AH70" s="49">
        <v>46094</v>
      </c>
      <c r="AI70" s="384">
        <v>141596</v>
      </c>
      <c r="AJ70" s="383">
        <v>25560000</v>
      </c>
    </row>
    <row r="71" spans="1:36" ht="24.75" customHeight="1">
      <c r="A71" s="187" t="s">
        <v>635</v>
      </c>
      <c r="B71" s="187">
        <v>180318</v>
      </c>
      <c r="C71" s="230" t="s">
        <v>39</v>
      </c>
      <c r="D71" s="2" t="s">
        <v>58</v>
      </c>
      <c r="E71" s="189">
        <v>46090</v>
      </c>
      <c r="K71" s="3" t="s">
        <v>44</v>
      </c>
      <c r="L71" s="2" t="s">
        <v>61</v>
      </c>
      <c r="M71" s="4" t="s">
        <v>46</v>
      </c>
      <c r="N71" s="2" t="s">
        <v>47</v>
      </c>
      <c r="O71" s="395" t="s">
        <v>636</v>
      </c>
      <c r="P71" s="288">
        <v>40724</v>
      </c>
      <c r="Q71" s="296" t="s">
        <v>63</v>
      </c>
      <c r="R71" s="389" t="s">
        <v>637</v>
      </c>
      <c r="S71" s="387" t="s">
        <v>638</v>
      </c>
      <c r="T71" s="14" t="s">
        <v>76</v>
      </c>
      <c r="U71" s="2" t="str">
        <f>VLOOKUP('IMPO TERR'!T71,'Matriz datos'!$J$2:$K$10,2,0)</f>
        <v>AV. PDTE. EDUARDO FREI 8301, QUILICURA</v>
      </c>
      <c r="V71" s="384" t="s">
        <v>639</v>
      </c>
      <c r="W71" s="66" t="s">
        <v>640</v>
      </c>
      <c r="X71" s="247" t="s">
        <v>641</v>
      </c>
      <c r="Y71" s="220" t="s">
        <v>642</v>
      </c>
      <c r="Z71" s="219">
        <v>2605117104</v>
      </c>
      <c r="AA71" s="219">
        <v>2605118333</v>
      </c>
      <c r="AB71" s="388">
        <v>46095</v>
      </c>
      <c r="AC71" s="390">
        <v>46096</v>
      </c>
      <c r="AD71" s="22">
        <v>46091</v>
      </c>
      <c r="AE71" s="5">
        <v>4090180318</v>
      </c>
      <c r="AF71" s="23">
        <v>46097</v>
      </c>
      <c r="AG71" s="388">
        <v>46097</v>
      </c>
      <c r="AH71" s="49">
        <v>46098</v>
      </c>
      <c r="AI71" s="384">
        <v>141614</v>
      </c>
      <c r="AJ71" s="383">
        <v>27060000</v>
      </c>
    </row>
    <row r="72" spans="1:36" ht="24.75" customHeight="1">
      <c r="A72" s="187" t="s">
        <v>643</v>
      </c>
      <c r="B72" s="187">
        <v>180319</v>
      </c>
      <c r="C72" s="230" t="s">
        <v>39</v>
      </c>
      <c r="D72" s="5" t="s">
        <v>40</v>
      </c>
      <c r="E72" s="189">
        <v>46090</v>
      </c>
      <c r="K72" s="3" t="s">
        <v>44</v>
      </c>
      <c r="L72" s="2" t="s">
        <v>45</v>
      </c>
      <c r="M72" s="4" t="s">
        <v>46</v>
      </c>
      <c r="N72" s="2" t="s">
        <v>47</v>
      </c>
      <c r="O72" s="395" t="s">
        <v>644</v>
      </c>
      <c r="P72" s="288">
        <v>41073</v>
      </c>
      <c r="Q72" s="296"/>
      <c r="R72" s="389" t="s">
        <v>645</v>
      </c>
      <c r="S72" s="387" t="s">
        <v>646</v>
      </c>
      <c r="T72" s="14" t="s">
        <v>76</v>
      </c>
      <c r="U72" s="2" t="str">
        <f>VLOOKUP('IMPO TERR'!T72,'Matriz datos'!$J$2:$K$10,2,0)</f>
        <v>AV. PDTE. EDUARDO FREI 8301, QUILICURA</v>
      </c>
      <c r="V72" s="384" t="s">
        <v>647</v>
      </c>
      <c r="W72" s="283" t="s">
        <v>648</v>
      </c>
      <c r="X72" s="247" t="s">
        <v>649</v>
      </c>
      <c r="Y72" s="220" t="s">
        <v>650</v>
      </c>
      <c r="Z72" s="219">
        <v>2605119861</v>
      </c>
      <c r="AA72" s="221">
        <v>2605120421</v>
      </c>
      <c r="AB72" s="388">
        <v>46096</v>
      </c>
      <c r="AC72" s="390">
        <v>46097</v>
      </c>
      <c r="AD72" s="22">
        <v>46092</v>
      </c>
      <c r="AE72" s="5">
        <v>4090180319</v>
      </c>
      <c r="AF72" s="23">
        <v>46097</v>
      </c>
      <c r="AG72" s="388">
        <v>46098</v>
      </c>
      <c r="AH72" s="388">
        <v>46098</v>
      </c>
      <c r="AI72" s="384">
        <v>141643</v>
      </c>
      <c r="AJ72" s="383">
        <v>24760000</v>
      </c>
    </row>
    <row r="73" spans="1:36" ht="24.75" customHeight="1">
      <c r="A73" s="187" t="s">
        <v>651</v>
      </c>
      <c r="B73" s="187">
        <v>180320</v>
      </c>
      <c r="C73" s="230" t="s">
        <v>39</v>
      </c>
      <c r="D73" s="2" t="s">
        <v>58</v>
      </c>
      <c r="E73" s="189">
        <v>45360</v>
      </c>
      <c r="K73" s="3" t="s">
        <v>44</v>
      </c>
      <c r="L73" s="2" t="s">
        <v>61</v>
      </c>
      <c r="M73" s="4" t="s">
        <v>46</v>
      </c>
      <c r="N73" s="2" t="s">
        <v>47</v>
      </c>
      <c r="O73" s="395" t="s">
        <v>652</v>
      </c>
      <c r="P73" s="288">
        <v>40725</v>
      </c>
      <c r="Q73" s="296" t="s">
        <v>63</v>
      </c>
      <c r="R73" s="389" t="s">
        <v>653</v>
      </c>
      <c r="S73" s="387" t="s">
        <v>654</v>
      </c>
      <c r="T73" s="14" t="s">
        <v>441</v>
      </c>
      <c r="U73" s="2" t="str">
        <f>VLOOKUP('IMPO TERR'!T73,'Matriz datos'!$J$2:$K$10,2,0)</f>
        <v>CAMINO LO AGUIRRE SUR 537, PUDAHUEL </v>
      </c>
      <c r="V73" s="384" t="s">
        <v>655</v>
      </c>
      <c r="W73" s="66" t="s">
        <v>656</v>
      </c>
      <c r="X73" s="247" t="s">
        <v>657</v>
      </c>
      <c r="Y73" s="220" t="s">
        <v>658</v>
      </c>
      <c r="Z73" s="219">
        <v>2605118527</v>
      </c>
      <c r="AA73" s="219">
        <v>2605120479</v>
      </c>
      <c r="AB73" s="388">
        <v>46095</v>
      </c>
      <c r="AC73" s="390">
        <v>46096</v>
      </c>
      <c r="AD73" s="22">
        <v>46091</v>
      </c>
      <c r="AE73" s="5">
        <v>4090180320</v>
      </c>
      <c r="AF73" s="23">
        <v>46097</v>
      </c>
      <c r="AG73" s="388">
        <v>46097</v>
      </c>
      <c r="AH73" s="46">
        <v>46098</v>
      </c>
      <c r="AI73" s="384">
        <v>141613</v>
      </c>
      <c r="AJ73" s="383">
        <v>34020000</v>
      </c>
    </row>
    <row r="74" spans="1:36" ht="24.75" customHeight="1">
      <c r="A74" s="187" t="s">
        <v>659</v>
      </c>
      <c r="B74" s="187">
        <v>180328</v>
      </c>
      <c r="C74" s="230" t="s">
        <v>39</v>
      </c>
      <c r="D74" s="5" t="s">
        <v>40</v>
      </c>
      <c r="E74" s="189">
        <v>46090</v>
      </c>
      <c r="G74" s="2" t="s">
        <v>660</v>
      </c>
      <c r="K74" s="2" t="s">
        <v>60</v>
      </c>
      <c r="L74" s="2" t="s">
        <v>45</v>
      </c>
      <c r="M74" s="4" t="s">
        <v>46</v>
      </c>
      <c r="N74" s="2" t="s">
        <v>47</v>
      </c>
      <c r="O74" s="395" t="s">
        <v>661</v>
      </c>
      <c r="P74" s="288">
        <v>39870</v>
      </c>
      <c r="Q74" s="296" t="s">
        <v>237</v>
      </c>
      <c r="R74" s="389" t="s">
        <v>662</v>
      </c>
      <c r="S74" s="387" t="s">
        <v>663</v>
      </c>
      <c r="T74" s="14" t="s">
        <v>66</v>
      </c>
      <c r="U74" s="2" t="str">
        <f>VLOOKUP('IMPO TERR'!T74,'Matriz datos'!$J$2:$K$10,2,0)</f>
        <v>CAMINO SANTA MARTA 2101, MAIPU</v>
      </c>
      <c r="V74" s="384" t="s">
        <v>664</v>
      </c>
      <c r="X74" s="247" t="s">
        <v>665</v>
      </c>
      <c r="Y74" s="220" t="s">
        <v>666</v>
      </c>
      <c r="Z74" s="219">
        <v>2605121781</v>
      </c>
      <c r="AA74" s="219">
        <v>2605125611</v>
      </c>
      <c r="AB74" s="388">
        <v>46093</v>
      </c>
      <c r="AC74" s="390">
        <v>46094</v>
      </c>
      <c r="AD74" s="22">
        <v>46093</v>
      </c>
      <c r="AE74" s="5">
        <v>4090180328</v>
      </c>
      <c r="AF74" s="23">
        <v>46094</v>
      </c>
      <c r="AG74" s="46">
        <v>46094</v>
      </c>
      <c r="AH74" s="46">
        <v>46095</v>
      </c>
      <c r="AI74" s="384">
        <v>141594</v>
      </c>
      <c r="AJ74" s="384" t="s">
        <v>667</v>
      </c>
    </row>
    <row r="75" spans="1:36" ht="24.75" customHeight="1">
      <c r="A75" s="187" t="s">
        <v>668</v>
      </c>
      <c r="B75" s="187">
        <v>180329</v>
      </c>
      <c r="C75" s="230" t="s">
        <v>39</v>
      </c>
      <c r="D75" s="5" t="s">
        <v>40</v>
      </c>
      <c r="E75" s="189">
        <v>46090</v>
      </c>
      <c r="K75" s="2" t="s">
        <v>44</v>
      </c>
      <c r="L75" s="2" t="s">
        <v>280</v>
      </c>
      <c r="M75" s="4" t="s">
        <v>46</v>
      </c>
      <c r="N75" s="2" t="s">
        <v>47</v>
      </c>
      <c r="O75" s="395" t="s">
        <v>669</v>
      </c>
      <c r="P75" s="288"/>
      <c r="Q75" s="296" t="s">
        <v>282</v>
      </c>
      <c r="R75" s="389" t="s">
        <v>670</v>
      </c>
      <c r="S75" s="30" t="s">
        <v>671</v>
      </c>
      <c r="T75" s="14" t="s">
        <v>441</v>
      </c>
      <c r="U75" s="2" t="str">
        <f>VLOOKUP('IMPO TERR'!T75,'Matriz datos'!$J$2:$K$10,2,0)</f>
        <v>CAMINO LO AGUIRRE SUR 537, PUDAHUEL </v>
      </c>
      <c r="V75" s="384" t="s">
        <v>672</v>
      </c>
      <c r="W75" s="66" t="s">
        <v>673</v>
      </c>
      <c r="X75" s="247" t="s">
        <v>674</v>
      </c>
      <c r="Y75" s="220" t="s">
        <v>675</v>
      </c>
      <c r="Z75" s="219">
        <v>2605118861</v>
      </c>
      <c r="AA75" s="219">
        <v>2605120536</v>
      </c>
      <c r="AB75" s="388">
        <v>46091</v>
      </c>
      <c r="AC75" s="390">
        <v>46092</v>
      </c>
      <c r="AD75" s="272">
        <v>46092</v>
      </c>
      <c r="AE75" s="5">
        <v>4090180329</v>
      </c>
      <c r="AF75" s="23">
        <v>46092</v>
      </c>
      <c r="AG75" s="388">
        <v>46092</v>
      </c>
      <c r="AH75" s="388">
        <v>46092</v>
      </c>
      <c r="AI75" s="384">
        <v>141569</v>
      </c>
      <c r="AJ75" s="383">
        <v>29110000</v>
      </c>
    </row>
    <row r="76" spans="1:36" ht="24.75" customHeight="1">
      <c r="A76" s="187" t="s">
        <v>676</v>
      </c>
      <c r="B76" s="187">
        <v>180331</v>
      </c>
      <c r="C76" s="230" t="s">
        <v>39</v>
      </c>
      <c r="D76" s="5" t="s">
        <v>40</v>
      </c>
      <c r="E76" s="189">
        <v>46090</v>
      </c>
      <c r="G76" s="2" t="s">
        <v>677</v>
      </c>
      <c r="K76" s="2" t="s">
        <v>44</v>
      </c>
      <c r="L76" s="2" t="s">
        <v>280</v>
      </c>
      <c r="M76" s="4" t="s">
        <v>46</v>
      </c>
      <c r="N76" s="2" t="s">
        <v>47</v>
      </c>
      <c r="O76" s="395" t="s">
        <v>678</v>
      </c>
      <c r="P76" s="288" t="s">
        <v>679</v>
      </c>
      <c r="Q76" s="296"/>
      <c r="R76" s="389" t="s">
        <v>680</v>
      </c>
      <c r="S76" s="387" t="s">
        <v>681</v>
      </c>
      <c r="T76" s="14" t="s">
        <v>682</v>
      </c>
      <c r="U76" s="2" t="s">
        <v>683</v>
      </c>
      <c r="V76" s="384" t="s">
        <v>684</v>
      </c>
      <c r="W76" s="66" t="s">
        <v>685</v>
      </c>
      <c r="X76" s="247" t="s">
        <v>686</v>
      </c>
      <c r="Y76" s="220" t="s">
        <v>687</v>
      </c>
      <c r="Z76" s="219">
        <v>2605119244</v>
      </c>
      <c r="AA76" s="219">
        <v>2605120402</v>
      </c>
      <c r="AB76" s="388">
        <v>46093</v>
      </c>
      <c r="AC76" s="317">
        <v>46093</v>
      </c>
      <c r="AD76" s="49">
        <v>46092</v>
      </c>
      <c r="AE76" s="273">
        <v>4090180331</v>
      </c>
      <c r="AF76" s="23">
        <v>46093</v>
      </c>
      <c r="AG76" s="49">
        <v>46093</v>
      </c>
      <c r="AH76" s="46">
        <v>46094</v>
      </c>
      <c r="AI76" s="384">
        <v>141573</v>
      </c>
      <c r="AJ76" s="383">
        <v>36780000</v>
      </c>
    </row>
    <row r="77" spans="1:36" ht="24.75" customHeight="1">
      <c r="A77" s="238" t="s">
        <v>688</v>
      </c>
      <c r="B77" s="238">
        <v>180332</v>
      </c>
      <c r="C77" s="230" t="s">
        <v>39</v>
      </c>
      <c r="D77" s="5" t="s">
        <v>40</v>
      </c>
      <c r="E77" s="189">
        <v>46304</v>
      </c>
      <c r="K77" s="2" t="s">
        <v>44</v>
      </c>
      <c r="L77" s="2" t="s">
        <v>61</v>
      </c>
      <c r="M77" s="4" t="s">
        <v>46</v>
      </c>
      <c r="N77" s="2" t="s">
        <v>47</v>
      </c>
      <c r="O77" s="395" t="s">
        <v>689</v>
      </c>
      <c r="P77" s="288">
        <v>40352</v>
      </c>
      <c r="Q77" s="296"/>
      <c r="R77" s="389" t="s">
        <v>690</v>
      </c>
      <c r="S77" s="387" t="s">
        <v>691</v>
      </c>
      <c r="T77" s="14" t="s">
        <v>76</v>
      </c>
      <c r="U77" s="2" t="str">
        <f>VLOOKUP('IMPO TERR'!T77,'Matriz datos'!$J$2:$K$10,2,0)</f>
        <v>AV. PDTE. EDUARDO FREI 8301, QUILICURA</v>
      </c>
      <c r="V77" s="384" t="s">
        <v>692</v>
      </c>
      <c r="W77" s="282">
        <v>1888321</v>
      </c>
      <c r="X77" s="247" t="s">
        <v>693</v>
      </c>
      <c r="Y77" s="249" t="s">
        <v>694</v>
      </c>
      <c r="Z77" s="219">
        <v>2605119955</v>
      </c>
      <c r="AA77" s="219">
        <v>2605121038</v>
      </c>
      <c r="AB77" s="388">
        <v>46094</v>
      </c>
      <c r="AC77" s="390">
        <v>46095</v>
      </c>
      <c r="AD77" s="22">
        <v>46092</v>
      </c>
      <c r="AE77" s="5">
        <v>4090180332</v>
      </c>
      <c r="AF77" s="23">
        <v>46095</v>
      </c>
      <c r="AG77" s="388">
        <v>46095</v>
      </c>
      <c r="AH77" s="46">
        <v>46097</v>
      </c>
      <c r="AI77" s="384">
        <v>141606</v>
      </c>
      <c r="AJ77" s="383">
        <v>9010000</v>
      </c>
    </row>
    <row r="78" spans="1:36" ht="24.75" customHeight="1">
      <c r="A78" s="238" t="s">
        <v>695</v>
      </c>
      <c r="B78" s="238">
        <v>180333</v>
      </c>
      <c r="C78" s="230" t="s">
        <v>39</v>
      </c>
      <c r="D78" s="5" t="s">
        <v>40</v>
      </c>
      <c r="E78" s="189">
        <v>46304</v>
      </c>
      <c r="K78" s="2" t="s">
        <v>44</v>
      </c>
      <c r="L78" s="2" t="s">
        <v>61</v>
      </c>
      <c r="M78" s="4" t="s">
        <v>46</v>
      </c>
      <c r="N78" s="2" t="s">
        <v>47</v>
      </c>
      <c r="O78" s="395" t="s">
        <v>696</v>
      </c>
      <c r="P78" s="288">
        <v>40352</v>
      </c>
      <c r="Q78" s="296"/>
      <c r="R78" s="389" t="s">
        <v>690</v>
      </c>
      <c r="S78" s="387" t="s">
        <v>691</v>
      </c>
      <c r="T78" s="14" t="s">
        <v>76</v>
      </c>
      <c r="U78" s="2" t="str">
        <f>VLOOKUP('IMPO TERR'!T78,'Matriz datos'!$J$2:$K$10,2,0)</f>
        <v>AV. PDTE. EDUARDO FREI 8301, QUILICURA</v>
      </c>
      <c r="V78" s="384" t="s">
        <v>692</v>
      </c>
      <c r="W78" s="282">
        <v>1888321</v>
      </c>
      <c r="X78" s="220" t="s">
        <v>693</v>
      </c>
      <c r="Y78" s="5" t="s">
        <v>694</v>
      </c>
      <c r="Z78" s="220">
        <v>2605120001</v>
      </c>
      <c r="AA78" s="219">
        <v>2605121013</v>
      </c>
      <c r="AB78" s="388">
        <v>46094</v>
      </c>
      <c r="AC78" s="390">
        <v>46095</v>
      </c>
      <c r="AD78" s="57">
        <v>46092</v>
      </c>
      <c r="AE78" s="5">
        <v>4090180333</v>
      </c>
      <c r="AF78" s="23">
        <v>46095</v>
      </c>
      <c r="AG78" s="388">
        <v>46095</v>
      </c>
      <c r="AH78" s="46">
        <v>46097</v>
      </c>
      <c r="AI78" s="384">
        <v>141606</v>
      </c>
      <c r="AJ78" s="383">
        <v>18520000</v>
      </c>
    </row>
    <row r="79" spans="1:36" ht="24.75" customHeight="1">
      <c r="A79" s="187" t="s">
        <v>697</v>
      </c>
      <c r="B79" s="187">
        <v>180334</v>
      </c>
      <c r="C79" s="230" t="s">
        <v>39</v>
      </c>
      <c r="D79" s="5" t="s">
        <v>40</v>
      </c>
      <c r="E79" s="189">
        <v>46090</v>
      </c>
      <c r="K79" s="2" t="s">
        <v>44</v>
      </c>
      <c r="L79" s="2" t="s">
        <v>45</v>
      </c>
      <c r="M79" s="4" t="s">
        <v>46</v>
      </c>
      <c r="N79" s="2" t="s">
        <v>47</v>
      </c>
      <c r="O79" s="395" t="s">
        <v>698</v>
      </c>
      <c r="P79" s="288"/>
      <c r="Q79" s="296" t="s">
        <v>49</v>
      </c>
      <c r="R79" s="74" t="s">
        <v>699</v>
      </c>
      <c r="S79" s="387" t="s">
        <v>700</v>
      </c>
      <c r="T79" s="14" t="s">
        <v>76</v>
      </c>
      <c r="U79" s="2" t="str">
        <f>VLOOKUP('IMPO TERR'!T79,'Matriz datos'!$J$2:$K$10,2,0)</f>
        <v>AV. PDTE. EDUARDO FREI 8301, QUILICURA</v>
      </c>
      <c r="V79" s="384" t="s">
        <v>701</v>
      </c>
      <c r="W79" s="66" t="s">
        <v>702</v>
      </c>
      <c r="X79" s="220" t="s">
        <v>703</v>
      </c>
      <c r="Y79" s="5" t="s">
        <v>704</v>
      </c>
      <c r="Z79" s="220">
        <v>2605118942</v>
      </c>
      <c r="AA79" s="219">
        <v>2605120305</v>
      </c>
      <c r="AB79" s="46">
        <v>46089</v>
      </c>
      <c r="AC79" s="390">
        <v>46090</v>
      </c>
      <c r="AD79" s="22">
        <v>46092</v>
      </c>
      <c r="AE79" s="5">
        <v>4090180334</v>
      </c>
      <c r="AF79" s="23">
        <v>46092</v>
      </c>
      <c r="AG79" s="388">
        <v>46092</v>
      </c>
      <c r="AH79" s="388">
        <v>46092</v>
      </c>
      <c r="AI79" s="384">
        <v>141566</v>
      </c>
      <c r="AJ79" s="383">
        <v>25590000</v>
      </c>
    </row>
    <row r="80" spans="1:36" ht="24.75" customHeight="1">
      <c r="A80" s="187" t="s">
        <v>705</v>
      </c>
      <c r="B80" s="187">
        <v>180338</v>
      </c>
      <c r="C80" s="230" t="s">
        <v>39</v>
      </c>
      <c r="D80" s="5" t="s">
        <v>40</v>
      </c>
      <c r="E80" s="189">
        <v>46091</v>
      </c>
      <c r="K80" s="2" t="s">
        <v>44</v>
      </c>
      <c r="L80" s="2" t="s">
        <v>280</v>
      </c>
      <c r="M80" s="4" t="s">
        <v>46</v>
      </c>
      <c r="N80" s="2" t="s">
        <v>47</v>
      </c>
      <c r="O80" s="395" t="s">
        <v>706</v>
      </c>
      <c r="P80" s="288"/>
      <c r="Q80" s="296" t="s">
        <v>282</v>
      </c>
      <c r="R80" s="389" t="s">
        <v>707</v>
      </c>
      <c r="S80" s="248" t="s">
        <v>708</v>
      </c>
      <c r="T80" s="14" t="s">
        <v>76</v>
      </c>
      <c r="U80" s="2" t="str">
        <f>VLOOKUP('IMPO TERR'!T80,'Matriz datos'!$J$2:$K$10,2,0)</f>
        <v>AV. PDTE. EDUARDO FREI 8301, QUILICURA</v>
      </c>
      <c r="V80" s="384" t="s">
        <v>709</v>
      </c>
      <c r="W80" s="66" t="s">
        <v>710</v>
      </c>
      <c r="X80" s="247" t="s">
        <v>711</v>
      </c>
      <c r="Y80" s="255" t="s">
        <v>712</v>
      </c>
      <c r="Z80" s="219">
        <v>2605118967</v>
      </c>
      <c r="AA80" s="219">
        <v>2605120420</v>
      </c>
      <c r="AB80" s="388">
        <v>46091</v>
      </c>
      <c r="AC80" s="390">
        <v>46092</v>
      </c>
      <c r="AD80" s="22">
        <v>46091</v>
      </c>
      <c r="AE80" s="5">
        <v>4090180338</v>
      </c>
      <c r="AF80" s="23">
        <v>46091</v>
      </c>
      <c r="AG80" s="388">
        <v>46092</v>
      </c>
      <c r="AH80" s="388">
        <v>46092</v>
      </c>
      <c r="AI80" s="384">
        <v>141565</v>
      </c>
      <c r="AJ80" s="383">
        <v>49300000</v>
      </c>
    </row>
    <row r="81" spans="1:36" ht="24.75" customHeight="1">
      <c r="A81" s="187" t="s">
        <v>713</v>
      </c>
      <c r="B81" s="187">
        <v>180339</v>
      </c>
      <c r="C81" s="230" t="s">
        <v>39</v>
      </c>
      <c r="D81" s="2" t="s">
        <v>58</v>
      </c>
      <c r="E81" s="189">
        <v>46091</v>
      </c>
      <c r="K81" s="2" t="s">
        <v>60</v>
      </c>
      <c r="L81" s="2" t="s">
        <v>61</v>
      </c>
      <c r="M81" s="4" t="s">
        <v>46</v>
      </c>
      <c r="N81" s="2" t="s">
        <v>47</v>
      </c>
      <c r="O81" s="395" t="s">
        <v>714</v>
      </c>
      <c r="P81" s="288">
        <v>40765</v>
      </c>
      <c r="Q81" s="296"/>
      <c r="R81" s="389" t="s">
        <v>715</v>
      </c>
      <c r="S81" s="387" t="s">
        <v>716</v>
      </c>
      <c r="T81" s="14" t="s">
        <v>102</v>
      </c>
      <c r="U81" s="2" t="str">
        <f>VLOOKUP('IMPO TERR'!T81,'Matriz datos'!$J$2:$K$10,2,0)</f>
        <v>AV. AMERICO VESPUCIO 0350, QUILICURA</v>
      </c>
      <c r="V81" s="384" t="s">
        <v>717</v>
      </c>
      <c r="W81" s="383" t="s">
        <v>718</v>
      </c>
      <c r="X81" s="247" t="s">
        <v>719</v>
      </c>
      <c r="Y81" s="220" t="s">
        <v>720</v>
      </c>
      <c r="Z81" s="219">
        <v>2605120555</v>
      </c>
      <c r="AA81" s="219">
        <v>2605122751</v>
      </c>
      <c r="AB81" s="388">
        <v>46095</v>
      </c>
      <c r="AC81" s="390">
        <v>46096</v>
      </c>
      <c r="AD81" s="22">
        <v>46092</v>
      </c>
      <c r="AE81" s="5">
        <v>4090180339</v>
      </c>
      <c r="AF81" s="23">
        <v>46097</v>
      </c>
      <c r="AG81" s="388">
        <v>46097</v>
      </c>
      <c r="AH81" s="388">
        <v>46099</v>
      </c>
      <c r="AI81" s="384">
        <v>141636</v>
      </c>
      <c r="AJ81" s="383">
        <v>24530000</v>
      </c>
    </row>
    <row r="82" spans="1:36" ht="24.75" customHeight="1">
      <c r="A82" s="187" t="s">
        <v>721</v>
      </c>
      <c r="B82" s="187">
        <v>180340</v>
      </c>
      <c r="C82" s="230" t="s">
        <v>39</v>
      </c>
      <c r="D82" s="5" t="s">
        <v>40</v>
      </c>
      <c r="E82" s="189">
        <v>46091</v>
      </c>
      <c r="K82" s="2" t="s">
        <v>44</v>
      </c>
      <c r="L82" s="2" t="s">
        <v>61</v>
      </c>
      <c r="M82" s="4" t="s">
        <v>46</v>
      </c>
      <c r="N82" s="2" t="s">
        <v>47</v>
      </c>
      <c r="O82" s="395" t="s">
        <v>722</v>
      </c>
      <c r="P82" s="288">
        <v>40471</v>
      </c>
      <c r="Q82" s="296"/>
      <c r="R82" s="389" t="s">
        <v>723</v>
      </c>
      <c r="S82" s="387" t="s">
        <v>724</v>
      </c>
      <c r="T82" s="14" t="s">
        <v>76</v>
      </c>
      <c r="U82" s="2" t="str">
        <f>VLOOKUP('IMPO TERR'!T82,'Matriz datos'!$J$2:$K$10,2,0)</f>
        <v>AV. PDTE. EDUARDO FREI 8301, QUILICURA</v>
      </c>
      <c r="V82" s="384" t="s">
        <v>725</v>
      </c>
      <c r="W82" s="279" t="s">
        <v>726</v>
      </c>
      <c r="X82" s="247" t="s">
        <v>727</v>
      </c>
      <c r="Y82" s="33" t="s">
        <v>728</v>
      </c>
      <c r="Z82" s="219">
        <v>2605120568</v>
      </c>
      <c r="AA82" s="219">
        <v>2605122896</v>
      </c>
      <c r="AB82" s="388">
        <v>46094</v>
      </c>
      <c r="AC82" s="390">
        <v>46095</v>
      </c>
      <c r="AD82" s="22">
        <v>46092</v>
      </c>
      <c r="AE82" s="5">
        <v>4090180340</v>
      </c>
      <c r="AF82" s="23">
        <v>46095</v>
      </c>
      <c r="AG82" s="388">
        <v>46095</v>
      </c>
      <c r="AH82" s="388">
        <v>46098</v>
      </c>
      <c r="AI82" s="384">
        <v>141605</v>
      </c>
      <c r="AJ82" s="383">
        <v>13560000</v>
      </c>
    </row>
    <row r="83" spans="1:36" ht="24.75" customHeight="1">
      <c r="A83" s="187" t="s">
        <v>729</v>
      </c>
      <c r="B83" s="187">
        <v>180341</v>
      </c>
      <c r="C83" s="230" t="s">
        <v>39</v>
      </c>
      <c r="D83" s="5" t="s">
        <v>40</v>
      </c>
      <c r="E83" s="306" t="s">
        <v>730</v>
      </c>
      <c r="K83" s="2" t="s">
        <v>44</v>
      </c>
      <c r="L83" s="2" t="s">
        <v>61</v>
      </c>
      <c r="M83" s="4" t="s">
        <v>46</v>
      </c>
      <c r="N83" s="2" t="s">
        <v>47</v>
      </c>
      <c r="O83" s="395" t="s">
        <v>731</v>
      </c>
      <c r="P83" s="288">
        <v>40471</v>
      </c>
      <c r="R83" s="389" t="s">
        <v>723</v>
      </c>
      <c r="S83" s="237" t="s">
        <v>724</v>
      </c>
      <c r="T83" s="14" t="s">
        <v>76</v>
      </c>
      <c r="U83" s="2" t="str">
        <f>VLOOKUP('IMPO TERR'!T83,'Matriz datos'!$J$2:$K$10,2,0)</f>
        <v>AV. PDTE. EDUARDO FREI 8301, QUILICURA</v>
      </c>
      <c r="V83" s="384" t="s">
        <v>725</v>
      </c>
      <c r="W83" s="279" t="s">
        <v>726</v>
      </c>
      <c r="X83" s="247" t="s">
        <v>727</v>
      </c>
      <c r="Y83" s="220" t="s">
        <v>732</v>
      </c>
      <c r="Z83" s="219">
        <v>2605120044</v>
      </c>
      <c r="AA83" s="219">
        <v>2605122843</v>
      </c>
      <c r="AB83" s="388">
        <v>46094</v>
      </c>
      <c r="AC83" s="390">
        <v>46095</v>
      </c>
      <c r="AD83" s="22">
        <v>46092</v>
      </c>
      <c r="AE83" s="5">
        <v>4090180341</v>
      </c>
      <c r="AF83" s="23">
        <v>46095</v>
      </c>
      <c r="AG83" s="388">
        <v>46095</v>
      </c>
      <c r="AH83" s="388">
        <v>46098</v>
      </c>
      <c r="AI83" s="384">
        <v>141605</v>
      </c>
      <c r="AJ83" s="383">
        <v>13640000</v>
      </c>
    </row>
    <row r="84" spans="1:36" ht="24.75" customHeight="1">
      <c r="A84" s="187" t="s">
        <v>733</v>
      </c>
      <c r="B84" s="187">
        <v>180356</v>
      </c>
      <c r="C84" s="230" t="s">
        <v>39</v>
      </c>
      <c r="D84" s="43" t="s">
        <v>40</v>
      </c>
      <c r="E84" s="189">
        <v>46091</v>
      </c>
      <c r="K84" s="2" t="s">
        <v>44</v>
      </c>
      <c r="L84" s="2" t="s">
        <v>280</v>
      </c>
      <c r="M84" s="4" t="s">
        <v>46</v>
      </c>
      <c r="N84" s="2" t="s">
        <v>47</v>
      </c>
      <c r="O84" s="395" t="s">
        <v>734</v>
      </c>
      <c r="P84" s="288"/>
      <c r="Q84" s="296" t="s">
        <v>735</v>
      </c>
      <c r="R84" s="389" t="s">
        <v>736</v>
      </c>
      <c r="S84" s="387" t="s">
        <v>737</v>
      </c>
      <c r="T84" s="14" t="s">
        <v>76</v>
      </c>
      <c r="U84" s="2" t="str">
        <f>VLOOKUP('IMPO TERR'!T84,'Matriz datos'!$J$2:$K$10,2,0)</f>
        <v>AV. PDTE. EDUARDO FREI 8301, QUILICURA</v>
      </c>
      <c r="V84" s="384" t="s">
        <v>738</v>
      </c>
      <c r="W84" s="66" t="s">
        <v>739</v>
      </c>
      <c r="X84" s="247" t="s">
        <v>740</v>
      </c>
      <c r="Y84" s="220" t="s">
        <v>741</v>
      </c>
      <c r="Z84" s="219">
        <v>2605120769</v>
      </c>
      <c r="AA84" s="219">
        <v>2605122963</v>
      </c>
      <c r="AB84" s="388">
        <v>46093</v>
      </c>
      <c r="AC84" s="317">
        <v>46093</v>
      </c>
      <c r="AD84" s="22">
        <v>46092</v>
      </c>
      <c r="AE84" s="5">
        <v>4090180356</v>
      </c>
      <c r="AF84" s="23">
        <v>46093</v>
      </c>
      <c r="AG84" s="46">
        <v>46094</v>
      </c>
      <c r="AH84" s="388">
        <v>46094</v>
      </c>
      <c r="AI84" s="384">
        <v>141148</v>
      </c>
      <c r="AJ84" s="383">
        <v>49180000</v>
      </c>
    </row>
    <row r="85" spans="1:36" ht="24.75" customHeight="1">
      <c r="A85" s="187" t="s">
        <v>742</v>
      </c>
      <c r="B85" s="187">
        <v>180357</v>
      </c>
      <c r="C85" s="230" t="s">
        <v>39</v>
      </c>
      <c r="D85" s="5" t="s">
        <v>40</v>
      </c>
      <c r="E85" s="189">
        <v>46091</v>
      </c>
      <c r="K85" s="2" t="s">
        <v>44</v>
      </c>
      <c r="L85" s="2" t="s">
        <v>280</v>
      </c>
      <c r="M85" s="4" t="s">
        <v>46</v>
      </c>
      <c r="N85" s="2" t="s">
        <v>47</v>
      </c>
      <c r="O85" s="395" t="s">
        <v>743</v>
      </c>
      <c r="P85" s="288"/>
      <c r="Q85" s="296" t="s">
        <v>282</v>
      </c>
      <c r="R85" s="389" t="s">
        <v>744</v>
      </c>
      <c r="S85" s="387" t="s">
        <v>745</v>
      </c>
      <c r="T85" s="14" t="s">
        <v>76</v>
      </c>
      <c r="U85" s="2" t="str">
        <f>VLOOKUP('IMPO TERR'!T85,'Matriz datos'!$J$2:$K$10,2,0)</f>
        <v>AV. PDTE. EDUARDO FREI 8301, QUILICURA</v>
      </c>
      <c r="V85" s="384" t="s">
        <v>746</v>
      </c>
      <c r="W85" s="283" t="s">
        <v>747</v>
      </c>
      <c r="X85" s="247" t="s">
        <v>748</v>
      </c>
      <c r="Y85" s="220" t="s">
        <v>749</v>
      </c>
      <c r="Z85" s="219">
        <v>2605121478</v>
      </c>
      <c r="AA85" s="219">
        <v>2605122911</v>
      </c>
      <c r="AB85" s="49">
        <v>46092</v>
      </c>
      <c r="AC85" s="317">
        <v>46093</v>
      </c>
      <c r="AD85" s="22">
        <v>46093</v>
      </c>
      <c r="AE85" s="5">
        <v>4090180357</v>
      </c>
      <c r="AF85" s="23">
        <v>46093</v>
      </c>
      <c r="AG85" s="49">
        <v>46093</v>
      </c>
      <c r="AH85" s="388">
        <v>46093</v>
      </c>
      <c r="AI85" s="384">
        <v>141578</v>
      </c>
      <c r="AJ85" s="383">
        <v>30550000</v>
      </c>
    </row>
    <row r="86" spans="1:36" ht="24.75" customHeight="1">
      <c r="A86" s="187" t="s">
        <v>750</v>
      </c>
      <c r="B86" s="187">
        <v>180358</v>
      </c>
      <c r="C86" s="230" t="s">
        <v>39</v>
      </c>
      <c r="D86" s="171" t="s">
        <v>142</v>
      </c>
      <c r="E86" s="189">
        <v>46091</v>
      </c>
      <c r="K86" s="2" t="s">
        <v>60</v>
      </c>
      <c r="L86" s="2" t="s">
        <v>45</v>
      </c>
      <c r="M86" s="4" t="s">
        <v>46</v>
      </c>
      <c r="N86" s="2" t="s">
        <v>47</v>
      </c>
      <c r="O86" s="395" t="s">
        <v>751</v>
      </c>
      <c r="P86" s="288">
        <v>43701</v>
      </c>
      <c r="Q86" s="296" t="s">
        <v>237</v>
      </c>
      <c r="R86" s="389" t="s">
        <v>752</v>
      </c>
      <c r="S86" s="387" t="s">
        <v>753</v>
      </c>
      <c r="T86" s="14" t="s">
        <v>102</v>
      </c>
      <c r="U86" s="2" t="s">
        <v>754</v>
      </c>
      <c r="V86" s="384" t="s">
        <v>755</v>
      </c>
      <c r="W86" s="384">
        <v>162138413</v>
      </c>
      <c r="X86" s="247" t="s">
        <v>756</v>
      </c>
      <c r="Y86" s="249" t="s">
        <v>757</v>
      </c>
      <c r="Z86" s="219">
        <v>2605125296</v>
      </c>
      <c r="AA86" s="221">
        <v>2605127569</v>
      </c>
      <c r="AB86" s="388">
        <v>46099</v>
      </c>
      <c r="AC86" s="390">
        <v>46100</v>
      </c>
      <c r="AD86" s="22">
        <v>46094</v>
      </c>
      <c r="AE86" s="5">
        <v>4090180358</v>
      </c>
      <c r="AF86" s="23">
        <v>46100</v>
      </c>
      <c r="AG86" s="18" t="s">
        <v>758</v>
      </c>
      <c r="AH86" s="46">
        <v>46101</v>
      </c>
      <c r="AI86" s="384">
        <v>141720</v>
      </c>
      <c r="AJ86" s="383">
        <v>14980000</v>
      </c>
    </row>
    <row r="87" spans="1:36" ht="24.75" customHeight="1">
      <c r="A87" s="187" t="s">
        <v>759</v>
      </c>
      <c r="B87" s="187">
        <v>180359</v>
      </c>
      <c r="C87" s="230" t="s">
        <v>39</v>
      </c>
      <c r="D87" s="5" t="s">
        <v>40</v>
      </c>
      <c r="E87" s="189">
        <v>46091</v>
      </c>
      <c r="K87" s="2" t="s">
        <v>44</v>
      </c>
      <c r="L87" s="2" t="s">
        <v>45</v>
      </c>
      <c r="M87" s="4" t="s">
        <v>46</v>
      </c>
      <c r="N87" s="2" t="s">
        <v>47</v>
      </c>
      <c r="O87" s="2" t="s">
        <v>760</v>
      </c>
      <c r="P87" s="288">
        <v>41827</v>
      </c>
      <c r="Q87" s="296" t="s">
        <v>49</v>
      </c>
      <c r="R87" s="389" t="s">
        <v>761</v>
      </c>
      <c r="S87" s="30" t="s">
        <v>762</v>
      </c>
      <c r="T87" s="14" t="s">
        <v>76</v>
      </c>
      <c r="U87" s="2" t="str">
        <f>VLOOKUP('IMPO TERR'!T87,'Matriz datos'!$J$2:$K$10,2,0)</f>
        <v>AV. PDTE. EDUARDO FREI 8301, QUILICURA</v>
      </c>
      <c r="V87" s="384" t="s">
        <v>763</v>
      </c>
      <c r="W87" s="66" t="s">
        <v>764</v>
      </c>
      <c r="X87" s="220" t="s">
        <v>765</v>
      </c>
      <c r="Y87" s="5" t="s">
        <v>766</v>
      </c>
      <c r="Z87" s="220">
        <v>2605122382</v>
      </c>
      <c r="AA87" s="221">
        <v>2605125584</v>
      </c>
      <c r="AB87" s="388">
        <v>46097</v>
      </c>
      <c r="AC87" s="390">
        <v>46098</v>
      </c>
      <c r="AD87" s="22">
        <v>46093</v>
      </c>
      <c r="AE87" s="5">
        <v>4090180359</v>
      </c>
      <c r="AF87" s="23">
        <v>46097</v>
      </c>
      <c r="AG87" s="46">
        <v>46098</v>
      </c>
      <c r="AH87" s="46">
        <v>46099</v>
      </c>
      <c r="AI87" s="384"/>
      <c r="AJ87" s="383">
        <v>25420000</v>
      </c>
    </row>
    <row r="88" spans="1:36" ht="24.75" customHeight="1">
      <c r="A88" s="187" t="s">
        <v>767</v>
      </c>
      <c r="B88" s="187">
        <v>180360</v>
      </c>
      <c r="C88" s="230" t="s">
        <v>39</v>
      </c>
      <c r="D88" s="2" t="s">
        <v>58</v>
      </c>
      <c r="E88" s="189">
        <v>46091</v>
      </c>
      <c r="K88" s="2" t="s">
        <v>44</v>
      </c>
      <c r="L88" s="2" t="s">
        <v>61</v>
      </c>
      <c r="M88" s="4" t="s">
        <v>46</v>
      </c>
      <c r="N88" s="2" t="s">
        <v>47</v>
      </c>
      <c r="O88" s="395" t="s">
        <v>768</v>
      </c>
      <c r="P88" s="288">
        <v>41146</v>
      </c>
      <c r="Q88" s="296" t="s">
        <v>63</v>
      </c>
      <c r="R88" s="389" t="s">
        <v>769</v>
      </c>
      <c r="S88" s="30" t="s">
        <v>770</v>
      </c>
      <c r="T88" s="14" t="s">
        <v>450</v>
      </c>
      <c r="U88" s="2" t="str">
        <f>VLOOKUP('IMPO TERR'!T88,'Matriz datos'!$J$2:$K$10,2,0)</f>
        <v>CORDILLERA 451, QUILICURA</v>
      </c>
      <c r="V88" s="382" t="s">
        <v>771</v>
      </c>
      <c r="W88" s="66" t="s">
        <v>772</v>
      </c>
      <c r="X88" s="220" t="s">
        <v>773</v>
      </c>
      <c r="Y88" s="5" t="s">
        <v>774</v>
      </c>
      <c r="Z88" s="220">
        <v>2605122451</v>
      </c>
      <c r="AA88" s="219">
        <v>2605125662</v>
      </c>
      <c r="AB88" s="388">
        <v>46096</v>
      </c>
      <c r="AC88" s="390">
        <v>46097</v>
      </c>
      <c r="AD88" s="22">
        <v>46093</v>
      </c>
      <c r="AE88" s="273">
        <v>4090180360</v>
      </c>
      <c r="AF88" s="23">
        <v>46097</v>
      </c>
      <c r="AG88" s="388">
        <v>46097</v>
      </c>
      <c r="AH88" s="388">
        <v>46099</v>
      </c>
      <c r="AI88" s="384">
        <v>141622</v>
      </c>
      <c r="AJ88" s="383">
        <v>28710000</v>
      </c>
    </row>
    <row r="89" spans="1:36" ht="24.75" customHeight="1">
      <c r="A89" s="187" t="s">
        <v>775</v>
      </c>
      <c r="B89" s="187">
        <v>180361</v>
      </c>
      <c r="C89" s="230" t="s">
        <v>39</v>
      </c>
      <c r="D89" s="5" t="s">
        <v>142</v>
      </c>
      <c r="E89" s="189">
        <v>46091</v>
      </c>
      <c r="K89" s="2" t="s">
        <v>44</v>
      </c>
      <c r="L89" s="2" t="s">
        <v>61</v>
      </c>
      <c r="M89" s="4" t="s">
        <v>46</v>
      </c>
      <c r="N89" s="2" t="s">
        <v>47</v>
      </c>
      <c r="O89" s="395" t="s">
        <v>776</v>
      </c>
      <c r="P89" s="288">
        <v>40911</v>
      </c>
      <c r="Q89" s="296" t="s">
        <v>777</v>
      </c>
      <c r="R89" s="389" t="s">
        <v>778</v>
      </c>
      <c r="S89" s="387" t="s">
        <v>779</v>
      </c>
      <c r="T89" s="14" t="s">
        <v>196</v>
      </c>
      <c r="U89" s="2" t="str">
        <f>VLOOKUP('IMPO TERR'!T89,'Matriz datos'!$J$2:$K$10,2,0)</f>
        <v>AV. EL PARRON 345, LA CISTERNA</v>
      </c>
      <c r="V89" s="382" t="s">
        <v>780</v>
      </c>
      <c r="W89" s="282">
        <v>5272645</v>
      </c>
      <c r="X89" s="247" t="s">
        <v>781</v>
      </c>
      <c r="Y89" s="255" t="s">
        <v>782</v>
      </c>
      <c r="Z89" s="219">
        <v>2605125301</v>
      </c>
      <c r="AA89" s="221">
        <v>2605127571</v>
      </c>
      <c r="AB89" s="388">
        <v>46096</v>
      </c>
      <c r="AC89" s="390">
        <v>46097</v>
      </c>
      <c r="AD89" s="22">
        <v>46084</v>
      </c>
      <c r="AE89" s="273">
        <v>4090180361</v>
      </c>
      <c r="AF89" s="23">
        <v>46097</v>
      </c>
      <c r="AG89" s="388">
        <v>46098</v>
      </c>
      <c r="AH89" s="49">
        <v>46099</v>
      </c>
      <c r="AI89" s="384">
        <v>141639</v>
      </c>
      <c r="AJ89" s="383">
        <v>28790000</v>
      </c>
    </row>
    <row r="90" spans="1:36" ht="24.75" customHeight="1">
      <c r="A90" s="187" t="s">
        <v>783</v>
      </c>
      <c r="B90" s="187">
        <v>180365</v>
      </c>
      <c r="C90" s="230" t="s">
        <v>39</v>
      </c>
      <c r="D90" s="5" t="s">
        <v>142</v>
      </c>
      <c r="E90" s="189">
        <v>46091</v>
      </c>
      <c r="K90" s="2" t="s">
        <v>44</v>
      </c>
      <c r="L90" s="2" t="s">
        <v>45</v>
      </c>
      <c r="M90" s="2" t="s">
        <v>46</v>
      </c>
      <c r="N90" s="2" t="s">
        <v>47</v>
      </c>
      <c r="O90" s="395" t="s">
        <v>784</v>
      </c>
      <c r="P90" s="288">
        <v>44363</v>
      </c>
      <c r="Q90" s="296" t="s">
        <v>49</v>
      </c>
      <c r="R90" s="389" t="s">
        <v>785</v>
      </c>
      <c r="S90" s="387" t="s">
        <v>786</v>
      </c>
      <c r="T90" s="14" t="s">
        <v>76</v>
      </c>
      <c r="U90" s="2" t="str">
        <f>VLOOKUP('IMPO TERR'!T90,'Matriz datos'!$J$2:$K$10,2,0)</f>
        <v>AV. PDTE. EDUARDO FREI 8301, QUILICURA</v>
      </c>
      <c r="V90" s="384" t="s">
        <v>787</v>
      </c>
      <c r="W90" s="66" t="s">
        <v>788</v>
      </c>
      <c r="X90" s="247" t="s">
        <v>789</v>
      </c>
      <c r="Y90" s="220" t="s">
        <v>790</v>
      </c>
      <c r="Z90" s="219">
        <v>2605123608</v>
      </c>
      <c r="AA90" s="256">
        <v>2605125446</v>
      </c>
      <c r="AB90" s="388">
        <v>46100</v>
      </c>
      <c r="AC90" s="390">
        <v>46101</v>
      </c>
      <c r="AD90" s="22">
        <v>46093</v>
      </c>
      <c r="AE90" s="5">
        <v>4090180365</v>
      </c>
      <c r="AG90" s="388">
        <v>46101</v>
      </c>
      <c r="AH90" s="388">
        <v>46101</v>
      </c>
      <c r="AI90" s="384">
        <v>141745</v>
      </c>
      <c r="AJ90" s="383">
        <v>24380000</v>
      </c>
    </row>
    <row r="91" spans="1:36" ht="24.75" customHeight="1">
      <c r="A91" s="187" t="s">
        <v>791</v>
      </c>
      <c r="B91" s="187">
        <v>180366</v>
      </c>
      <c r="C91" s="230" t="s">
        <v>39</v>
      </c>
      <c r="D91" s="5" t="s">
        <v>40</v>
      </c>
      <c r="E91" s="189">
        <v>46091</v>
      </c>
      <c r="K91" s="2" t="s">
        <v>44</v>
      </c>
      <c r="L91" s="2" t="s">
        <v>61</v>
      </c>
      <c r="M91" s="2" t="s">
        <v>46</v>
      </c>
      <c r="N91" s="2" t="s">
        <v>47</v>
      </c>
      <c r="O91" s="395" t="s">
        <v>792</v>
      </c>
      <c r="P91" s="288">
        <v>40910</v>
      </c>
      <c r="Q91" s="296" t="s">
        <v>777</v>
      </c>
      <c r="R91" s="389" t="s">
        <v>793</v>
      </c>
      <c r="S91" s="387" t="s">
        <v>794</v>
      </c>
      <c r="T91" s="14" t="s">
        <v>441</v>
      </c>
      <c r="U91" s="2" t="str">
        <f>VLOOKUP('IMPO TERR'!T91,'Matriz datos'!$J$2:$K$10,2,0)</f>
        <v>CAMINO LO AGUIRRE SUR 537, PUDAHUEL </v>
      </c>
      <c r="V91" s="384" t="s">
        <v>795</v>
      </c>
      <c r="W91" s="66" t="s">
        <v>796</v>
      </c>
      <c r="X91" s="247" t="s">
        <v>797</v>
      </c>
      <c r="Y91" s="220" t="s">
        <v>798</v>
      </c>
      <c r="Z91" s="219">
        <v>2605121569</v>
      </c>
      <c r="AA91" s="221">
        <v>2605122923</v>
      </c>
      <c r="AB91" s="388">
        <v>46096</v>
      </c>
      <c r="AC91" s="390">
        <v>46097</v>
      </c>
      <c r="AD91" s="22">
        <v>46093</v>
      </c>
      <c r="AE91" s="5">
        <v>4090180366</v>
      </c>
      <c r="AF91" s="23">
        <v>46097</v>
      </c>
      <c r="AG91" s="46">
        <v>46098</v>
      </c>
      <c r="AH91" s="49">
        <v>46099</v>
      </c>
      <c r="AI91" s="384"/>
      <c r="AJ91" s="383">
        <v>34270000</v>
      </c>
    </row>
    <row r="92" spans="1:36" ht="24.75" customHeight="1">
      <c r="A92" s="187" t="s">
        <v>799</v>
      </c>
      <c r="B92" s="187">
        <v>180369</v>
      </c>
      <c r="C92" s="230" t="s">
        <v>39</v>
      </c>
      <c r="D92" s="5" t="s">
        <v>40</v>
      </c>
      <c r="E92" s="189">
        <v>46091</v>
      </c>
      <c r="K92" s="2" t="s">
        <v>60</v>
      </c>
      <c r="L92" s="2" t="s">
        <v>45</v>
      </c>
      <c r="M92" s="2" t="s">
        <v>46</v>
      </c>
      <c r="N92" s="2" t="s">
        <v>47</v>
      </c>
      <c r="O92" s="395" t="s">
        <v>800</v>
      </c>
      <c r="P92" s="288">
        <v>43669</v>
      </c>
      <c r="Q92" s="296" t="s">
        <v>237</v>
      </c>
      <c r="R92" s="389" t="s">
        <v>801</v>
      </c>
      <c r="S92" s="387" t="s">
        <v>802</v>
      </c>
      <c r="T92" s="14" t="s">
        <v>102</v>
      </c>
      <c r="U92" s="2" t="str">
        <f>VLOOKUP('IMPO TERR'!T92,'Matriz datos'!$J$2:$K$10,2,0)</f>
        <v>AV. AMERICO VESPUCIO 0350, QUILICURA</v>
      </c>
      <c r="V92" s="384" t="s">
        <v>803</v>
      </c>
      <c r="W92" s="283" t="s">
        <v>804</v>
      </c>
      <c r="X92" s="247" t="s">
        <v>805</v>
      </c>
      <c r="Y92" s="220" t="s">
        <v>806</v>
      </c>
      <c r="Z92" s="219">
        <v>2605123199</v>
      </c>
      <c r="AA92" s="221">
        <v>2605125529</v>
      </c>
      <c r="AB92" s="388">
        <v>46099</v>
      </c>
      <c r="AC92" s="390">
        <v>46100</v>
      </c>
      <c r="AD92" s="22">
        <v>46093</v>
      </c>
      <c r="AE92" s="5">
        <v>4090180369</v>
      </c>
      <c r="AF92" s="23">
        <v>46100</v>
      </c>
      <c r="AG92" s="388">
        <v>46100</v>
      </c>
      <c r="AH92" s="388">
        <v>46101</v>
      </c>
      <c r="AI92" s="384">
        <v>141719</v>
      </c>
      <c r="AJ92" s="383">
        <v>14830000</v>
      </c>
    </row>
    <row r="93" spans="1:36" ht="24.75" customHeight="1">
      <c r="A93" s="187" t="s">
        <v>807</v>
      </c>
      <c r="B93" s="187">
        <v>180370</v>
      </c>
      <c r="C93" s="230" t="s">
        <v>39</v>
      </c>
      <c r="D93" s="5" t="s">
        <v>40</v>
      </c>
      <c r="E93" s="189">
        <v>46091</v>
      </c>
      <c r="K93" s="2" t="s">
        <v>44</v>
      </c>
      <c r="L93" s="2" t="s">
        <v>45</v>
      </c>
      <c r="M93" s="2" t="s">
        <v>46</v>
      </c>
      <c r="N93" s="2" t="s">
        <v>47</v>
      </c>
      <c r="O93" s="395" t="s">
        <v>808</v>
      </c>
      <c r="P93" s="309">
        <v>43620</v>
      </c>
      <c r="Q93" s="296" t="s">
        <v>49</v>
      </c>
      <c r="R93" s="389" t="s">
        <v>809</v>
      </c>
      <c r="S93" s="387" t="s">
        <v>810</v>
      </c>
      <c r="T93" s="14" t="s">
        <v>76</v>
      </c>
      <c r="U93" s="2" t="str">
        <f>VLOOKUP('IMPO TERR'!T93,'Matriz datos'!$J$2:$K$10,2,0)</f>
        <v>AV. PDTE. EDUARDO FREI 8301, QUILICURA</v>
      </c>
      <c r="V93" s="384" t="s">
        <v>811</v>
      </c>
      <c r="W93" s="66" t="s">
        <v>812</v>
      </c>
      <c r="X93" s="247" t="s">
        <v>813</v>
      </c>
      <c r="Y93" s="33" t="s">
        <v>814</v>
      </c>
      <c r="Z93" s="219">
        <v>2605125312</v>
      </c>
      <c r="AA93" s="221">
        <v>2605127573</v>
      </c>
      <c r="AB93" s="388">
        <v>46099</v>
      </c>
      <c r="AC93" s="390">
        <v>46100</v>
      </c>
      <c r="AD93" s="22">
        <v>46094</v>
      </c>
      <c r="AE93" s="5">
        <v>4090180370</v>
      </c>
      <c r="AF93" s="23">
        <v>46100</v>
      </c>
      <c r="AG93" s="388">
        <v>46100</v>
      </c>
      <c r="AH93" s="388">
        <v>46100</v>
      </c>
      <c r="AI93" s="384">
        <v>141728</v>
      </c>
      <c r="AJ93" s="383">
        <v>24220000</v>
      </c>
    </row>
    <row r="94" spans="1:36" ht="24.75" customHeight="1">
      <c r="A94" s="187" t="s">
        <v>815</v>
      </c>
      <c r="B94" s="187">
        <v>180385</v>
      </c>
      <c r="C94" s="230" t="s">
        <v>39</v>
      </c>
      <c r="D94" s="5" t="s">
        <v>40</v>
      </c>
      <c r="E94" s="189">
        <v>46092</v>
      </c>
      <c r="K94" s="2" t="s">
        <v>44</v>
      </c>
      <c r="L94" s="2" t="s">
        <v>45</v>
      </c>
      <c r="M94" s="2" t="s">
        <v>46</v>
      </c>
      <c r="N94" s="2" t="s">
        <v>47</v>
      </c>
      <c r="O94" s="395" t="s">
        <v>816</v>
      </c>
      <c r="P94" s="288">
        <v>44301</v>
      </c>
      <c r="Q94" s="296" t="s">
        <v>49</v>
      </c>
      <c r="R94" s="389" t="s">
        <v>817</v>
      </c>
      <c r="S94" s="387" t="s">
        <v>818</v>
      </c>
      <c r="T94" s="14" t="s">
        <v>76</v>
      </c>
      <c r="U94" s="2" t="str">
        <f>VLOOKUP('IMPO TERR'!T94,'Matriz datos'!$J$2:$K$10,2,0)</f>
        <v>AV. PDTE. EDUARDO FREI 8301, QUILICURA</v>
      </c>
      <c r="V94" s="384" t="s">
        <v>819</v>
      </c>
      <c r="W94" s="66" t="s">
        <v>820</v>
      </c>
      <c r="X94" s="220" t="s">
        <v>821</v>
      </c>
      <c r="Y94" s="5" t="s">
        <v>822</v>
      </c>
      <c r="Z94" s="220">
        <v>2605123531</v>
      </c>
      <c r="AA94" s="256">
        <v>2605125490</v>
      </c>
      <c r="AB94" s="388">
        <v>46100</v>
      </c>
      <c r="AC94" s="390">
        <v>46101</v>
      </c>
      <c r="AD94" s="22">
        <v>46093</v>
      </c>
      <c r="AE94" s="5">
        <v>4090180385</v>
      </c>
      <c r="AG94" s="388">
        <v>46101</v>
      </c>
      <c r="AH94" s="388">
        <v>46101</v>
      </c>
      <c r="AI94" s="384"/>
      <c r="AJ94" s="383">
        <v>24270000</v>
      </c>
    </row>
    <row r="95" spans="1:36" ht="24.75" customHeight="1">
      <c r="A95" s="187" t="s">
        <v>823</v>
      </c>
      <c r="B95" s="187">
        <v>180400</v>
      </c>
      <c r="C95" s="230" t="s">
        <v>39</v>
      </c>
      <c r="D95" s="5" t="s">
        <v>40</v>
      </c>
      <c r="E95" s="189">
        <v>46092</v>
      </c>
      <c r="K95" s="2" t="s">
        <v>60</v>
      </c>
      <c r="L95" s="2" t="s">
        <v>45</v>
      </c>
      <c r="M95" s="2" t="s">
        <v>46</v>
      </c>
      <c r="N95" s="2" t="s">
        <v>47</v>
      </c>
      <c r="O95" s="395" t="s">
        <v>824</v>
      </c>
      <c r="P95" s="310">
        <v>42173</v>
      </c>
      <c r="Q95" s="296" t="s">
        <v>49</v>
      </c>
      <c r="R95" s="389" t="s">
        <v>825</v>
      </c>
      <c r="S95" s="387" t="s">
        <v>826</v>
      </c>
      <c r="T95" s="14" t="s">
        <v>76</v>
      </c>
      <c r="U95" s="2" t="str">
        <f>VLOOKUP('IMPO TERR'!T95,'Matriz datos'!$J$2:$K$10,2,0)</f>
        <v>AV. PDTE. EDUARDO FREI 8301, QUILICURA</v>
      </c>
      <c r="V95" s="384" t="s">
        <v>827</v>
      </c>
      <c r="W95" s="282">
        <v>57217642</v>
      </c>
      <c r="X95" s="247" t="s">
        <v>828</v>
      </c>
      <c r="Y95" s="33" t="s">
        <v>829</v>
      </c>
      <c r="Z95" s="219">
        <v>2605124864</v>
      </c>
      <c r="AA95" s="221">
        <v>2605125499</v>
      </c>
      <c r="AB95" s="388">
        <v>46097</v>
      </c>
      <c r="AC95" s="390">
        <v>46098</v>
      </c>
      <c r="AD95" s="22">
        <v>46094</v>
      </c>
      <c r="AE95" s="5">
        <v>4090180400</v>
      </c>
      <c r="AF95" s="23">
        <v>46098</v>
      </c>
      <c r="AG95" s="388">
        <v>46098</v>
      </c>
      <c r="AH95" s="49">
        <v>46099</v>
      </c>
      <c r="AI95" s="384"/>
      <c r="AJ95" s="383">
        <v>21200000</v>
      </c>
    </row>
    <row r="96" spans="1:36" ht="24.75" customHeight="1">
      <c r="A96" s="187" t="s">
        <v>830</v>
      </c>
      <c r="B96" s="187">
        <v>180401</v>
      </c>
      <c r="C96" s="230" t="s">
        <v>39</v>
      </c>
      <c r="D96" s="5" t="s">
        <v>40</v>
      </c>
      <c r="E96" s="189">
        <v>46092</v>
      </c>
      <c r="K96" s="2" t="s">
        <v>60</v>
      </c>
      <c r="L96" s="2" t="s">
        <v>45</v>
      </c>
      <c r="M96" s="2" t="s">
        <v>46</v>
      </c>
      <c r="N96" s="2" t="s">
        <v>47</v>
      </c>
      <c r="O96" s="395" t="s">
        <v>831</v>
      </c>
      <c r="P96" s="288">
        <v>42786</v>
      </c>
      <c r="Q96" s="296" t="s">
        <v>247</v>
      </c>
      <c r="R96" s="389" t="s">
        <v>832</v>
      </c>
      <c r="S96" s="387" t="s">
        <v>833</v>
      </c>
      <c r="T96" s="14" t="s">
        <v>76</v>
      </c>
      <c r="U96" s="2" t="str">
        <f>VLOOKUP('IMPO TERR'!T96,'Matriz datos'!$J$2:$K$10,2,0)</f>
        <v>AV. PDTE. EDUARDO FREI 8301, QUILICURA</v>
      </c>
      <c r="V96" s="384" t="s">
        <v>834</v>
      </c>
      <c r="W96" s="66" t="s">
        <v>835</v>
      </c>
      <c r="X96" s="247" t="s">
        <v>836</v>
      </c>
      <c r="Y96" s="249" t="s">
        <v>837</v>
      </c>
      <c r="Z96" s="219">
        <v>2605124553</v>
      </c>
      <c r="AA96" s="256">
        <v>2605125424</v>
      </c>
      <c r="AB96" s="388">
        <v>46098</v>
      </c>
      <c r="AC96" s="390">
        <v>46099</v>
      </c>
      <c r="AD96" s="22">
        <v>46094</v>
      </c>
      <c r="AE96" s="5">
        <v>4090180401</v>
      </c>
      <c r="AF96" s="23">
        <v>46098</v>
      </c>
      <c r="AG96" s="49">
        <v>46099</v>
      </c>
      <c r="AH96" s="388">
        <v>46099</v>
      </c>
      <c r="AI96" s="384">
        <v>141694</v>
      </c>
      <c r="AJ96" s="383">
        <v>21200000</v>
      </c>
    </row>
    <row r="97" spans="1:36" ht="24.75" customHeight="1">
      <c r="A97" s="187" t="s">
        <v>838</v>
      </c>
      <c r="B97" s="187">
        <v>180402</v>
      </c>
      <c r="C97" s="230" t="s">
        <v>39</v>
      </c>
      <c r="D97" s="5" t="s">
        <v>40</v>
      </c>
      <c r="E97" s="189">
        <v>46092</v>
      </c>
      <c r="K97" s="2" t="s">
        <v>44</v>
      </c>
      <c r="L97" s="2" t="s">
        <v>45</v>
      </c>
      <c r="M97" s="2" t="s">
        <v>46</v>
      </c>
      <c r="N97" s="2" t="s">
        <v>47</v>
      </c>
      <c r="O97" s="395" t="s">
        <v>839</v>
      </c>
      <c r="P97" s="288">
        <v>44757</v>
      </c>
      <c r="Q97" s="296"/>
      <c r="R97" s="389" t="s">
        <v>840</v>
      </c>
      <c r="S97" s="387" t="s">
        <v>841</v>
      </c>
      <c r="T97" s="14" t="s">
        <v>76</v>
      </c>
      <c r="U97" s="2" t="str">
        <f>VLOOKUP('IMPO TERR'!T97,'Matriz datos'!$J$2:$K$10,2,0)</f>
        <v>AV. PDTE. EDUARDO FREI 8301, QUILICURA</v>
      </c>
      <c r="V97" s="396" t="s">
        <v>842</v>
      </c>
      <c r="W97" s="66" t="s">
        <v>843</v>
      </c>
      <c r="X97" s="220" t="s">
        <v>844</v>
      </c>
      <c r="Y97" s="5" t="s">
        <v>845</v>
      </c>
      <c r="Z97" s="220">
        <v>2605127196</v>
      </c>
      <c r="AA97" s="256">
        <v>2605127579</v>
      </c>
      <c r="AB97" s="46">
        <v>46101</v>
      </c>
      <c r="AC97" s="390">
        <v>46102</v>
      </c>
      <c r="AD97" s="22">
        <v>46095</v>
      </c>
      <c r="AE97" s="43">
        <v>4090180402</v>
      </c>
      <c r="AF97" s="23">
        <v>46102</v>
      </c>
      <c r="AG97" s="388">
        <v>46102</v>
      </c>
      <c r="AH97" s="388">
        <v>46102</v>
      </c>
      <c r="AI97" s="384">
        <v>141764</v>
      </c>
      <c r="AJ97" s="383">
        <v>25760000</v>
      </c>
    </row>
    <row r="98" spans="1:36" ht="24.75" customHeight="1">
      <c r="A98" s="187" t="s">
        <v>846</v>
      </c>
      <c r="B98" s="187">
        <v>180403</v>
      </c>
      <c r="C98" s="230" t="s">
        <v>39</v>
      </c>
      <c r="D98" s="5" t="s">
        <v>142</v>
      </c>
      <c r="E98" s="189">
        <v>46092</v>
      </c>
      <c r="G98" s="301" t="s">
        <v>847</v>
      </c>
      <c r="K98" s="2" t="s">
        <v>44</v>
      </c>
      <c r="L98" s="2" t="s">
        <v>280</v>
      </c>
      <c r="M98" s="2" t="s">
        <v>46</v>
      </c>
      <c r="N98" s="2" t="s">
        <v>47</v>
      </c>
      <c r="O98" s="395" t="s">
        <v>848</v>
      </c>
      <c r="P98" s="288" t="s">
        <v>849</v>
      </c>
      <c r="Q98" s="296"/>
      <c r="R98" s="389" t="s">
        <v>850</v>
      </c>
      <c r="S98" s="387" t="s">
        <v>851</v>
      </c>
      <c r="T98" s="14" t="s">
        <v>682</v>
      </c>
      <c r="U98" s="2" t="s">
        <v>683</v>
      </c>
      <c r="V98" s="384" t="s">
        <v>852</v>
      </c>
      <c r="W98" s="384" t="s">
        <v>853</v>
      </c>
      <c r="X98" s="220" t="s">
        <v>854</v>
      </c>
      <c r="Y98" s="5" t="s">
        <v>855</v>
      </c>
      <c r="Z98" s="220">
        <v>2605123208</v>
      </c>
      <c r="AA98" s="221">
        <v>2605125489</v>
      </c>
      <c r="AB98" s="388">
        <v>46097</v>
      </c>
      <c r="AC98" s="390">
        <v>46098</v>
      </c>
      <c r="AD98" s="22">
        <v>46097</v>
      </c>
      <c r="AE98" s="5">
        <v>4090180403</v>
      </c>
      <c r="AF98" s="23">
        <v>46098</v>
      </c>
      <c r="AG98" s="49">
        <v>46099</v>
      </c>
      <c r="AH98" s="388">
        <v>46100</v>
      </c>
      <c r="AI98" s="384">
        <v>141693</v>
      </c>
      <c r="AJ98" s="383">
        <v>35880000</v>
      </c>
    </row>
    <row r="99" spans="1:36" ht="24.75" customHeight="1">
      <c r="A99" s="187" t="s">
        <v>856</v>
      </c>
      <c r="B99" s="187">
        <v>180405</v>
      </c>
      <c r="C99" s="230" t="s">
        <v>39</v>
      </c>
      <c r="D99" s="5" t="s">
        <v>40</v>
      </c>
      <c r="E99" s="189">
        <v>46092</v>
      </c>
      <c r="G99" s="2" t="s">
        <v>857</v>
      </c>
      <c r="K99" s="2" t="s">
        <v>44</v>
      </c>
      <c r="L99" s="2" t="s">
        <v>45</v>
      </c>
      <c r="M99" s="2" t="s">
        <v>46</v>
      </c>
      <c r="N99" s="2" t="s">
        <v>47</v>
      </c>
      <c r="O99" s="395" t="s">
        <v>858</v>
      </c>
      <c r="P99" s="288">
        <v>42857</v>
      </c>
      <c r="Q99" s="296" t="s">
        <v>49</v>
      </c>
      <c r="R99" s="389" t="s">
        <v>859</v>
      </c>
      <c r="S99" s="387" t="s">
        <v>860</v>
      </c>
      <c r="T99" s="14" t="s">
        <v>76</v>
      </c>
      <c r="U99" s="2" t="str">
        <f>VLOOKUP('IMPO TERR'!T99,'Matriz datos'!$J$2:$K$10,2,0)</f>
        <v>AV. PDTE. EDUARDO FREI 8301, QUILICURA</v>
      </c>
      <c r="V99" s="384" t="s">
        <v>861</v>
      </c>
      <c r="W99" s="66" t="s">
        <v>862</v>
      </c>
      <c r="X99" s="220" t="s">
        <v>863</v>
      </c>
      <c r="Y99" s="254" t="s">
        <v>864</v>
      </c>
      <c r="Z99" s="220">
        <v>2605125079</v>
      </c>
      <c r="AA99" s="369">
        <v>2605127592</v>
      </c>
      <c r="AB99" s="46">
        <v>46098</v>
      </c>
      <c r="AC99" s="390">
        <v>46099</v>
      </c>
      <c r="AD99" s="22">
        <v>46094</v>
      </c>
      <c r="AE99" s="5">
        <v>4090180405</v>
      </c>
      <c r="AF99" s="23">
        <v>46099</v>
      </c>
      <c r="AG99" s="388">
        <v>46106</v>
      </c>
      <c r="AH99" s="388">
        <v>46106</v>
      </c>
      <c r="AI99" s="384">
        <v>141695</v>
      </c>
      <c r="AJ99" s="383">
        <v>25090000</v>
      </c>
    </row>
    <row r="100" spans="1:36" ht="24.75" customHeight="1">
      <c r="A100" s="187" t="s">
        <v>865</v>
      </c>
      <c r="B100" s="187">
        <v>180407</v>
      </c>
      <c r="C100" s="230" t="s">
        <v>39</v>
      </c>
      <c r="D100" s="5" t="s">
        <v>40</v>
      </c>
      <c r="E100" s="189">
        <v>46092</v>
      </c>
      <c r="K100" s="2" t="s">
        <v>60</v>
      </c>
      <c r="L100" s="2" t="s">
        <v>45</v>
      </c>
      <c r="M100" s="2" t="s">
        <v>46</v>
      </c>
      <c r="N100" s="2" t="s">
        <v>47</v>
      </c>
      <c r="O100" s="395" t="s">
        <v>866</v>
      </c>
      <c r="P100" s="288">
        <v>41498</v>
      </c>
      <c r="Q100" s="296" t="s">
        <v>867</v>
      </c>
      <c r="R100" s="389" t="s">
        <v>868</v>
      </c>
      <c r="S100" s="387" t="s">
        <v>869</v>
      </c>
      <c r="T100" s="14" t="s">
        <v>66</v>
      </c>
      <c r="U100" s="2" t="str">
        <f>VLOOKUP('IMPO TERR'!T100,'Matriz datos'!$J$2:$K$10,2,0)</f>
        <v>CAMINO SANTA MARTA 2101, MAIPU</v>
      </c>
      <c r="V100" s="384" t="s">
        <v>870</v>
      </c>
      <c r="W100" s="283" t="s">
        <v>871</v>
      </c>
      <c r="X100" s="220" t="s">
        <v>872</v>
      </c>
      <c r="Y100" s="5" t="s">
        <v>873</v>
      </c>
      <c r="Z100" s="220">
        <v>2605124012</v>
      </c>
      <c r="AA100" s="219">
        <v>2605125449</v>
      </c>
      <c r="AB100" s="388">
        <v>46097</v>
      </c>
      <c r="AC100" s="390">
        <v>46097</v>
      </c>
      <c r="AD100" s="22">
        <v>46093</v>
      </c>
      <c r="AE100" s="5">
        <v>4090180407</v>
      </c>
      <c r="AF100" s="23">
        <v>46097</v>
      </c>
      <c r="AG100" s="388">
        <v>46097</v>
      </c>
      <c r="AH100" s="388">
        <v>46098</v>
      </c>
      <c r="AI100" s="384">
        <v>141621</v>
      </c>
      <c r="AJ100" s="383">
        <v>16090000</v>
      </c>
    </row>
    <row r="101" spans="1:36" ht="24.75" customHeight="1">
      <c r="A101" s="187" t="s">
        <v>874</v>
      </c>
      <c r="B101" s="187">
        <v>180408</v>
      </c>
      <c r="C101" s="230" t="s">
        <v>39</v>
      </c>
      <c r="D101" s="171" t="s">
        <v>40</v>
      </c>
      <c r="E101" s="189">
        <v>46092</v>
      </c>
      <c r="K101" s="2" t="s">
        <v>44</v>
      </c>
      <c r="L101" s="2" t="s">
        <v>61</v>
      </c>
      <c r="M101" s="2" t="s">
        <v>46</v>
      </c>
      <c r="N101" s="2" t="s">
        <v>47</v>
      </c>
      <c r="O101" s="395" t="s">
        <v>875</v>
      </c>
      <c r="P101" s="288">
        <v>42034</v>
      </c>
      <c r="Q101" s="296"/>
      <c r="R101" s="389" t="s">
        <v>876</v>
      </c>
      <c r="S101" s="387" t="s">
        <v>877</v>
      </c>
      <c r="T101" s="14" t="s">
        <v>102</v>
      </c>
      <c r="U101" s="2" t="str">
        <f>VLOOKUP('IMPO TERR'!T101,'Matriz datos'!$J$2:$K$10,2,0)</f>
        <v>AV. AMERICO VESPUCIO 0350, QUILICURA</v>
      </c>
      <c r="V101" s="382" t="s">
        <v>878</v>
      </c>
      <c r="W101" s="66" t="s">
        <v>879</v>
      </c>
      <c r="X101" s="220" t="s">
        <v>880</v>
      </c>
      <c r="Y101" s="5" t="s">
        <v>881</v>
      </c>
      <c r="Z101" s="220">
        <v>2605127558</v>
      </c>
      <c r="AA101" s="221">
        <v>2605129024</v>
      </c>
      <c r="AB101" s="388">
        <v>46097</v>
      </c>
      <c r="AC101" s="390">
        <v>46098</v>
      </c>
      <c r="AD101" s="22">
        <v>46095</v>
      </c>
      <c r="AE101" s="43">
        <v>4090180408</v>
      </c>
      <c r="AF101" s="23">
        <v>46098</v>
      </c>
      <c r="AG101" s="388">
        <v>46098</v>
      </c>
      <c r="AH101" s="388">
        <v>46100</v>
      </c>
      <c r="AI101" s="384"/>
      <c r="AJ101" s="383">
        <v>28740000</v>
      </c>
    </row>
    <row r="102" spans="1:36" ht="24.75" customHeight="1">
      <c r="A102" s="187" t="s">
        <v>882</v>
      </c>
      <c r="B102" s="187">
        <v>180409</v>
      </c>
      <c r="C102" s="241" t="s">
        <v>39</v>
      </c>
      <c r="D102" s="43" t="s">
        <v>40</v>
      </c>
      <c r="E102" s="307">
        <v>46092</v>
      </c>
      <c r="K102" s="2" t="s">
        <v>44</v>
      </c>
      <c r="L102" s="2" t="s">
        <v>61</v>
      </c>
      <c r="M102" s="2" t="s">
        <v>46</v>
      </c>
      <c r="N102" s="2" t="s">
        <v>47</v>
      </c>
      <c r="O102" s="395" t="s">
        <v>883</v>
      </c>
      <c r="P102" s="288">
        <v>40915</v>
      </c>
      <c r="Q102" s="296" t="s">
        <v>777</v>
      </c>
      <c r="R102" s="389" t="s">
        <v>884</v>
      </c>
      <c r="S102" s="387" t="s">
        <v>885</v>
      </c>
      <c r="T102" s="14" t="s">
        <v>102</v>
      </c>
      <c r="U102" s="2" t="str">
        <f>VLOOKUP('IMPO TERR'!T102,'Matriz datos'!$J$2:$K$10,2,0)</f>
        <v>AV. AMERICO VESPUCIO 0350, QUILICURA</v>
      </c>
      <c r="V102" s="382" t="s">
        <v>886</v>
      </c>
      <c r="W102" s="66" t="s">
        <v>887</v>
      </c>
      <c r="X102" s="247" t="s">
        <v>888</v>
      </c>
      <c r="Y102" s="33" t="s">
        <v>889</v>
      </c>
      <c r="Z102" s="219">
        <v>2605124992</v>
      </c>
      <c r="AA102" s="221">
        <v>2605127574</v>
      </c>
      <c r="AB102" s="388">
        <v>46096</v>
      </c>
      <c r="AC102" s="390">
        <v>46097</v>
      </c>
      <c r="AD102" s="22">
        <v>46094</v>
      </c>
      <c r="AE102" s="5">
        <v>4090180409</v>
      </c>
      <c r="AF102" s="23">
        <v>46097</v>
      </c>
      <c r="AG102" s="46">
        <v>46098</v>
      </c>
      <c r="AH102" s="18" t="s">
        <v>758</v>
      </c>
      <c r="AI102" s="384"/>
      <c r="AJ102" s="383">
        <v>25360000</v>
      </c>
    </row>
    <row r="103" spans="1:36" ht="24.75" customHeight="1">
      <c r="A103" s="187" t="s">
        <v>890</v>
      </c>
      <c r="B103" s="187">
        <v>180410</v>
      </c>
      <c r="C103" s="230" t="s">
        <v>39</v>
      </c>
      <c r="D103" s="242" t="s">
        <v>142</v>
      </c>
      <c r="E103" s="189">
        <v>46092</v>
      </c>
      <c r="K103" s="2" t="s">
        <v>44</v>
      </c>
      <c r="L103" s="2" t="s">
        <v>45</v>
      </c>
      <c r="M103" s="2" t="s">
        <v>46</v>
      </c>
      <c r="N103" s="2" t="s">
        <v>47</v>
      </c>
      <c r="O103" s="395" t="s">
        <v>891</v>
      </c>
      <c r="P103" s="288">
        <v>42858</v>
      </c>
      <c r="Q103" s="296" t="s">
        <v>49</v>
      </c>
      <c r="R103" s="389" t="s">
        <v>892</v>
      </c>
      <c r="S103" s="387" t="s">
        <v>893</v>
      </c>
      <c r="T103" s="14" t="s">
        <v>76</v>
      </c>
      <c r="U103" s="2" t="str">
        <f>VLOOKUP('IMPO TERR'!T103,'Matriz datos'!$J$2:$K$10,2,0)</f>
        <v>AV. PDTE. EDUARDO FREI 8301, QUILICURA</v>
      </c>
      <c r="V103" s="384" t="s">
        <v>894</v>
      </c>
      <c r="W103" s="66" t="s">
        <v>895</v>
      </c>
      <c r="X103" s="220" t="s">
        <v>896</v>
      </c>
      <c r="Y103" s="5" t="s">
        <v>897</v>
      </c>
      <c r="Z103" s="220">
        <v>2605125152</v>
      </c>
      <c r="AA103" s="221">
        <v>2605127597</v>
      </c>
      <c r="AB103" s="388">
        <v>46098</v>
      </c>
      <c r="AC103" s="390">
        <v>46099</v>
      </c>
      <c r="AD103" s="22">
        <v>46094</v>
      </c>
      <c r="AE103" s="5">
        <v>4090180410</v>
      </c>
      <c r="AF103" s="23">
        <v>46099</v>
      </c>
      <c r="AG103" s="49">
        <v>46099</v>
      </c>
      <c r="AH103" s="49">
        <v>46099</v>
      </c>
      <c r="AI103" s="384">
        <v>141699</v>
      </c>
      <c r="AJ103" s="383">
        <v>25360000</v>
      </c>
    </row>
    <row r="104" spans="1:36" ht="24.75" customHeight="1">
      <c r="A104" s="187" t="s">
        <v>898</v>
      </c>
      <c r="B104" s="187">
        <v>180411</v>
      </c>
      <c r="C104" s="230" t="s">
        <v>39</v>
      </c>
      <c r="D104" s="5" t="s">
        <v>40</v>
      </c>
      <c r="E104" s="189">
        <v>46092</v>
      </c>
      <c r="G104" s="302" t="s">
        <v>899</v>
      </c>
      <c r="K104" s="2" t="s">
        <v>44</v>
      </c>
      <c r="L104" s="2" t="s">
        <v>45</v>
      </c>
      <c r="M104" s="2" t="s">
        <v>46</v>
      </c>
      <c r="N104" s="2" t="s">
        <v>47</v>
      </c>
      <c r="O104" s="395" t="s">
        <v>900</v>
      </c>
      <c r="P104" s="288">
        <v>42876</v>
      </c>
      <c r="Q104" s="296" t="s">
        <v>901</v>
      </c>
      <c r="R104" s="389" t="s">
        <v>902</v>
      </c>
      <c r="S104" s="387" t="s">
        <v>903</v>
      </c>
      <c r="T104" s="14" t="s">
        <v>76</v>
      </c>
      <c r="U104" s="2" t="str">
        <f>VLOOKUP('IMPO TERR'!T104,'Matriz datos'!$J$2:$K$10,2,0)</f>
        <v>AV. PDTE. EDUARDO FREI 8301, QUILICURA</v>
      </c>
      <c r="V104" s="384" t="s">
        <v>904</v>
      </c>
      <c r="W104" s="66" t="s">
        <v>905</v>
      </c>
      <c r="X104" s="247" t="s">
        <v>906</v>
      </c>
      <c r="Y104" s="261" t="s">
        <v>907</v>
      </c>
      <c r="Z104" s="219">
        <v>2605127560</v>
      </c>
      <c r="AA104" s="373">
        <v>2605128891</v>
      </c>
      <c r="AB104" s="46">
        <v>46098</v>
      </c>
      <c r="AC104" s="324">
        <v>46099</v>
      </c>
      <c r="AD104" s="22">
        <v>46095</v>
      </c>
      <c r="AE104" s="43">
        <v>4090180411</v>
      </c>
      <c r="AF104" s="23">
        <v>46098</v>
      </c>
      <c r="AG104" s="388">
        <v>46106</v>
      </c>
      <c r="AH104" s="388">
        <v>46107</v>
      </c>
      <c r="AI104" s="384">
        <v>141714</v>
      </c>
      <c r="AJ104" s="383">
        <v>22740000</v>
      </c>
    </row>
    <row r="105" spans="1:36" ht="24.75" customHeight="1">
      <c r="A105" s="187" t="s">
        <v>908</v>
      </c>
      <c r="B105" s="187">
        <v>180412</v>
      </c>
      <c r="C105" s="230" t="s">
        <v>39</v>
      </c>
      <c r="D105" s="5" t="s">
        <v>40</v>
      </c>
      <c r="E105" s="189">
        <v>46092</v>
      </c>
      <c r="K105" s="2" t="s">
        <v>44</v>
      </c>
      <c r="L105" s="2" t="s">
        <v>61</v>
      </c>
      <c r="M105" s="2" t="s">
        <v>46</v>
      </c>
      <c r="N105" s="2" t="s">
        <v>47</v>
      </c>
      <c r="O105" s="395" t="s">
        <v>909</v>
      </c>
      <c r="P105" s="288">
        <v>42781</v>
      </c>
      <c r="Q105" s="296" t="s">
        <v>170</v>
      </c>
      <c r="R105" s="389" t="s">
        <v>910</v>
      </c>
      <c r="S105" s="387" t="s">
        <v>911</v>
      </c>
      <c r="T105" s="14" t="s">
        <v>76</v>
      </c>
      <c r="U105" s="2" t="str">
        <f>VLOOKUP('IMPO TERR'!T105,'Matriz datos'!$J$2:$K$10,2,0)</f>
        <v>AV. PDTE. EDUARDO FREI 8301, QUILICURA</v>
      </c>
      <c r="V105" s="384" t="s">
        <v>912</v>
      </c>
      <c r="W105" s="282">
        <v>3777559</v>
      </c>
      <c r="X105" s="220" t="s">
        <v>913</v>
      </c>
      <c r="Y105" s="5" t="s">
        <v>914</v>
      </c>
      <c r="Z105" s="220">
        <v>2605126039</v>
      </c>
      <c r="AA105" s="236">
        <v>2605127576</v>
      </c>
      <c r="AB105" s="388">
        <v>46098</v>
      </c>
      <c r="AC105" s="324">
        <v>46098</v>
      </c>
      <c r="AD105" s="22">
        <v>46094</v>
      </c>
      <c r="AE105" s="5">
        <v>4090180412</v>
      </c>
      <c r="AF105" s="23">
        <v>46098</v>
      </c>
      <c r="AG105" s="388">
        <v>46098</v>
      </c>
      <c r="AH105" s="388">
        <v>46099</v>
      </c>
      <c r="AI105" s="384"/>
      <c r="AJ105" s="383">
        <v>18270000</v>
      </c>
    </row>
    <row r="106" spans="1:36" ht="24.75" customHeight="1">
      <c r="A106" s="187" t="s">
        <v>915</v>
      </c>
      <c r="B106" s="187">
        <v>180413</v>
      </c>
      <c r="C106" s="230" t="s">
        <v>39</v>
      </c>
      <c r="D106" s="5" t="s">
        <v>40</v>
      </c>
      <c r="E106" s="189">
        <v>46092</v>
      </c>
      <c r="K106" s="2" t="s">
        <v>44</v>
      </c>
      <c r="L106" s="2" t="s">
        <v>61</v>
      </c>
      <c r="M106" s="2" t="s">
        <v>46</v>
      </c>
      <c r="N106" s="2" t="s">
        <v>47</v>
      </c>
      <c r="O106" s="395" t="s">
        <v>916</v>
      </c>
      <c r="P106" s="288">
        <v>42781</v>
      </c>
      <c r="Q106" s="296" t="s">
        <v>170</v>
      </c>
      <c r="R106" s="389" t="s">
        <v>910</v>
      </c>
      <c r="S106" s="387" t="s">
        <v>911</v>
      </c>
      <c r="T106" s="14" t="s">
        <v>76</v>
      </c>
      <c r="U106" s="2" t="str">
        <f>VLOOKUP('IMPO TERR'!T106,'Matriz datos'!$J$2:$K$10,2,0)</f>
        <v>AV. PDTE. EDUARDO FREI 8301, QUILICURA</v>
      </c>
      <c r="V106" s="384" t="s">
        <v>917</v>
      </c>
      <c r="W106" s="282">
        <v>3777559</v>
      </c>
      <c r="X106" s="220" t="s">
        <v>913</v>
      </c>
      <c r="Y106" s="5" t="s">
        <v>914</v>
      </c>
      <c r="Z106" s="220">
        <v>2605125430</v>
      </c>
      <c r="AA106" s="221">
        <v>2605127606</v>
      </c>
      <c r="AB106" s="388">
        <v>46098</v>
      </c>
      <c r="AC106" s="390">
        <v>46098</v>
      </c>
      <c r="AD106" s="22">
        <v>46094</v>
      </c>
      <c r="AE106" s="43">
        <v>4090180413</v>
      </c>
      <c r="AF106" s="23">
        <v>46098</v>
      </c>
      <c r="AG106" s="49">
        <v>46098</v>
      </c>
      <c r="AH106" s="49">
        <v>46099</v>
      </c>
      <c r="AI106" s="384"/>
      <c r="AJ106" s="383">
        <v>8830000</v>
      </c>
    </row>
    <row r="107" spans="1:36" ht="24.75" customHeight="1">
      <c r="A107" s="187" t="s">
        <v>918</v>
      </c>
      <c r="B107" s="187">
        <v>180418</v>
      </c>
      <c r="C107" s="230" t="s">
        <v>39</v>
      </c>
      <c r="D107" s="5" t="s">
        <v>40</v>
      </c>
      <c r="E107" s="189">
        <v>46093</v>
      </c>
      <c r="K107" s="2" t="s">
        <v>44</v>
      </c>
      <c r="L107" s="2" t="s">
        <v>45</v>
      </c>
      <c r="M107" s="2" t="s">
        <v>46</v>
      </c>
      <c r="N107" s="2" t="s">
        <v>47</v>
      </c>
      <c r="O107" s="395" t="s">
        <v>919</v>
      </c>
      <c r="P107" s="288">
        <v>45294</v>
      </c>
      <c r="Q107" s="296" t="s">
        <v>49</v>
      </c>
      <c r="R107" s="389" t="s">
        <v>920</v>
      </c>
      <c r="S107" s="387" t="s">
        <v>921</v>
      </c>
      <c r="T107" s="14" t="s">
        <v>76</v>
      </c>
      <c r="U107" s="2" t="str">
        <f>VLOOKUP('IMPO TERR'!T107,'Matriz datos'!$J$2:$K$10,2,0)</f>
        <v>AV. PDTE. EDUARDO FREI 8301, QUILICURA</v>
      </c>
      <c r="V107" s="384" t="s">
        <v>922</v>
      </c>
      <c r="W107" s="66" t="s">
        <v>923</v>
      </c>
      <c r="X107" s="247" t="s">
        <v>924</v>
      </c>
      <c r="Y107" s="255" t="s">
        <v>925</v>
      </c>
      <c r="Z107" s="219">
        <v>2605125143</v>
      </c>
      <c r="AA107" s="256">
        <v>2605127578</v>
      </c>
      <c r="AB107" s="388">
        <v>46104</v>
      </c>
      <c r="AC107" s="390">
        <v>46105</v>
      </c>
      <c r="AD107" s="22">
        <v>46094</v>
      </c>
      <c r="AE107" s="5">
        <v>4090180418</v>
      </c>
      <c r="AF107" s="23">
        <v>46105</v>
      </c>
      <c r="AG107" s="45">
        <v>46105</v>
      </c>
      <c r="AH107" s="49">
        <v>46105</v>
      </c>
      <c r="AI107" s="384"/>
      <c r="AJ107" s="383">
        <v>24820000</v>
      </c>
    </row>
    <row r="108" spans="1:36" ht="24.75" customHeight="1">
      <c r="A108" s="187" t="s">
        <v>926</v>
      </c>
      <c r="B108" s="187">
        <v>180419</v>
      </c>
      <c r="C108" s="230" t="s">
        <v>39</v>
      </c>
      <c r="D108" s="254" t="s">
        <v>40</v>
      </c>
      <c r="E108" s="189">
        <v>46093</v>
      </c>
      <c r="K108" s="2" t="s">
        <v>44</v>
      </c>
      <c r="L108" s="2" t="s">
        <v>45</v>
      </c>
      <c r="M108" s="2" t="s">
        <v>46</v>
      </c>
      <c r="N108" s="2" t="s">
        <v>47</v>
      </c>
      <c r="O108" s="395" t="s">
        <v>927</v>
      </c>
      <c r="P108" s="288">
        <v>45213</v>
      </c>
      <c r="Q108" s="296" t="s">
        <v>49</v>
      </c>
      <c r="R108" s="389" t="s">
        <v>928</v>
      </c>
      <c r="S108" s="387" t="s">
        <v>929</v>
      </c>
      <c r="T108" s="14" t="s">
        <v>102</v>
      </c>
      <c r="U108" s="2" t="str">
        <f>VLOOKUP('IMPO TERR'!T108,'Matriz datos'!$J$2:$K$10,2,0)</f>
        <v>AV. AMERICO VESPUCIO 0350, QUILICURA</v>
      </c>
      <c r="V108" s="384" t="s">
        <v>930</v>
      </c>
      <c r="W108" s="66" t="s">
        <v>931</v>
      </c>
      <c r="X108" s="247" t="s">
        <v>932</v>
      </c>
      <c r="Y108" s="249" t="s">
        <v>933</v>
      </c>
      <c r="Z108" s="219">
        <v>2605126060</v>
      </c>
      <c r="AA108" s="256">
        <v>2605127612</v>
      </c>
      <c r="AB108" s="388">
        <v>46104</v>
      </c>
      <c r="AC108" s="390">
        <v>46105</v>
      </c>
      <c r="AD108" s="22">
        <v>46094</v>
      </c>
      <c r="AE108" s="5">
        <v>4090180419</v>
      </c>
      <c r="AF108" s="223">
        <v>46105</v>
      </c>
      <c r="AG108" s="46">
        <v>46105</v>
      </c>
      <c r="AH108" s="317">
        <v>46105</v>
      </c>
      <c r="AI108" s="384"/>
      <c r="AJ108" s="383">
        <v>25210000</v>
      </c>
    </row>
    <row r="109" spans="1:36" ht="24.75" customHeight="1">
      <c r="A109" s="187" t="s">
        <v>934</v>
      </c>
      <c r="B109" s="238">
        <v>180420</v>
      </c>
      <c r="C109" s="241" t="s">
        <v>935</v>
      </c>
      <c r="D109" s="43" t="s">
        <v>40</v>
      </c>
      <c r="E109" s="307">
        <v>46093</v>
      </c>
      <c r="F109" s="2" t="s">
        <v>936</v>
      </c>
      <c r="G109" s="2" t="s">
        <v>937</v>
      </c>
      <c r="H109" s="2" t="s">
        <v>938</v>
      </c>
      <c r="I109" s="22">
        <v>46101</v>
      </c>
      <c r="K109" s="2" t="s">
        <v>60</v>
      </c>
      <c r="L109" s="2" t="s">
        <v>45</v>
      </c>
      <c r="M109" s="2" t="s">
        <v>46</v>
      </c>
      <c r="N109" s="2" t="s">
        <v>47</v>
      </c>
      <c r="O109" s="395" t="s">
        <v>939</v>
      </c>
      <c r="P109" s="288">
        <v>42692</v>
      </c>
      <c r="Q109" s="296" t="s">
        <v>218</v>
      </c>
      <c r="R109" s="397" t="s">
        <v>940</v>
      </c>
      <c r="S109" s="387" t="s">
        <v>941</v>
      </c>
      <c r="T109" s="14" t="s">
        <v>102</v>
      </c>
      <c r="U109" s="2" t="str">
        <f>VLOOKUP('IMPO TERR'!T109,'Matriz datos'!$J$2:$K$10,2,0)</f>
        <v>AV. AMERICO VESPUCIO 0350, QUILICURA</v>
      </c>
      <c r="V109" s="384" t="s">
        <v>942</v>
      </c>
      <c r="W109" s="66" t="s">
        <v>943</v>
      </c>
      <c r="X109" s="266" t="s">
        <v>944</v>
      </c>
      <c r="Y109" s="43" t="s">
        <v>945</v>
      </c>
      <c r="Z109" s="266">
        <v>2605140510</v>
      </c>
      <c r="AA109" s="320">
        <v>2605143750</v>
      </c>
      <c r="AB109" s="46">
        <v>46098</v>
      </c>
      <c r="AC109" s="390">
        <v>46098</v>
      </c>
      <c r="AD109" s="398">
        <v>46105</v>
      </c>
      <c r="AE109" s="43">
        <v>4090180420</v>
      </c>
      <c r="AF109" s="23">
        <v>46107</v>
      </c>
      <c r="AG109" s="315">
        <v>46107</v>
      </c>
      <c r="AH109" s="49">
        <v>46107</v>
      </c>
      <c r="AI109" s="384">
        <v>141894</v>
      </c>
      <c r="AJ109" s="383">
        <v>14420000</v>
      </c>
    </row>
    <row r="110" spans="1:36" ht="24.75" customHeight="1">
      <c r="A110" s="187" t="s">
        <v>946</v>
      </c>
      <c r="B110" s="238">
        <v>180423</v>
      </c>
      <c r="C110" s="241" t="s">
        <v>935</v>
      </c>
      <c r="D110" s="43" t="s">
        <v>40</v>
      </c>
      <c r="E110" s="307">
        <v>46093</v>
      </c>
      <c r="G110" s="2" t="s">
        <v>947</v>
      </c>
      <c r="K110" s="2" t="s">
        <v>60</v>
      </c>
      <c r="L110" s="2" t="s">
        <v>45</v>
      </c>
      <c r="M110" s="2" t="s">
        <v>46</v>
      </c>
      <c r="N110" s="2" t="s">
        <v>47</v>
      </c>
      <c r="O110" s="395" t="s">
        <v>948</v>
      </c>
      <c r="P110" s="288">
        <v>42692</v>
      </c>
      <c r="Q110" s="296" t="s">
        <v>218</v>
      </c>
      <c r="R110" s="74" t="s">
        <v>940</v>
      </c>
      <c r="S110" s="399" t="s">
        <v>941</v>
      </c>
      <c r="T110" s="14" t="s">
        <v>102</v>
      </c>
      <c r="U110" s="2" t="str">
        <f>VLOOKUP('IMPO TERR'!T110,'Matriz datos'!$J$2:$K$10,2,0)</f>
        <v>AV. AMERICO VESPUCIO 0350, QUILICURA</v>
      </c>
      <c r="V110" s="384" t="s">
        <v>942</v>
      </c>
      <c r="W110" s="66" t="s">
        <v>943</v>
      </c>
      <c r="X110" s="266" t="s">
        <v>944</v>
      </c>
      <c r="Y110" s="367" t="s">
        <v>949</v>
      </c>
      <c r="Z110" s="220">
        <v>2605129274</v>
      </c>
      <c r="AA110" s="256">
        <v>2605131490</v>
      </c>
      <c r="AB110" s="46">
        <v>46098</v>
      </c>
      <c r="AC110" s="390">
        <v>46098</v>
      </c>
      <c r="AD110" s="398">
        <v>46105</v>
      </c>
      <c r="AE110" s="43">
        <v>4090180423</v>
      </c>
      <c r="AF110" s="23">
        <v>46107</v>
      </c>
      <c r="AG110" s="49">
        <v>46107</v>
      </c>
      <c r="AH110" s="49">
        <v>46107</v>
      </c>
      <c r="AI110" s="384">
        <v>141894</v>
      </c>
      <c r="AJ110" s="383">
        <v>3540000</v>
      </c>
    </row>
    <row r="111" spans="1:36" ht="24.75" customHeight="1">
      <c r="A111" s="187" t="s">
        <v>950</v>
      </c>
      <c r="B111" s="187">
        <v>180433</v>
      </c>
      <c r="C111" s="230" t="s">
        <v>39</v>
      </c>
      <c r="D111" s="242" t="s">
        <v>40</v>
      </c>
      <c r="E111" s="189">
        <v>46093</v>
      </c>
      <c r="G111" s="2" t="s">
        <v>951</v>
      </c>
      <c r="K111" s="2" t="s">
        <v>44</v>
      </c>
      <c r="L111" s="2" t="s">
        <v>45</v>
      </c>
      <c r="M111" s="2" t="s">
        <v>46</v>
      </c>
      <c r="N111" s="2" t="s">
        <v>47</v>
      </c>
      <c r="O111" s="2" t="s">
        <v>952</v>
      </c>
      <c r="P111" s="288">
        <v>46627</v>
      </c>
      <c r="Q111" s="296" t="s">
        <v>49</v>
      </c>
      <c r="R111" s="400" t="s">
        <v>953</v>
      </c>
      <c r="S111" s="387" t="s">
        <v>954</v>
      </c>
      <c r="T111" s="14" t="s">
        <v>76</v>
      </c>
      <c r="U111" s="2" t="str">
        <f>VLOOKUP('IMPO TERR'!T111,'Matriz datos'!$J$2:$K$10,2,0)</f>
        <v>AV. PDTE. EDUARDO FREI 8301, QUILICURA</v>
      </c>
      <c r="V111" s="384" t="s">
        <v>955</v>
      </c>
      <c r="W111" s="66" t="s">
        <v>956</v>
      </c>
      <c r="X111" s="247" t="s">
        <v>957</v>
      </c>
      <c r="Y111" s="255" t="s">
        <v>958</v>
      </c>
      <c r="Z111" s="219">
        <v>2605126161</v>
      </c>
      <c r="AA111" s="256">
        <v>2605127618</v>
      </c>
      <c r="AB111" s="388">
        <v>46105</v>
      </c>
      <c r="AC111" s="390">
        <v>46106</v>
      </c>
      <c r="AD111" s="22">
        <v>46097</v>
      </c>
      <c r="AE111" s="5">
        <v>4090180433</v>
      </c>
      <c r="AF111" s="23">
        <v>46105</v>
      </c>
      <c r="AG111" s="49">
        <v>46106</v>
      </c>
      <c r="AH111" s="49">
        <v>46106</v>
      </c>
      <c r="AI111" s="384"/>
      <c r="AJ111" s="383">
        <v>25980000</v>
      </c>
    </row>
    <row r="112" spans="1:36" ht="24.75" customHeight="1">
      <c r="A112" s="187" t="s">
        <v>959</v>
      </c>
      <c r="B112" s="187">
        <v>180436</v>
      </c>
      <c r="C112" s="230" t="s">
        <v>39</v>
      </c>
      <c r="D112" s="5" t="s">
        <v>40</v>
      </c>
      <c r="E112" s="189">
        <v>46093</v>
      </c>
      <c r="K112" s="2" t="s">
        <v>44</v>
      </c>
      <c r="L112" s="2" t="s">
        <v>45</v>
      </c>
      <c r="M112" s="2" t="s">
        <v>46</v>
      </c>
      <c r="N112" s="2" t="s">
        <v>47</v>
      </c>
      <c r="O112" s="2" t="s">
        <v>960</v>
      </c>
      <c r="P112" s="288">
        <v>45031</v>
      </c>
      <c r="Q112" s="296"/>
      <c r="R112" s="389" t="s">
        <v>961</v>
      </c>
      <c r="S112" s="387" t="s">
        <v>962</v>
      </c>
      <c r="T112" s="14" t="s">
        <v>76</v>
      </c>
      <c r="U112" s="2" t="str">
        <f>VLOOKUP('IMPO TERR'!T112,'Matriz datos'!$J$2:$K$10,2,0)</f>
        <v>AV. PDTE. EDUARDO FREI 8301, QUILICURA</v>
      </c>
      <c r="V112" s="384" t="s">
        <v>963</v>
      </c>
      <c r="W112" s="66" t="s">
        <v>964</v>
      </c>
      <c r="X112" s="247" t="s">
        <v>965</v>
      </c>
      <c r="Y112" s="220" t="s">
        <v>966</v>
      </c>
      <c r="Z112" s="219">
        <v>2605126884</v>
      </c>
      <c r="AA112" s="256">
        <v>2605128497</v>
      </c>
      <c r="AB112" s="46">
        <v>46104</v>
      </c>
      <c r="AC112" s="324">
        <v>46105</v>
      </c>
      <c r="AD112" s="22">
        <v>46094</v>
      </c>
      <c r="AE112" s="5">
        <v>4090180436</v>
      </c>
      <c r="AF112" s="23">
        <v>46105</v>
      </c>
      <c r="AG112" s="49">
        <v>46105</v>
      </c>
      <c r="AH112" s="49">
        <v>46105</v>
      </c>
      <c r="AI112" s="384"/>
      <c r="AJ112" s="383">
        <v>24670000</v>
      </c>
    </row>
    <row r="113" spans="1:38" ht="24.75" customHeight="1">
      <c r="A113" s="187" t="s">
        <v>967</v>
      </c>
      <c r="B113" s="187">
        <v>180438</v>
      </c>
      <c r="C113" s="230" t="s">
        <v>39</v>
      </c>
      <c r="D113" s="5" t="s">
        <v>142</v>
      </c>
      <c r="E113" s="189">
        <v>46093</v>
      </c>
      <c r="K113" s="2" t="s">
        <v>44</v>
      </c>
      <c r="L113" s="2" t="s">
        <v>45</v>
      </c>
      <c r="M113" s="2" t="s">
        <v>46</v>
      </c>
      <c r="N113" s="2" t="s">
        <v>47</v>
      </c>
      <c r="O113" s="2" t="s">
        <v>968</v>
      </c>
      <c r="P113" s="288">
        <v>41050</v>
      </c>
      <c r="Q113" s="296"/>
      <c r="R113" s="389" t="s">
        <v>969</v>
      </c>
      <c r="S113" s="387" t="s">
        <v>970</v>
      </c>
      <c r="T113" s="14" t="s">
        <v>971</v>
      </c>
      <c r="U113" s="2" t="s">
        <v>972</v>
      </c>
      <c r="V113" s="384" t="s">
        <v>973</v>
      </c>
      <c r="X113" s="247" t="s">
        <v>974</v>
      </c>
      <c r="Y113" s="262" t="s">
        <v>975</v>
      </c>
      <c r="Z113" s="219">
        <v>2605127561</v>
      </c>
      <c r="AA113" s="221">
        <v>2605128846</v>
      </c>
      <c r="AB113" s="388">
        <v>46096</v>
      </c>
      <c r="AC113" s="390">
        <v>46097</v>
      </c>
      <c r="AD113" s="22">
        <v>46097</v>
      </c>
      <c r="AE113" s="43">
        <v>4090180438</v>
      </c>
      <c r="AF113" s="23">
        <v>46097</v>
      </c>
      <c r="AG113" s="46">
        <v>46098</v>
      </c>
      <c r="AH113" s="46">
        <v>46098</v>
      </c>
      <c r="AI113" s="384"/>
      <c r="AJ113" s="383">
        <v>25900000</v>
      </c>
    </row>
    <row r="114" spans="1:38" ht="24.75" customHeight="1">
      <c r="A114" s="187" t="s">
        <v>976</v>
      </c>
      <c r="B114" s="187">
        <v>180441</v>
      </c>
      <c r="C114" s="230" t="s">
        <v>39</v>
      </c>
      <c r="D114" s="5" t="s">
        <v>40</v>
      </c>
      <c r="E114" s="189">
        <v>46093</v>
      </c>
      <c r="G114" s="2" t="s">
        <v>977</v>
      </c>
      <c r="K114" s="2" t="s">
        <v>60</v>
      </c>
      <c r="L114" s="2" t="s">
        <v>45</v>
      </c>
      <c r="M114" s="2" t="s">
        <v>46</v>
      </c>
      <c r="N114" s="2" t="s">
        <v>47</v>
      </c>
      <c r="O114" s="2" t="s">
        <v>978</v>
      </c>
      <c r="P114" s="288">
        <v>44713</v>
      </c>
      <c r="Q114" s="296"/>
      <c r="R114" s="389" t="s">
        <v>979</v>
      </c>
      <c r="S114" s="387" t="s">
        <v>980</v>
      </c>
      <c r="T114" s="14" t="s">
        <v>76</v>
      </c>
      <c r="U114" s="2" t="str">
        <f>VLOOKUP('IMPO TERR'!T114,'Matriz datos'!$J$2:$K$10,2,0)</f>
        <v>AV. PDTE. EDUARDO FREI 8301, QUILICURA</v>
      </c>
      <c r="V114" s="384" t="s">
        <v>981</v>
      </c>
      <c r="W114" s="66" t="s">
        <v>982</v>
      </c>
      <c r="X114" s="220" t="s">
        <v>983</v>
      </c>
      <c r="Y114" s="5" t="s">
        <v>984</v>
      </c>
      <c r="Z114" s="220">
        <v>2605127669</v>
      </c>
      <c r="AA114" s="256">
        <v>2605128299</v>
      </c>
      <c r="AB114" s="18" t="s">
        <v>985</v>
      </c>
      <c r="AC114" s="390">
        <v>46102</v>
      </c>
      <c r="AD114" s="22">
        <v>46095</v>
      </c>
      <c r="AE114" s="43">
        <v>4090180441</v>
      </c>
      <c r="AF114" s="23">
        <v>46102</v>
      </c>
      <c r="AG114" s="49">
        <v>46102</v>
      </c>
      <c r="AH114" s="49">
        <v>46102</v>
      </c>
      <c r="AI114" s="384">
        <v>180767</v>
      </c>
      <c r="AJ114" s="383">
        <v>20910000</v>
      </c>
    </row>
    <row r="115" spans="1:38" ht="24.75" customHeight="1">
      <c r="A115" s="187" t="s">
        <v>986</v>
      </c>
      <c r="B115" s="187">
        <v>180450</v>
      </c>
      <c r="C115" s="230" t="s">
        <v>39</v>
      </c>
      <c r="D115" s="5" t="s">
        <v>40</v>
      </c>
      <c r="E115" s="189">
        <v>46093</v>
      </c>
      <c r="K115" s="2" t="s">
        <v>44</v>
      </c>
      <c r="L115" s="2" t="s">
        <v>61</v>
      </c>
      <c r="M115" s="2" t="s">
        <v>46</v>
      </c>
      <c r="N115" s="2" t="s">
        <v>47</v>
      </c>
      <c r="O115" s="2" t="s">
        <v>987</v>
      </c>
      <c r="P115" s="288">
        <v>41987</v>
      </c>
      <c r="Q115" s="296"/>
      <c r="R115" s="389" t="s">
        <v>988</v>
      </c>
      <c r="S115" s="387" t="s">
        <v>989</v>
      </c>
      <c r="T115" s="14" t="s">
        <v>76</v>
      </c>
      <c r="U115" s="2" t="str">
        <f>VLOOKUP('IMPO TERR'!T115,'Matriz datos'!$J$2:$K$10,2,0)</f>
        <v>AV. PDTE. EDUARDO FREI 8301, QUILICURA</v>
      </c>
      <c r="V115" s="384" t="s">
        <v>990</v>
      </c>
      <c r="W115" s="66" t="s">
        <v>991</v>
      </c>
      <c r="X115" s="247" t="s">
        <v>992</v>
      </c>
      <c r="Y115" s="255" t="s">
        <v>993</v>
      </c>
      <c r="Z115" s="219">
        <v>2605126627</v>
      </c>
      <c r="AA115" s="221">
        <v>2605127636</v>
      </c>
      <c r="AB115" s="49">
        <v>46097</v>
      </c>
      <c r="AC115" s="390">
        <v>46098</v>
      </c>
      <c r="AD115" s="22">
        <v>46094</v>
      </c>
      <c r="AE115" s="5">
        <v>4090180450</v>
      </c>
      <c r="AF115" s="23">
        <v>46097</v>
      </c>
      <c r="AG115" s="49">
        <v>46098</v>
      </c>
      <c r="AH115" s="46">
        <v>46099</v>
      </c>
      <c r="AI115" s="384"/>
      <c r="AJ115" s="383">
        <v>26190000</v>
      </c>
    </row>
    <row r="116" spans="1:38" ht="24.75" customHeight="1">
      <c r="A116" s="187" t="s">
        <v>994</v>
      </c>
      <c r="B116" s="187">
        <v>180456</v>
      </c>
      <c r="C116" s="230" t="s">
        <v>995</v>
      </c>
      <c r="D116" s="2" t="s">
        <v>58</v>
      </c>
      <c r="E116" s="189">
        <v>46093</v>
      </c>
      <c r="K116" s="2" t="s">
        <v>44</v>
      </c>
      <c r="L116" s="2" t="s">
        <v>45</v>
      </c>
      <c r="M116" s="2" t="s">
        <v>46</v>
      </c>
      <c r="N116" s="2" t="s">
        <v>47</v>
      </c>
      <c r="O116" s="2" t="s">
        <v>996</v>
      </c>
      <c r="P116" s="288">
        <v>46706</v>
      </c>
      <c r="Q116" s="296"/>
      <c r="R116" s="397" t="s">
        <v>997</v>
      </c>
      <c r="S116" s="387" t="s">
        <v>998</v>
      </c>
      <c r="T116" s="14" t="s">
        <v>76</v>
      </c>
      <c r="U116" s="2" t="str">
        <f>VLOOKUP('IMPO TERR'!T116,'Matriz datos'!$J$2:$K$10,2,0)</f>
        <v>AV. PDTE. EDUARDO FREI 8301, QUILICURA</v>
      </c>
      <c r="V116" s="384" t="s">
        <v>999</v>
      </c>
      <c r="W116" s="66" t="s">
        <v>1000</v>
      </c>
      <c r="X116" s="247" t="s">
        <v>1001</v>
      </c>
      <c r="Y116" s="259"/>
      <c r="Z116" s="219">
        <v>2605130145</v>
      </c>
      <c r="AA116" s="9">
        <v>2605131440</v>
      </c>
      <c r="AB116" s="384" t="s">
        <v>58</v>
      </c>
      <c r="AC116" s="390" t="s">
        <v>58</v>
      </c>
      <c r="AD116" s="22">
        <v>46098</v>
      </c>
      <c r="AE116" s="43">
        <v>4090180456</v>
      </c>
      <c r="AF116" s="23">
        <v>46108</v>
      </c>
      <c r="AG116" s="14" t="s">
        <v>58</v>
      </c>
      <c r="AH116" s="14" t="s">
        <v>58</v>
      </c>
      <c r="AI116" s="384"/>
      <c r="AJ116" s="383">
        <v>23790000</v>
      </c>
    </row>
    <row r="117" spans="1:38" ht="24.75" customHeight="1">
      <c r="A117" s="187" t="s">
        <v>1002</v>
      </c>
      <c r="B117" s="187">
        <v>180457</v>
      </c>
      <c r="C117" s="230" t="s">
        <v>39</v>
      </c>
      <c r="D117" s="5" t="s">
        <v>40</v>
      </c>
      <c r="E117" s="189">
        <v>12</v>
      </c>
      <c r="K117" s="2" t="s">
        <v>44</v>
      </c>
      <c r="L117" s="2" t="s">
        <v>61</v>
      </c>
      <c r="M117" s="2" t="s">
        <v>46</v>
      </c>
      <c r="N117" s="2" t="s">
        <v>47</v>
      </c>
      <c r="O117" s="2" t="s">
        <v>1003</v>
      </c>
      <c r="P117" s="288">
        <v>42796</v>
      </c>
      <c r="Q117" s="296"/>
      <c r="R117" s="74" t="s">
        <v>1004</v>
      </c>
      <c r="S117" s="399" t="s">
        <v>1005</v>
      </c>
      <c r="T117" s="14" t="s">
        <v>102</v>
      </c>
      <c r="U117" s="2" t="str">
        <f>VLOOKUP('IMPO TERR'!T117,'Matriz datos'!$J$2:$K$10,2,0)</f>
        <v>AV. AMERICO VESPUCIO 0350, QUILICURA</v>
      </c>
      <c r="V117" s="401" t="s">
        <v>1006</v>
      </c>
      <c r="W117" s="282" t="s">
        <v>1007</v>
      </c>
      <c r="X117" s="220" t="s">
        <v>1008</v>
      </c>
      <c r="Y117" s="5" t="s">
        <v>1009</v>
      </c>
      <c r="Z117" s="220">
        <v>2605127563</v>
      </c>
      <c r="AA117" s="221">
        <v>2605128767</v>
      </c>
      <c r="AB117" s="46">
        <v>46098</v>
      </c>
      <c r="AC117" s="390">
        <v>46098</v>
      </c>
      <c r="AD117" s="22">
        <v>46097</v>
      </c>
      <c r="AE117" s="43">
        <v>4090180457</v>
      </c>
      <c r="AF117" s="23">
        <v>46098</v>
      </c>
      <c r="AG117" s="49">
        <v>46098</v>
      </c>
      <c r="AH117" s="49">
        <v>46099</v>
      </c>
      <c r="AI117" s="384"/>
      <c r="AJ117" s="383">
        <v>32880000</v>
      </c>
    </row>
    <row r="118" spans="1:38" s="21" customFormat="1" ht="24" customHeight="1">
      <c r="A118" s="187" t="s">
        <v>1010</v>
      </c>
      <c r="B118" s="187">
        <v>180458</v>
      </c>
      <c r="C118" s="230" t="s">
        <v>39</v>
      </c>
      <c r="D118" s="234" t="s">
        <v>40</v>
      </c>
      <c r="E118" s="306">
        <v>12</v>
      </c>
      <c r="F118" s="14"/>
      <c r="G118" s="14"/>
      <c r="H118" s="14"/>
      <c r="I118" s="14"/>
      <c r="J118" s="14"/>
      <c r="K118" s="226" t="s">
        <v>44</v>
      </c>
      <c r="L118" s="226" t="s">
        <v>280</v>
      </c>
      <c r="M118" s="226" t="s">
        <v>46</v>
      </c>
      <c r="N118" s="226" t="s">
        <v>47</v>
      </c>
      <c r="O118" s="226" t="s">
        <v>1011</v>
      </c>
      <c r="P118" s="288" t="s">
        <v>1012</v>
      </c>
      <c r="Q118" s="298"/>
      <c r="R118" s="400" t="s">
        <v>1013</v>
      </c>
      <c r="S118" s="387" t="s">
        <v>1014</v>
      </c>
      <c r="T118" s="14" t="s">
        <v>441</v>
      </c>
      <c r="U118" s="14" t="str">
        <f>VLOOKUP('IMPO TERR'!T118,'Matriz datos'!$J$2:$K$10,2,0)</f>
        <v>CAMINO LO AGUIRRE SUR 537, PUDAHUEL </v>
      </c>
      <c r="V118" s="396" t="s">
        <v>1015</v>
      </c>
      <c r="W118" s="76" t="s">
        <v>1016</v>
      </c>
      <c r="X118" s="220" t="s">
        <v>1017</v>
      </c>
      <c r="Y118" s="5" t="s">
        <v>1018</v>
      </c>
      <c r="Z118" s="220">
        <v>2605128458</v>
      </c>
      <c r="AA118" s="221">
        <v>2605130635</v>
      </c>
      <c r="AB118" s="388">
        <v>46094</v>
      </c>
      <c r="AC118" s="390">
        <v>46095</v>
      </c>
      <c r="AD118" s="49">
        <v>46097</v>
      </c>
      <c r="AE118" s="253">
        <v>4090180458</v>
      </c>
      <c r="AF118" s="235">
        <v>46097</v>
      </c>
      <c r="AG118" s="49">
        <v>46098</v>
      </c>
      <c r="AH118" s="49">
        <v>46099</v>
      </c>
      <c r="AI118" s="384"/>
      <c r="AJ118" s="383">
        <v>47480000</v>
      </c>
      <c r="AK118" s="274"/>
      <c r="AL118" s="274"/>
    </row>
    <row r="119" spans="1:38" ht="23.25" customHeight="1">
      <c r="A119" s="187" t="s">
        <v>1019</v>
      </c>
      <c r="B119" s="187">
        <v>180462</v>
      </c>
      <c r="C119" s="230" t="s">
        <v>39</v>
      </c>
      <c r="D119" s="5" t="s">
        <v>40</v>
      </c>
      <c r="E119" s="189">
        <v>12</v>
      </c>
      <c r="K119" s="2" t="s">
        <v>44</v>
      </c>
      <c r="L119" s="2" t="s">
        <v>280</v>
      </c>
      <c r="M119" s="2" t="s">
        <v>46</v>
      </c>
      <c r="N119" s="2" t="s">
        <v>47</v>
      </c>
      <c r="O119" s="2" t="s">
        <v>1020</v>
      </c>
      <c r="P119" s="288" t="s">
        <v>1021</v>
      </c>
      <c r="Q119" s="296"/>
      <c r="R119" s="389" t="s">
        <v>1022</v>
      </c>
      <c r="S119" s="387" t="s">
        <v>293</v>
      </c>
      <c r="T119" s="14" t="s">
        <v>76</v>
      </c>
      <c r="U119" s="2" t="str">
        <f>VLOOKUP('IMPO TERR'!T119,'Matriz datos'!$J$2:$K$10,2,0)</f>
        <v>AV. PDTE. EDUARDO FREI 8301, QUILICURA</v>
      </c>
      <c r="V119" s="384" t="s">
        <v>1023</v>
      </c>
      <c r="W119" s="66" t="s">
        <v>1024</v>
      </c>
      <c r="X119" s="220" t="s">
        <v>1025</v>
      </c>
      <c r="Y119" s="5" t="s">
        <v>1026</v>
      </c>
      <c r="Z119" s="220">
        <v>2605126952</v>
      </c>
      <c r="AA119" s="221">
        <v>2605127639</v>
      </c>
      <c r="AB119" s="388">
        <v>46095</v>
      </c>
      <c r="AC119" s="390">
        <v>46097</v>
      </c>
      <c r="AD119" s="22">
        <v>46094</v>
      </c>
      <c r="AE119" s="43">
        <v>4090180462</v>
      </c>
      <c r="AF119" s="23">
        <v>46097</v>
      </c>
      <c r="AG119" s="46">
        <v>46098</v>
      </c>
      <c r="AH119" s="49">
        <v>46099</v>
      </c>
      <c r="AI119" s="384">
        <v>141655</v>
      </c>
      <c r="AJ119" s="383">
        <v>30470000</v>
      </c>
    </row>
    <row r="120" spans="1:38" ht="24.75" customHeight="1">
      <c r="A120" s="187" t="s">
        <v>1027</v>
      </c>
      <c r="B120" s="187">
        <v>180464</v>
      </c>
      <c r="C120" s="230" t="s">
        <v>39</v>
      </c>
      <c r="D120" s="5" t="s">
        <v>142</v>
      </c>
      <c r="E120" s="189">
        <v>12</v>
      </c>
      <c r="K120" s="2" t="s">
        <v>44</v>
      </c>
      <c r="L120" s="2" t="s">
        <v>61</v>
      </c>
      <c r="M120" s="2" t="s">
        <v>46</v>
      </c>
      <c r="N120" s="2" t="s">
        <v>47</v>
      </c>
      <c r="O120" s="2" t="s">
        <v>1028</v>
      </c>
      <c r="P120" s="288">
        <v>42747</v>
      </c>
      <c r="Q120" s="296"/>
      <c r="R120" s="389" t="s">
        <v>1029</v>
      </c>
      <c r="S120" s="387" t="s">
        <v>1030</v>
      </c>
      <c r="T120" s="14" t="s">
        <v>1031</v>
      </c>
      <c r="U120" s="2" t="s">
        <v>1032</v>
      </c>
      <c r="V120" s="384" t="s">
        <v>1033</v>
      </c>
      <c r="W120" s="66" t="s">
        <v>1034</v>
      </c>
      <c r="X120" s="247" t="s">
        <v>1035</v>
      </c>
      <c r="Y120" s="255" t="s">
        <v>1036</v>
      </c>
      <c r="Z120" s="219">
        <v>2605130467</v>
      </c>
      <c r="AA120" s="221">
        <v>2605131389</v>
      </c>
      <c r="AB120" s="388">
        <v>46098</v>
      </c>
      <c r="AC120" s="390">
        <v>46099</v>
      </c>
      <c r="AD120" s="22">
        <v>46099</v>
      </c>
      <c r="AE120" s="43">
        <v>4090180464</v>
      </c>
      <c r="AF120" s="23">
        <v>46099</v>
      </c>
      <c r="AG120" s="49">
        <v>46099</v>
      </c>
      <c r="AH120" s="49">
        <v>46101</v>
      </c>
      <c r="AI120" s="384">
        <v>141703</v>
      </c>
      <c r="AJ120" s="383">
        <v>27370000</v>
      </c>
    </row>
    <row r="121" spans="1:38" ht="24.75" customHeight="1">
      <c r="A121" s="187" t="s">
        <v>1037</v>
      </c>
      <c r="B121" s="187">
        <v>180465</v>
      </c>
      <c r="C121" s="230" t="s">
        <v>39</v>
      </c>
      <c r="D121" s="2" t="s">
        <v>58</v>
      </c>
      <c r="E121" s="189">
        <v>12</v>
      </c>
      <c r="K121" s="2" t="s">
        <v>60</v>
      </c>
      <c r="L121" s="2" t="s">
        <v>61</v>
      </c>
      <c r="M121" s="2" t="s">
        <v>46</v>
      </c>
      <c r="N121" s="2" t="s">
        <v>47</v>
      </c>
      <c r="O121" s="2" t="s">
        <v>1038</v>
      </c>
      <c r="P121" s="288">
        <v>42808</v>
      </c>
      <c r="Q121" s="296"/>
      <c r="R121" s="389" t="s">
        <v>1039</v>
      </c>
      <c r="S121" s="387" t="s">
        <v>1040</v>
      </c>
      <c r="T121" s="14" t="s">
        <v>102</v>
      </c>
      <c r="U121" s="2" t="str">
        <f>VLOOKUP('IMPO TERR'!T121,'Matriz datos'!$J$2:$K$10,2,0)</f>
        <v>AV. AMERICO VESPUCIO 0350, QUILICURA</v>
      </c>
      <c r="V121" s="384" t="s">
        <v>1041</v>
      </c>
      <c r="W121" s="66" t="s">
        <v>1042</v>
      </c>
      <c r="X121" s="247" t="s">
        <v>1043</v>
      </c>
      <c r="Y121" s="33" t="s">
        <v>1044</v>
      </c>
      <c r="Z121" s="219">
        <v>2605127649</v>
      </c>
      <c r="AA121" s="221">
        <v>2605128399</v>
      </c>
      <c r="AB121" s="388">
        <v>46098</v>
      </c>
      <c r="AC121" s="324">
        <v>46099</v>
      </c>
      <c r="AD121" s="222" t="s">
        <v>1045</v>
      </c>
      <c r="AE121" s="43">
        <v>4090180465</v>
      </c>
      <c r="AF121" s="23">
        <v>46099</v>
      </c>
      <c r="AG121" s="46">
        <v>46099</v>
      </c>
      <c r="AH121" s="49">
        <v>46100</v>
      </c>
      <c r="AI121" s="384">
        <v>141697</v>
      </c>
      <c r="AJ121" s="383">
        <v>26360000</v>
      </c>
    </row>
    <row r="122" spans="1:38" ht="24.75" customHeight="1">
      <c r="A122" s="187" t="s">
        <v>1046</v>
      </c>
      <c r="B122" s="187">
        <v>180466</v>
      </c>
      <c r="C122" s="230" t="s">
        <v>39</v>
      </c>
      <c r="D122" s="5" t="s">
        <v>142</v>
      </c>
      <c r="E122" s="189">
        <v>46093</v>
      </c>
      <c r="K122" s="2" t="s">
        <v>44</v>
      </c>
      <c r="L122" s="2" t="s">
        <v>61</v>
      </c>
      <c r="M122" s="2" t="s">
        <v>46</v>
      </c>
      <c r="N122" s="2" t="s">
        <v>47</v>
      </c>
      <c r="O122" s="2" t="s">
        <v>1047</v>
      </c>
      <c r="P122" s="288">
        <v>42975</v>
      </c>
      <c r="Q122" s="296"/>
      <c r="R122" s="389" t="s">
        <v>1048</v>
      </c>
      <c r="S122" s="387" t="s">
        <v>1049</v>
      </c>
      <c r="T122" s="14" t="s">
        <v>76</v>
      </c>
      <c r="U122" s="2" t="str">
        <f>VLOOKUP('IMPO TERR'!T122,'Matriz datos'!$J$2:$K$10,2,0)</f>
        <v>AV. PDTE. EDUARDO FREI 8301, QUILICURA</v>
      </c>
      <c r="V122" s="384" t="s">
        <v>1050</v>
      </c>
      <c r="W122" s="66" t="s">
        <v>1051</v>
      </c>
      <c r="X122" s="247" t="s">
        <v>1052</v>
      </c>
      <c r="Y122" s="220" t="s">
        <v>1053</v>
      </c>
      <c r="Z122" s="219">
        <v>2605129781</v>
      </c>
      <c r="AA122" s="221">
        <v>2605130642</v>
      </c>
      <c r="AB122" s="46">
        <v>46098</v>
      </c>
      <c r="AC122" s="390">
        <v>46099</v>
      </c>
      <c r="AD122" s="22">
        <v>46097</v>
      </c>
      <c r="AE122" s="5">
        <v>4090180466</v>
      </c>
      <c r="AF122" s="23">
        <v>46099</v>
      </c>
      <c r="AG122" s="49">
        <v>46099</v>
      </c>
      <c r="AH122" s="46">
        <v>46099</v>
      </c>
      <c r="AI122" s="384">
        <v>141709</v>
      </c>
      <c r="AJ122" s="383">
        <v>25500000</v>
      </c>
    </row>
    <row r="123" spans="1:38" ht="24.75" customHeight="1">
      <c r="A123" s="228" t="s">
        <v>1054</v>
      </c>
      <c r="B123" s="187">
        <v>180472</v>
      </c>
      <c r="C123" s="230" t="s">
        <v>39</v>
      </c>
      <c r="D123" s="5" t="s">
        <v>40</v>
      </c>
      <c r="E123" s="189">
        <v>46093</v>
      </c>
      <c r="K123" s="2" t="s">
        <v>60</v>
      </c>
      <c r="L123" s="2" t="s">
        <v>45</v>
      </c>
      <c r="M123" s="2" t="s">
        <v>46</v>
      </c>
      <c r="N123" s="2" t="s">
        <v>47</v>
      </c>
      <c r="O123" s="2" t="s">
        <v>1055</v>
      </c>
      <c r="P123" s="288">
        <v>45702</v>
      </c>
      <c r="Q123" s="296"/>
      <c r="R123" s="389" t="s">
        <v>1056</v>
      </c>
      <c r="S123" s="387" t="s">
        <v>1057</v>
      </c>
      <c r="T123" s="14" t="s">
        <v>102</v>
      </c>
      <c r="U123" s="2" t="str">
        <f>VLOOKUP('IMPO TERR'!T123,'Matriz datos'!$J$2:$K$10,2,0)</f>
        <v>AV. AMERICO VESPUCIO 0350, QUILICURA</v>
      </c>
      <c r="V123" s="384" t="s">
        <v>1058</v>
      </c>
      <c r="X123" s="247" t="s">
        <v>1059</v>
      </c>
      <c r="Y123" s="220" t="s">
        <v>1060</v>
      </c>
      <c r="Z123" s="219">
        <v>2605127293</v>
      </c>
      <c r="AA123" s="256">
        <v>2605128271</v>
      </c>
      <c r="AB123" s="388">
        <v>46105</v>
      </c>
      <c r="AC123" s="390">
        <v>46105</v>
      </c>
      <c r="AD123" s="398">
        <v>46095</v>
      </c>
      <c r="AE123" s="43">
        <v>4090180472</v>
      </c>
      <c r="AF123" s="23">
        <v>46105</v>
      </c>
      <c r="AG123" s="49">
        <v>46106</v>
      </c>
      <c r="AH123" s="49">
        <v>46106</v>
      </c>
      <c r="AI123" s="384"/>
      <c r="AJ123" s="383">
        <v>20950000</v>
      </c>
    </row>
    <row r="124" spans="1:38" ht="22.5" customHeight="1">
      <c r="A124" s="187" t="s">
        <v>1061</v>
      </c>
      <c r="B124" s="187">
        <v>180475</v>
      </c>
      <c r="C124" s="230" t="s">
        <v>39</v>
      </c>
      <c r="D124" s="5" t="s">
        <v>40</v>
      </c>
      <c r="E124" s="189">
        <v>46093</v>
      </c>
      <c r="F124" s="98" t="s">
        <v>1062</v>
      </c>
      <c r="G124" s="98" t="s">
        <v>1063</v>
      </c>
      <c r="H124" s="22">
        <v>46101</v>
      </c>
      <c r="K124" s="2" t="s">
        <v>44</v>
      </c>
      <c r="L124" s="2" t="s">
        <v>45</v>
      </c>
      <c r="M124" s="2" t="s">
        <v>46</v>
      </c>
      <c r="N124" s="2" t="s">
        <v>47</v>
      </c>
      <c r="O124" s="2" t="s">
        <v>1064</v>
      </c>
      <c r="P124" s="288">
        <v>42393</v>
      </c>
      <c r="Q124" s="296" t="s">
        <v>49</v>
      </c>
      <c r="R124" s="389" t="s">
        <v>1065</v>
      </c>
      <c r="S124" s="387" t="s">
        <v>1066</v>
      </c>
      <c r="T124" s="14" t="s">
        <v>102</v>
      </c>
      <c r="U124" s="2" t="str">
        <f>VLOOKUP('IMPO TERR'!T124,'Matriz datos'!$J$2:$K$10,2,0)</f>
        <v>AV. AMERICO VESPUCIO 0350, QUILICURA</v>
      </c>
      <c r="V124" s="384" t="s">
        <v>1067</v>
      </c>
      <c r="W124" s="66" t="s">
        <v>1068</v>
      </c>
      <c r="X124" s="247" t="s">
        <v>1069</v>
      </c>
      <c r="Y124" s="5" t="s">
        <v>1070</v>
      </c>
      <c r="Z124" s="219">
        <v>2605132151</v>
      </c>
      <c r="AA124" s="263">
        <v>2605133166</v>
      </c>
      <c r="AB124" s="388">
        <v>46097</v>
      </c>
      <c r="AC124" s="324">
        <v>46098</v>
      </c>
      <c r="AD124" s="22">
        <v>46102</v>
      </c>
      <c r="AE124" s="5">
        <v>4090180475</v>
      </c>
      <c r="AG124" s="46">
        <v>46104</v>
      </c>
      <c r="AH124" s="49">
        <v>46104</v>
      </c>
      <c r="AI124" s="384">
        <v>141770</v>
      </c>
      <c r="AJ124" s="383">
        <v>28670000</v>
      </c>
    </row>
    <row r="125" spans="1:38" ht="24.75" customHeight="1">
      <c r="A125" s="187" t="s">
        <v>1071</v>
      </c>
      <c r="B125" s="187">
        <v>180481</v>
      </c>
      <c r="C125" s="230" t="s">
        <v>39</v>
      </c>
      <c r="D125" s="5" t="s">
        <v>40</v>
      </c>
      <c r="E125" s="189">
        <v>46094</v>
      </c>
      <c r="K125" s="2" t="s">
        <v>60</v>
      </c>
      <c r="L125" s="2" t="s">
        <v>45</v>
      </c>
      <c r="M125" s="2" t="s">
        <v>46</v>
      </c>
      <c r="N125" s="2" t="s">
        <v>47</v>
      </c>
      <c r="O125" s="2" t="s">
        <v>1072</v>
      </c>
      <c r="P125" s="309">
        <v>43624</v>
      </c>
      <c r="Q125" s="296"/>
      <c r="R125" s="389" t="s">
        <v>1073</v>
      </c>
      <c r="S125" s="387" t="s">
        <v>1074</v>
      </c>
      <c r="T125" s="14" t="s">
        <v>76</v>
      </c>
      <c r="U125" s="2" t="str">
        <f>VLOOKUP('IMPO TERR'!T125,'Matriz datos'!$J$2:$K$10,2,0)</f>
        <v>AV. PDTE. EDUARDO FREI 8301, QUILICURA</v>
      </c>
      <c r="V125" s="384" t="s">
        <v>1075</v>
      </c>
      <c r="W125" s="66" t="s">
        <v>1076</v>
      </c>
      <c r="X125" s="247" t="s">
        <v>1077</v>
      </c>
      <c r="Y125" s="33" t="s">
        <v>1078</v>
      </c>
      <c r="Z125" s="219">
        <v>2605127654</v>
      </c>
      <c r="AA125" s="221">
        <v>2605128296</v>
      </c>
      <c r="AB125" s="388">
        <v>46099</v>
      </c>
      <c r="AC125" s="390">
        <v>46100</v>
      </c>
      <c r="AD125" s="22">
        <v>46095</v>
      </c>
      <c r="AE125" s="43">
        <v>4090180481</v>
      </c>
      <c r="AF125" s="23">
        <v>46100</v>
      </c>
      <c r="AG125" s="49">
        <v>46100</v>
      </c>
      <c r="AH125" s="49">
        <v>46100</v>
      </c>
      <c r="AI125" s="384">
        <v>141722</v>
      </c>
      <c r="AJ125" s="383">
        <v>25720000</v>
      </c>
    </row>
    <row r="126" spans="1:38" ht="24.75" customHeight="1">
      <c r="A126" s="187" t="s">
        <v>1079</v>
      </c>
      <c r="B126" s="187">
        <v>180496</v>
      </c>
      <c r="C126" s="230" t="s">
        <v>39</v>
      </c>
      <c r="D126" s="5" t="s">
        <v>40</v>
      </c>
      <c r="E126" s="189">
        <v>46094</v>
      </c>
      <c r="K126" s="2" t="s">
        <v>44</v>
      </c>
      <c r="L126" s="2" t="s">
        <v>61</v>
      </c>
      <c r="M126" s="2" t="s">
        <v>46</v>
      </c>
      <c r="N126" s="2" t="s">
        <v>47</v>
      </c>
      <c r="O126" s="2" t="s">
        <v>1080</v>
      </c>
      <c r="P126" s="288">
        <v>44610</v>
      </c>
      <c r="Q126" s="296"/>
      <c r="R126" s="389" t="s">
        <v>1081</v>
      </c>
      <c r="S126" s="387" t="s">
        <v>1082</v>
      </c>
      <c r="T126" s="14" t="s">
        <v>102</v>
      </c>
      <c r="U126" s="2" t="str">
        <f>VLOOKUP('IMPO TERR'!T126,'Matriz datos'!$J$2:$K$10,2,0)</f>
        <v>AV. AMERICO VESPUCIO 0350, QUILICURA</v>
      </c>
      <c r="V126" s="384" t="s">
        <v>1083</v>
      </c>
      <c r="X126" s="220" t="s">
        <v>1084</v>
      </c>
      <c r="Y126" s="5" t="s">
        <v>1085</v>
      </c>
      <c r="Z126" s="220">
        <v>2605133116</v>
      </c>
      <c r="AA126" s="263">
        <v>2605136606</v>
      </c>
      <c r="AB126" s="46">
        <v>46101</v>
      </c>
      <c r="AC126" s="390">
        <v>46101</v>
      </c>
      <c r="AD126" s="22">
        <v>46099</v>
      </c>
      <c r="AE126" s="43">
        <v>4090180496</v>
      </c>
      <c r="AF126" s="265">
        <v>46105</v>
      </c>
      <c r="AG126" s="49">
        <v>46105</v>
      </c>
      <c r="AH126" s="49">
        <v>46105</v>
      </c>
      <c r="AI126" s="384">
        <v>171743</v>
      </c>
      <c r="AJ126" s="383">
        <v>27740000</v>
      </c>
    </row>
    <row r="127" spans="1:38" ht="24.75" customHeight="1">
      <c r="A127" s="187" t="s">
        <v>1086</v>
      </c>
      <c r="B127" s="187">
        <v>180497</v>
      </c>
      <c r="C127" s="230" t="s">
        <v>39</v>
      </c>
      <c r="D127" s="2" t="s">
        <v>58</v>
      </c>
      <c r="E127" s="189">
        <v>46094</v>
      </c>
      <c r="K127" s="2" t="s">
        <v>44</v>
      </c>
      <c r="L127" s="2" t="s">
        <v>61</v>
      </c>
      <c r="M127" s="2" t="s">
        <v>46</v>
      </c>
      <c r="N127" s="2" t="s">
        <v>47</v>
      </c>
      <c r="O127" s="2" t="s">
        <v>1087</v>
      </c>
      <c r="P127" s="310">
        <v>44062</v>
      </c>
      <c r="Q127" s="296"/>
      <c r="R127" s="389" t="s">
        <v>1088</v>
      </c>
      <c r="S127" s="387" t="s">
        <v>1089</v>
      </c>
      <c r="T127" s="14" t="s">
        <v>441</v>
      </c>
      <c r="U127" s="2" t="str">
        <f>VLOOKUP('IMPO TERR'!T127,'Matriz datos'!$J$2:$K$10,2,0)</f>
        <v>CAMINO LO AGUIRRE SUR 537, PUDAHUEL </v>
      </c>
      <c r="V127" s="384" t="s">
        <v>1090</v>
      </c>
      <c r="W127" s="66" t="s">
        <v>1091</v>
      </c>
      <c r="X127" s="247" t="s">
        <v>1092</v>
      </c>
      <c r="Y127" s="255" t="s">
        <v>1093</v>
      </c>
      <c r="Z127" s="219">
        <v>2605128791</v>
      </c>
      <c r="AA127" s="263">
        <v>2605131067</v>
      </c>
      <c r="AB127" s="46">
        <v>46100</v>
      </c>
      <c r="AC127" s="390">
        <v>46101</v>
      </c>
      <c r="AD127" s="22">
        <v>46097</v>
      </c>
      <c r="AE127" s="5">
        <v>4090180497</v>
      </c>
      <c r="AF127" s="265">
        <v>46104</v>
      </c>
      <c r="AG127" s="49">
        <v>46104</v>
      </c>
      <c r="AH127" s="49">
        <v>46105</v>
      </c>
      <c r="AI127" s="384">
        <v>141736</v>
      </c>
      <c r="AJ127" s="383">
        <v>30650000</v>
      </c>
    </row>
    <row r="128" spans="1:38" ht="24.75" customHeight="1">
      <c r="A128" s="187" t="s">
        <v>1094</v>
      </c>
      <c r="B128" s="187">
        <v>180498</v>
      </c>
      <c r="C128" s="230" t="s">
        <v>39</v>
      </c>
      <c r="D128" s="171" t="s">
        <v>40</v>
      </c>
      <c r="E128" s="189">
        <v>46035</v>
      </c>
      <c r="K128" s="2" t="s">
        <v>44</v>
      </c>
      <c r="L128" s="2" t="s">
        <v>61</v>
      </c>
      <c r="M128" s="2" t="s">
        <v>46</v>
      </c>
      <c r="N128" s="2" t="s">
        <v>47</v>
      </c>
      <c r="O128" s="2" t="s">
        <v>1095</v>
      </c>
      <c r="P128" s="288">
        <v>42973</v>
      </c>
      <c r="Q128" s="296"/>
      <c r="R128" s="389" t="s">
        <v>1096</v>
      </c>
      <c r="S128" s="387" t="s">
        <v>1097</v>
      </c>
      <c r="T128" s="14" t="s">
        <v>76</v>
      </c>
      <c r="U128" s="2" t="str">
        <f>VLOOKUP('IMPO TERR'!T128,'Matriz datos'!$J$2:$K$10,2,0)</f>
        <v>AV. PDTE. EDUARDO FREI 8301, QUILICURA</v>
      </c>
      <c r="V128" s="384" t="s">
        <v>1098</v>
      </c>
      <c r="W128" s="66" t="s">
        <v>1099</v>
      </c>
      <c r="X128" s="247" t="s">
        <v>1100</v>
      </c>
      <c r="Y128" s="220" t="s">
        <v>1101</v>
      </c>
      <c r="Z128" s="219">
        <v>2605133220</v>
      </c>
      <c r="AA128" s="221">
        <v>2605135884</v>
      </c>
      <c r="AB128" s="49">
        <v>46098</v>
      </c>
      <c r="AC128" s="317">
        <v>46099</v>
      </c>
      <c r="AD128" s="22">
        <v>46099</v>
      </c>
      <c r="AE128" s="5">
        <v>4090180498</v>
      </c>
      <c r="AF128" s="23">
        <v>46099</v>
      </c>
      <c r="AG128" s="46">
        <v>46100</v>
      </c>
      <c r="AH128" s="46">
        <v>46101</v>
      </c>
      <c r="AI128" s="384">
        <v>141498</v>
      </c>
      <c r="AJ128" s="383">
        <v>25450000</v>
      </c>
    </row>
    <row r="129" spans="1:36" ht="24.75" customHeight="1">
      <c r="A129" s="187" t="s">
        <v>1102</v>
      </c>
      <c r="B129" s="187">
        <v>180500</v>
      </c>
      <c r="C129" s="230" t="s">
        <v>39</v>
      </c>
      <c r="D129" s="5" t="s">
        <v>40</v>
      </c>
      <c r="E129" s="189">
        <v>46035</v>
      </c>
      <c r="K129" s="2" t="s">
        <v>44</v>
      </c>
      <c r="L129" s="2" t="s">
        <v>61</v>
      </c>
      <c r="M129" s="2" t="s">
        <v>46</v>
      </c>
      <c r="N129" s="2" t="s">
        <v>47</v>
      </c>
      <c r="O129" s="2" t="s">
        <v>1103</v>
      </c>
      <c r="P129" s="288">
        <v>42974</v>
      </c>
      <c r="Q129" s="296"/>
      <c r="R129" s="389" t="s">
        <v>1104</v>
      </c>
      <c r="S129" s="387" t="s">
        <v>1105</v>
      </c>
      <c r="T129" s="14" t="s">
        <v>76</v>
      </c>
      <c r="U129" s="2" t="str">
        <f>VLOOKUP('IMPO TERR'!T129,'Matriz datos'!$J$2:$K$10,2,0)</f>
        <v>AV. PDTE. EDUARDO FREI 8301, QUILICURA</v>
      </c>
      <c r="V129" s="384" t="s">
        <v>1106</v>
      </c>
      <c r="W129" s="66" t="s">
        <v>1107</v>
      </c>
      <c r="X129" s="247" t="s">
        <v>1108</v>
      </c>
      <c r="Y129" s="220" t="s">
        <v>1109</v>
      </c>
      <c r="Z129" s="219">
        <v>2605133269</v>
      </c>
      <c r="AA129" s="263">
        <v>2605136621</v>
      </c>
      <c r="AB129" s="46">
        <v>46098</v>
      </c>
      <c r="AC129" s="317">
        <v>46099</v>
      </c>
      <c r="AD129" s="222" t="s">
        <v>1110</v>
      </c>
      <c r="AE129" s="43">
        <v>4090180500</v>
      </c>
      <c r="AF129" s="23">
        <v>46099</v>
      </c>
      <c r="AG129" s="49">
        <v>46101</v>
      </c>
      <c r="AH129" s="46">
        <v>46104</v>
      </c>
      <c r="AI129" s="384">
        <v>141735</v>
      </c>
      <c r="AJ129" s="383">
        <v>27040000</v>
      </c>
    </row>
    <row r="130" spans="1:36" ht="24.75" customHeight="1">
      <c r="A130" s="187" t="s">
        <v>1111</v>
      </c>
      <c r="B130" s="187">
        <v>180502</v>
      </c>
      <c r="C130" s="230" t="s">
        <v>39</v>
      </c>
      <c r="D130" s="5" t="s">
        <v>40</v>
      </c>
      <c r="E130" s="189">
        <v>46035</v>
      </c>
      <c r="K130" s="2" t="s">
        <v>44</v>
      </c>
      <c r="L130" s="2" t="s">
        <v>61</v>
      </c>
      <c r="M130" s="2" t="s">
        <v>46</v>
      </c>
      <c r="N130" s="2" t="s">
        <v>47</v>
      </c>
      <c r="O130" s="2" t="s">
        <v>1112</v>
      </c>
      <c r="P130" s="288">
        <v>42481</v>
      </c>
      <c r="Q130" s="296"/>
      <c r="R130" s="397" t="s">
        <v>1113</v>
      </c>
      <c r="S130" s="391" t="s">
        <v>1114</v>
      </c>
      <c r="T130" s="14" t="s">
        <v>76</v>
      </c>
      <c r="U130" s="2" t="str">
        <f>VLOOKUP('IMPO TERR'!T130,'Matriz datos'!$J$2:$K$10,2,0)</f>
        <v>AV. PDTE. EDUARDO FREI 8301, QUILICURA</v>
      </c>
      <c r="V130" s="384" t="s">
        <v>1115</v>
      </c>
      <c r="W130" s="66" t="s">
        <v>1116</v>
      </c>
      <c r="X130" s="247" t="s">
        <v>1117</v>
      </c>
      <c r="Y130" s="33" t="s">
        <v>1118</v>
      </c>
      <c r="Z130" s="219">
        <v>2605130464</v>
      </c>
      <c r="AA130" s="221">
        <v>2605130648</v>
      </c>
      <c r="AB130" s="46">
        <v>46097</v>
      </c>
      <c r="AC130" s="324">
        <v>46098</v>
      </c>
      <c r="AD130" s="22">
        <v>46098</v>
      </c>
      <c r="AE130" s="43">
        <v>4090180502</v>
      </c>
      <c r="AF130" s="23">
        <v>46099</v>
      </c>
      <c r="AG130" s="46">
        <v>46099</v>
      </c>
      <c r="AH130" s="49">
        <v>46099</v>
      </c>
      <c r="AI130" s="384">
        <v>141692</v>
      </c>
      <c r="AJ130" s="383">
        <v>26250000</v>
      </c>
    </row>
    <row r="131" spans="1:36" ht="22.5" customHeight="1">
      <c r="A131" s="187" t="s">
        <v>1119</v>
      </c>
      <c r="B131" s="187">
        <v>180503</v>
      </c>
      <c r="C131" s="230" t="s">
        <v>39</v>
      </c>
      <c r="D131" s="5" t="s">
        <v>40</v>
      </c>
      <c r="E131" s="189">
        <v>46094</v>
      </c>
      <c r="K131" s="2" t="s">
        <v>44</v>
      </c>
      <c r="L131" s="2" t="s">
        <v>61</v>
      </c>
      <c r="M131" s="2" t="s">
        <v>46</v>
      </c>
      <c r="N131" s="2" t="s">
        <v>47</v>
      </c>
      <c r="O131" s="2" t="s">
        <v>1120</v>
      </c>
      <c r="P131" s="288">
        <v>44816</v>
      </c>
      <c r="Q131" s="296"/>
      <c r="R131" s="74" t="s">
        <v>1121</v>
      </c>
      <c r="S131" s="248" t="s">
        <v>1122</v>
      </c>
      <c r="T131" s="14" t="s">
        <v>76</v>
      </c>
      <c r="U131" s="2" t="str">
        <f>VLOOKUP('IMPO TERR'!T131,'Matriz datos'!$J$2:$K$10,2,0)</f>
        <v>AV. PDTE. EDUARDO FREI 8301, QUILICURA</v>
      </c>
      <c r="V131" s="384" t="s">
        <v>1123</v>
      </c>
      <c r="W131" s="66" t="s">
        <v>1124</v>
      </c>
      <c r="X131" s="220" t="s">
        <v>1125</v>
      </c>
      <c r="Y131" s="5" t="s">
        <v>1126</v>
      </c>
      <c r="Z131" s="220">
        <v>2605128897</v>
      </c>
      <c r="AA131" s="263">
        <v>2605131119</v>
      </c>
      <c r="AB131" s="388">
        <v>46102</v>
      </c>
      <c r="AC131" s="390">
        <v>46103</v>
      </c>
      <c r="AD131" s="22">
        <v>46097</v>
      </c>
      <c r="AE131" s="5">
        <v>4090180503</v>
      </c>
      <c r="AF131" s="265">
        <v>46104</v>
      </c>
      <c r="AG131" s="49">
        <v>46104</v>
      </c>
      <c r="AH131" s="49">
        <v>46106</v>
      </c>
      <c r="AI131" s="384">
        <v>141773</v>
      </c>
      <c r="AJ131" s="383">
        <v>25430000</v>
      </c>
    </row>
    <row r="132" spans="1:36" ht="24.75" customHeight="1">
      <c r="A132" s="187" t="s">
        <v>1127</v>
      </c>
      <c r="B132" s="187">
        <v>180512</v>
      </c>
      <c r="C132" s="230" t="s">
        <v>39</v>
      </c>
      <c r="D132" s="2" t="s">
        <v>58</v>
      </c>
      <c r="E132" s="189">
        <v>46095</v>
      </c>
      <c r="K132" s="2" t="s">
        <v>44</v>
      </c>
      <c r="L132" s="2" t="s">
        <v>280</v>
      </c>
      <c r="M132" s="2" t="s">
        <v>46</v>
      </c>
      <c r="N132" s="2" t="s">
        <v>47</v>
      </c>
      <c r="O132" s="2" t="s">
        <v>1128</v>
      </c>
      <c r="P132" s="288" t="s">
        <v>1129</v>
      </c>
      <c r="Q132" s="296"/>
      <c r="R132" s="400" t="s">
        <v>364</v>
      </c>
      <c r="S132" s="402" t="s">
        <v>365</v>
      </c>
      <c r="T132" s="14" t="s">
        <v>441</v>
      </c>
      <c r="U132" s="2" t="str">
        <f>VLOOKUP('IMPO TERR'!T132,'Matriz datos'!$J$2:$K$10,2,0)</f>
        <v>CAMINO LO AGUIRRE SUR 537, PUDAHUEL </v>
      </c>
      <c r="V132" s="384" t="s">
        <v>367</v>
      </c>
      <c r="W132" s="66" t="s">
        <v>368</v>
      </c>
      <c r="X132" s="247" t="s">
        <v>1130</v>
      </c>
      <c r="Y132" s="255" t="s">
        <v>1131</v>
      </c>
      <c r="Z132" s="219">
        <v>2605127727</v>
      </c>
      <c r="AA132" s="221">
        <v>2605130670</v>
      </c>
      <c r="AB132" s="388">
        <v>46097</v>
      </c>
      <c r="AC132" s="325">
        <v>46098</v>
      </c>
      <c r="AD132" s="22">
        <v>46097</v>
      </c>
      <c r="AE132" s="43">
        <v>4090180512</v>
      </c>
      <c r="AF132" s="23">
        <v>46098</v>
      </c>
      <c r="AG132" s="46">
        <v>46098</v>
      </c>
      <c r="AH132" s="46">
        <v>46099</v>
      </c>
      <c r="AI132" s="384"/>
      <c r="AJ132" s="383">
        <v>40860000</v>
      </c>
    </row>
    <row r="133" spans="1:36" ht="24.75" customHeight="1">
      <c r="A133" s="187" t="s">
        <v>1132</v>
      </c>
      <c r="B133" s="187">
        <v>180522</v>
      </c>
      <c r="C133" s="230" t="s">
        <v>39</v>
      </c>
      <c r="D133" s="5" t="s">
        <v>40</v>
      </c>
      <c r="E133" s="189">
        <v>46097</v>
      </c>
      <c r="K133" s="2" t="s">
        <v>44</v>
      </c>
      <c r="L133" s="2" t="s">
        <v>45</v>
      </c>
      <c r="M133" s="2" t="s">
        <v>46</v>
      </c>
      <c r="N133" s="2" t="s">
        <v>47</v>
      </c>
      <c r="O133" s="2" t="s">
        <v>1133</v>
      </c>
      <c r="P133" s="288">
        <v>45790</v>
      </c>
      <c r="Q133" s="296" t="s">
        <v>126</v>
      </c>
      <c r="R133" s="389" t="s">
        <v>1134</v>
      </c>
      <c r="S133" s="387" t="s">
        <v>1135</v>
      </c>
      <c r="T133" s="14" t="s">
        <v>102</v>
      </c>
      <c r="U133" s="2" t="str">
        <f>VLOOKUP('IMPO TERR'!T133,'Matriz datos'!$J$2:$K$10,2,0)</f>
        <v>AV. AMERICO VESPUCIO 0350, QUILICURA</v>
      </c>
      <c r="V133" s="384" t="s">
        <v>1136</v>
      </c>
      <c r="W133" s="66" t="s">
        <v>1137</v>
      </c>
      <c r="X133" s="247" t="s">
        <v>1138</v>
      </c>
      <c r="Y133" s="220" t="s">
        <v>1139</v>
      </c>
      <c r="Z133" s="219">
        <v>2605133281</v>
      </c>
      <c r="AA133" s="263">
        <v>2605136671</v>
      </c>
      <c r="AB133" s="388">
        <v>46104</v>
      </c>
      <c r="AC133" s="74" t="s">
        <v>1140</v>
      </c>
      <c r="AD133" s="316">
        <v>46099</v>
      </c>
      <c r="AE133" s="43">
        <v>4090180522</v>
      </c>
      <c r="AF133" s="23">
        <v>46105</v>
      </c>
      <c r="AG133" s="49">
        <v>46106</v>
      </c>
      <c r="AH133" s="49">
        <v>46106</v>
      </c>
      <c r="AI133" s="384">
        <v>141824</v>
      </c>
      <c r="AJ133" s="383">
        <v>27300000</v>
      </c>
    </row>
    <row r="134" spans="1:36" ht="24.75" customHeight="1">
      <c r="A134" s="187" t="s">
        <v>1141</v>
      </c>
      <c r="B134" s="187">
        <v>180523</v>
      </c>
      <c r="C134" s="230" t="s">
        <v>39</v>
      </c>
      <c r="D134" s="5" t="s">
        <v>40</v>
      </c>
      <c r="E134" s="189">
        <v>46097</v>
      </c>
      <c r="K134" s="2" t="s">
        <v>44</v>
      </c>
      <c r="L134" s="2" t="s">
        <v>45</v>
      </c>
      <c r="M134" s="2" t="s">
        <v>46</v>
      </c>
      <c r="N134" s="2" t="s">
        <v>47</v>
      </c>
      <c r="O134" s="2" t="s">
        <v>1142</v>
      </c>
      <c r="P134" s="309">
        <v>44922</v>
      </c>
      <c r="Q134" s="296"/>
      <c r="R134" s="397" t="s">
        <v>1143</v>
      </c>
      <c r="S134" s="387" t="s">
        <v>1144</v>
      </c>
      <c r="T134" s="14" t="s">
        <v>76</v>
      </c>
      <c r="U134" s="2" t="str">
        <f>VLOOKUP('IMPO TERR'!T134,'Matriz datos'!$J$2:$K$10,2,0)</f>
        <v>AV. PDTE. EDUARDO FREI 8301, QUILICURA</v>
      </c>
      <c r="V134" s="384" t="s">
        <v>1145</v>
      </c>
      <c r="W134" s="66" t="s">
        <v>1146</v>
      </c>
      <c r="X134" s="247" t="s">
        <v>1147</v>
      </c>
      <c r="Y134" s="33" t="s">
        <v>1148</v>
      </c>
      <c r="Z134" s="219">
        <v>2605131592</v>
      </c>
      <c r="AA134" s="263">
        <v>2605133567</v>
      </c>
      <c r="AB134" s="388">
        <v>46102</v>
      </c>
      <c r="AC134" s="403">
        <v>46102</v>
      </c>
      <c r="AD134" s="22">
        <v>46098</v>
      </c>
      <c r="AE134" s="43">
        <v>4090180523</v>
      </c>
      <c r="AF134" s="23">
        <v>46104</v>
      </c>
      <c r="AG134" s="49">
        <v>46104</v>
      </c>
      <c r="AH134" s="46">
        <v>46105</v>
      </c>
      <c r="AI134" s="384">
        <v>141774</v>
      </c>
      <c r="AJ134" s="275">
        <v>24380000</v>
      </c>
    </row>
    <row r="135" spans="1:36" ht="24.75" customHeight="1">
      <c r="A135" s="187" t="s">
        <v>1149</v>
      </c>
      <c r="B135" s="187">
        <v>180525</v>
      </c>
      <c r="C135" s="230" t="s">
        <v>39</v>
      </c>
      <c r="D135" s="171" t="s">
        <v>40</v>
      </c>
      <c r="E135" s="189">
        <v>46097</v>
      </c>
      <c r="K135" s="2" t="s">
        <v>44</v>
      </c>
      <c r="L135" s="2" t="s">
        <v>45</v>
      </c>
      <c r="M135" s="2" t="s">
        <v>46</v>
      </c>
      <c r="N135" s="2" t="s">
        <v>47</v>
      </c>
      <c r="O135" s="2" t="s">
        <v>1150</v>
      </c>
      <c r="P135" s="288">
        <v>44306</v>
      </c>
      <c r="Q135" s="296"/>
      <c r="R135" s="389" t="s">
        <v>1151</v>
      </c>
      <c r="S135" s="41" t="s">
        <v>1152</v>
      </c>
      <c r="T135" s="14" t="s">
        <v>76</v>
      </c>
      <c r="U135" s="2" t="str">
        <f>VLOOKUP('IMPO TERR'!T135,'Matriz datos'!$J$2:$K$10,2,0)</f>
        <v>AV. PDTE. EDUARDO FREI 8301, QUILICURA</v>
      </c>
      <c r="V135" s="384" t="s">
        <v>1153</v>
      </c>
      <c r="W135" s="66" t="s">
        <v>1154</v>
      </c>
      <c r="X135" s="247" t="s">
        <v>1155</v>
      </c>
      <c r="Y135" s="220" t="s">
        <v>1156</v>
      </c>
      <c r="Z135" s="219">
        <v>2605133290</v>
      </c>
      <c r="AA135" s="263">
        <v>2605136693</v>
      </c>
      <c r="AB135" s="388">
        <v>46100</v>
      </c>
      <c r="AC135" s="390">
        <v>46101</v>
      </c>
      <c r="AD135" s="22">
        <v>46099</v>
      </c>
      <c r="AE135" s="43">
        <v>4090180525</v>
      </c>
      <c r="AF135" s="265">
        <v>46104</v>
      </c>
      <c r="AG135" s="46">
        <v>46104</v>
      </c>
      <c r="AH135" s="49">
        <v>46104</v>
      </c>
      <c r="AI135" s="384">
        <v>141752</v>
      </c>
      <c r="AJ135" s="275">
        <v>25950000</v>
      </c>
    </row>
    <row r="136" spans="1:36" ht="24.75" customHeight="1">
      <c r="A136" s="187" t="s">
        <v>1157</v>
      </c>
      <c r="B136" s="187">
        <v>180526</v>
      </c>
      <c r="C136" s="230" t="s">
        <v>39</v>
      </c>
      <c r="D136" s="5" t="s">
        <v>40</v>
      </c>
      <c r="E136" s="189">
        <v>46097</v>
      </c>
      <c r="G136" s="2" t="s">
        <v>1158</v>
      </c>
      <c r="K136" s="2" t="s">
        <v>60</v>
      </c>
      <c r="L136" s="2" t="s">
        <v>45</v>
      </c>
      <c r="M136" s="2" t="s">
        <v>46</v>
      </c>
      <c r="N136" s="2" t="s">
        <v>47</v>
      </c>
      <c r="O136" s="2" t="s">
        <v>1159</v>
      </c>
      <c r="P136" s="311">
        <v>44645</v>
      </c>
      <c r="Q136" s="296"/>
      <c r="R136" s="400" t="s">
        <v>1160</v>
      </c>
      <c r="S136" s="387" t="s">
        <v>1161</v>
      </c>
      <c r="T136" s="14" t="s">
        <v>76</v>
      </c>
      <c r="U136" s="2" t="str">
        <f>VLOOKUP('IMPO TERR'!T136,'Matriz datos'!$J$2:$K$10,2,0)</f>
        <v>AV. PDTE. EDUARDO FREI 8301, QUILICURA</v>
      </c>
      <c r="V136" s="384" t="s">
        <v>1162</v>
      </c>
      <c r="W136" s="66" t="s">
        <v>1163</v>
      </c>
      <c r="X136" s="247" t="s">
        <v>1164</v>
      </c>
      <c r="Y136" s="249" t="s">
        <v>1165</v>
      </c>
      <c r="Z136" s="219">
        <v>2605133769</v>
      </c>
      <c r="AA136" s="263">
        <v>2605135980</v>
      </c>
      <c r="AB136" s="388">
        <v>46101</v>
      </c>
      <c r="AC136" s="390">
        <v>46101</v>
      </c>
      <c r="AD136" s="22">
        <v>46099</v>
      </c>
      <c r="AE136" s="43">
        <v>4090180526</v>
      </c>
      <c r="AF136" s="265">
        <v>46104</v>
      </c>
      <c r="AG136" s="49">
        <v>46104</v>
      </c>
      <c r="AH136" s="49">
        <v>46104</v>
      </c>
      <c r="AI136" s="384"/>
      <c r="AJ136" s="383">
        <v>21170000</v>
      </c>
    </row>
    <row r="137" spans="1:36" ht="24.75" customHeight="1">
      <c r="A137" s="187" t="s">
        <v>1166</v>
      </c>
      <c r="B137" s="187">
        <v>180536</v>
      </c>
      <c r="C137" s="230" t="s">
        <v>39</v>
      </c>
      <c r="D137" s="5" t="s">
        <v>40</v>
      </c>
      <c r="E137" s="189">
        <v>46097</v>
      </c>
      <c r="K137" s="2" t="s">
        <v>44</v>
      </c>
      <c r="L137" s="2" t="s">
        <v>45</v>
      </c>
      <c r="M137" s="2" t="s">
        <v>46</v>
      </c>
      <c r="N137" s="2" t="s">
        <v>47</v>
      </c>
      <c r="O137" s="2" t="s">
        <v>1167</v>
      </c>
      <c r="P137" s="288">
        <v>44185</v>
      </c>
      <c r="Q137" s="296"/>
      <c r="R137" s="389" t="s">
        <v>1168</v>
      </c>
      <c r="S137" s="387" t="s">
        <v>1169</v>
      </c>
      <c r="T137" s="14" t="s">
        <v>76</v>
      </c>
      <c r="U137" s="2" t="str">
        <f>VLOOKUP('IMPO TERR'!T137,'Matriz datos'!$J$2:$K$10,2,0)</f>
        <v>AV. PDTE. EDUARDO FREI 8301, QUILICURA</v>
      </c>
      <c r="V137" s="384" t="s">
        <v>1170</v>
      </c>
      <c r="W137" s="382" t="s">
        <v>1171</v>
      </c>
      <c r="X137" s="220" t="s">
        <v>1172</v>
      </c>
      <c r="Y137" s="5" t="s">
        <v>1173</v>
      </c>
      <c r="Z137" s="220">
        <v>2605133969</v>
      </c>
      <c r="AA137" s="221">
        <v>2605135928</v>
      </c>
      <c r="AB137" s="388">
        <v>46100</v>
      </c>
      <c r="AC137" s="390">
        <v>46101</v>
      </c>
      <c r="AD137" s="22">
        <v>46099</v>
      </c>
      <c r="AE137" s="43">
        <v>4090180536</v>
      </c>
      <c r="AF137" s="265">
        <v>46104</v>
      </c>
      <c r="AG137" s="49">
        <v>46104</v>
      </c>
      <c r="AH137" s="49">
        <v>46104</v>
      </c>
      <c r="AI137" s="384">
        <v>141748</v>
      </c>
      <c r="AJ137" s="275">
        <v>25290000</v>
      </c>
    </row>
    <row r="138" spans="1:36" ht="24.75" customHeight="1">
      <c r="A138" s="187" t="s">
        <v>1174</v>
      </c>
      <c r="B138" s="187">
        <v>180541</v>
      </c>
      <c r="C138" s="230" t="s">
        <v>39</v>
      </c>
      <c r="D138" s="5" t="s">
        <v>40</v>
      </c>
      <c r="E138" s="189">
        <v>46097</v>
      </c>
      <c r="K138" s="2" t="s">
        <v>44</v>
      </c>
      <c r="L138" s="2" t="s">
        <v>280</v>
      </c>
      <c r="M138" s="2" t="s">
        <v>46</v>
      </c>
      <c r="N138" s="2" t="s">
        <v>47</v>
      </c>
      <c r="O138" s="2" t="s">
        <v>1175</v>
      </c>
      <c r="P138" s="310" t="s">
        <v>1176</v>
      </c>
      <c r="Q138" s="296" t="s">
        <v>509</v>
      </c>
      <c r="R138" s="389" t="s">
        <v>1177</v>
      </c>
      <c r="S138" s="385" t="s">
        <v>1178</v>
      </c>
      <c r="T138" s="14" t="s">
        <v>441</v>
      </c>
      <c r="U138" s="2" t="str">
        <f>VLOOKUP('IMPO TERR'!T138,'Matriz datos'!$J$2:$K$10,2,0)</f>
        <v>CAMINO LO AGUIRRE SUR 537, PUDAHUEL </v>
      </c>
      <c r="V138" s="384" t="s">
        <v>1179</v>
      </c>
      <c r="W138" s="283" t="s">
        <v>1180</v>
      </c>
      <c r="X138" s="220" t="s">
        <v>1181</v>
      </c>
      <c r="Y138" s="5" t="s">
        <v>1182</v>
      </c>
      <c r="Z138" s="220">
        <v>2605132075</v>
      </c>
      <c r="AA138" s="221">
        <v>2605133179</v>
      </c>
      <c r="AB138" s="388">
        <v>46097</v>
      </c>
      <c r="AC138" s="390">
        <v>46098</v>
      </c>
      <c r="AD138" s="22">
        <v>46098</v>
      </c>
      <c r="AE138" s="43">
        <v>4090180541</v>
      </c>
      <c r="AF138" s="23">
        <v>46098</v>
      </c>
      <c r="AG138" s="46">
        <v>46099</v>
      </c>
      <c r="AH138" s="49">
        <v>46099</v>
      </c>
      <c r="AI138" s="384">
        <v>141706</v>
      </c>
      <c r="AJ138" s="383">
        <v>47260000</v>
      </c>
    </row>
    <row r="139" spans="1:36" ht="24.75" customHeight="1">
      <c r="A139" s="187" t="s">
        <v>1183</v>
      </c>
      <c r="B139" s="187">
        <v>180544</v>
      </c>
      <c r="C139" s="230" t="s">
        <v>39</v>
      </c>
      <c r="D139" s="5" t="s">
        <v>40</v>
      </c>
      <c r="E139" s="189">
        <v>46097</v>
      </c>
      <c r="K139" s="2" t="s">
        <v>44</v>
      </c>
      <c r="L139" s="2" t="s">
        <v>61</v>
      </c>
      <c r="M139" s="2" t="s">
        <v>46</v>
      </c>
      <c r="N139" s="2" t="s">
        <v>47</v>
      </c>
      <c r="O139" s="2" t="s">
        <v>1184</v>
      </c>
      <c r="P139" s="288">
        <v>44102</v>
      </c>
      <c r="Q139" s="296"/>
      <c r="R139" s="397" t="s">
        <v>1185</v>
      </c>
      <c r="S139" s="387" t="s">
        <v>1186</v>
      </c>
      <c r="T139" s="14" t="s">
        <v>102</v>
      </c>
      <c r="U139" s="2" t="str">
        <f>VLOOKUP('IMPO TERR'!T139,'Matriz datos'!$J$2:$K$10,2,0)</f>
        <v>AV. AMERICO VESPUCIO 0350, QUILICURA</v>
      </c>
      <c r="V139" s="384" t="s">
        <v>1187</v>
      </c>
      <c r="W139" s="383">
        <v>5370040</v>
      </c>
      <c r="X139" s="247" t="s">
        <v>1188</v>
      </c>
      <c r="Y139" s="255" t="s">
        <v>1189</v>
      </c>
      <c r="Z139" s="219">
        <v>2605131931</v>
      </c>
      <c r="AA139" s="263">
        <v>2605133656</v>
      </c>
      <c r="AB139" s="388">
        <v>46100</v>
      </c>
      <c r="AC139" s="390">
        <v>46101</v>
      </c>
      <c r="AD139" s="22">
        <v>46098</v>
      </c>
      <c r="AE139" s="43">
        <v>4090180544</v>
      </c>
      <c r="AF139" s="265">
        <v>46104</v>
      </c>
      <c r="AG139" s="49">
        <v>46104</v>
      </c>
      <c r="AH139" s="49">
        <v>46106</v>
      </c>
      <c r="AI139" s="384">
        <v>141740</v>
      </c>
      <c r="AJ139" s="275">
        <v>28220000</v>
      </c>
    </row>
    <row r="140" spans="1:36" ht="24.75" customHeight="1">
      <c r="A140" s="187" t="s">
        <v>1190</v>
      </c>
      <c r="B140" s="187">
        <v>180545</v>
      </c>
      <c r="C140" s="230" t="s">
        <v>39</v>
      </c>
      <c r="D140" s="5" t="s">
        <v>40</v>
      </c>
      <c r="E140" s="189">
        <v>46097</v>
      </c>
      <c r="K140" s="2" t="s">
        <v>44</v>
      </c>
      <c r="L140" s="2" t="s">
        <v>61</v>
      </c>
      <c r="M140" s="2" t="s">
        <v>46</v>
      </c>
      <c r="N140" s="2" t="s">
        <v>47</v>
      </c>
      <c r="O140" s="2" t="s">
        <v>1191</v>
      </c>
      <c r="P140" s="309">
        <v>44097</v>
      </c>
      <c r="Q140" s="296"/>
      <c r="R140" s="74" t="s">
        <v>1192</v>
      </c>
      <c r="S140" s="404" t="s">
        <v>1193</v>
      </c>
      <c r="T140" s="14" t="s">
        <v>441</v>
      </c>
      <c r="U140" s="2" t="str">
        <f>VLOOKUP('IMPO TERR'!T140,'Matriz datos'!$J$2:$K$10,2,0)</f>
        <v>CAMINO LO AGUIRRE SUR 537, PUDAHUEL </v>
      </c>
      <c r="V140" s="384" t="s">
        <v>1194</v>
      </c>
      <c r="W140" s="282" t="s">
        <v>1195</v>
      </c>
      <c r="X140" s="247" t="s">
        <v>1196</v>
      </c>
      <c r="Y140" s="33" t="s">
        <v>1197</v>
      </c>
      <c r="Z140" s="219">
        <v>2605134191</v>
      </c>
      <c r="AA140" s="263">
        <v>2605135916</v>
      </c>
      <c r="AB140" s="388">
        <v>46100</v>
      </c>
      <c r="AC140" s="390">
        <v>46101</v>
      </c>
      <c r="AD140" s="22">
        <v>46099</v>
      </c>
      <c r="AE140" s="43">
        <v>4090180545</v>
      </c>
      <c r="AF140" s="265">
        <v>46104</v>
      </c>
      <c r="AG140" s="49">
        <v>46104</v>
      </c>
      <c r="AH140" s="49">
        <v>46104</v>
      </c>
      <c r="AI140" s="384"/>
      <c r="AJ140" s="275">
        <v>34490000</v>
      </c>
    </row>
    <row r="141" spans="1:36" ht="24.75" customHeight="1">
      <c r="A141" s="187" t="s">
        <v>1198</v>
      </c>
      <c r="B141" s="187">
        <v>180547</v>
      </c>
      <c r="C141" s="230" t="s">
        <v>39</v>
      </c>
      <c r="D141" s="5" t="s">
        <v>40</v>
      </c>
      <c r="E141" s="189">
        <v>46097</v>
      </c>
      <c r="K141" s="2" t="s">
        <v>44</v>
      </c>
      <c r="L141" s="2" t="s">
        <v>61</v>
      </c>
      <c r="M141" s="2" t="s">
        <v>46</v>
      </c>
      <c r="N141" s="2" t="s">
        <v>47</v>
      </c>
      <c r="O141" s="2" t="s">
        <v>1199</v>
      </c>
      <c r="P141" s="309">
        <v>44264</v>
      </c>
      <c r="Q141" s="296"/>
      <c r="R141" s="405" t="s">
        <v>1200</v>
      </c>
      <c r="S141" s="248" t="s">
        <v>1201</v>
      </c>
      <c r="T141" s="14" t="s">
        <v>76</v>
      </c>
      <c r="U141" s="2" t="str">
        <f>VLOOKUP('IMPO TERR'!T141,'Matriz datos'!$J$2:$K$10,2,0)</f>
        <v>AV. PDTE. EDUARDO FREI 8301, QUILICURA</v>
      </c>
      <c r="V141" s="384" t="s">
        <v>1202</v>
      </c>
      <c r="W141" s="282" t="s">
        <v>1203</v>
      </c>
      <c r="X141" s="220" t="s">
        <v>1204</v>
      </c>
      <c r="Y141" s="5" t="s">
        <v>1205</v>
      </c>
      <c r="Z141" s="220">
        <v>2605134439</v>
      </c>
      <c r="AA141" s="263">
        <v>2605136741</v>
      </c>
      <c r="AB141" s="388">
        <v>46100</v>
      </c>
      <c r="AC141" s="390">
        <v>46101</v>
      </c>
      <c r="AD141" s="22">
        <v>46099</v>
      </c>
      <c r="AE141" s="43">
        <v>4090180547</v>
      </c>
      <c r="AF141" s="265">
        <v>46104</v>
      </c>
      <c r="AG141" s="49">
        <v>46104</v>
      </c>
      <c r="AH141" s="311" t="s">
        <v>1140</v>
      </c>
      <c r="AI141" s="384">
        <v>141738</v>
      </c>
      <c r="AJ141" s="383">
        <v>25630000</v>
      </c>
    </row>
    <row r="142" spans="1:36" ht="24.75" customHeight="1">
      <c r="A142" s="187" t="s">
        <v>1206</v>
      </c>
      <c r="B142" s="187">
        <v>180549</v>
      </c>
      <c r="C142" s="230" t="s">
        <v>39</v>
      </c>
      <c r="D142" s="5" t="s">
        <v>40</v>
      </c>
      <c r="E142" s="189">
        <v>46097</v>
      </c>
      <c r="G142" s="2" t="s">
        <v>1207</v>
      </c>
      <c r="K142" s="2" t="s">
        <v>44</v>
      </c>
      <c r="L142" s="2" t="s">
        <v>61</v>
      </c>
      <c r="M142" s="2" t="s">
        <v>46</v>
      </c>
      <c r="N142" s="2" t="s">
        <v>47</v>
      </c>
      <c r="O142" s="2" t="s">
        <v>1208</v>
      </c>
      <c r="P142" s="309">
        <v>44240</v>
      </c>
      <c r="Q142" s="296"/>
      <c r="R142" s="397" t="s">
        <v>1209</v>
      </c>
      <c r="S142" s="402" t="s">
        <v>1210</v>
      </c>
      <c r="T142" s="14" t="s">
        <v>102</v>
      </c>
      <c r="U142" s="2" t="str">
        <f>VLOOKUP('IMPO TERR'!T142,'Matriz datos'!$J$2:$K$10,2,0)</f>
        <v>AV. AMERICO VESPUCIO 0350, QUILICURA</v>
      </c>
      <c r="V142" s="384" t="s">
        <v>1211</v>
      </c>
      <c r="W142" s="66">
        <v>919362</v>
      </c>
      <c r="X142" s="247" t="s">
        <v>1212</v>
      </c>
      <c r="Y142" s="33" t="s">
        <v>1213</v>
      </c>
      <c r="Z142" s="219">
        <v>2605134947</v>
      </c>
      <c r="AA142" s="263">
        <v>2605135954</v>
      </c>
      <c r="AB142" s="388">
        <v>46100</v>
      </c>
      <c r="AC142" s="324">
        <v>46101</v>
      </c>
      <c r="AD142" s="22">
        <v>46101</v>
      </c>
      <c r="AE142" s="43">
        <v>4090180549</v>
      </c>
      <c r="AF142" s="265">
        <v>46104</v>
      </c>
      <c r="AG142" s="49">
        <v>46104</v>
      </c>
      <c r="AH142" s="49">
        <v>46106</v>
      </c>
      <c r="AI142" s="384"/>
      <c r="AJ142" s="275">
        <v>28800000</v>
      </c>
    </row>
    <row r="143" spans="1:36" ht="24.75" customHeight="1">
      <c r="A143" s="187" t="s">
        <v>1214</v>
      </c>
      <c r="B143" s="187">
        <v>180550</v>
      </c>
      <c r="C143" s="230" t="s">
        <v>39</v>
      </c>
      <c r="D143" s="5" t="s">
        <v>40</v>
      </c>
      <c r="E143" s="189">
        <v>46097</v>
      </c>
      <c r="K143" s="2" t="s">
        <v>44</v>
      </c>
      <c r="L143" s="2" t="s">
        <v>61</v>
      </c>
      <c r="M143" s="2" t="s">
        <v>46</v>
      </c>
      <c r="N143" s="2" t="s">
        <v>47</v>
      </c>
      <c r="O143" s="2" t="s">
        <v>1215</v>
      </c>
      <c r="P143" s="309">
        <v>44103</v>
      </c>
      <c r="Q143" s="296"/>
      <c r="R143" s="299" t="s">
        <v>1216</v>
      </c>
      <c r="S143" s="404" t="s">
        <v>1217</v>
      </c>
      <c r="T143" s="14" t="s">
        <v>441</v>
      </c>
      <c r="U143" s="2" t="str">
        <f>VLOOKUP('IMPO TERR'!T143,'Matriz datos'!$J$2:$K$10,2,0)</f>
        <v>CAMINO LO AGUIRRE SUR 537, PUDAHUEL </v>
      </c>
      <c r="V143" s="384" t="s">
        <v>1218</v>
      </c>
      <c r="W143" s="282" t="s">
        <v>1219</v>
      </c>
      <c r="X143" s="247" t="s">
        <v>1220</v>
      </c>
      <c r="Y143" s="220" t="s">
        <v>1221</v>
      </c>
      <c r="Z143" s="219">
        <v>2605132366</v>
      </c>
      <c r="AA143" s="263">
        <v>2605133670</v>
      </c>
      <c r="AB143" s="46">
        <v>46100</v>
      </c>
      <c r="AC143" s="390">
        <v>46101</v>
      </c>
      <c r="AD143" s="398">
        <v>46098</v>
      </c>
      <c r="AE143" s="43">
        <v>4090180550</v>
      </c>
      <c r="AF143" s="265">
        <v>46104</v>
      </c>
      <c r="AG143" s="49">
        <v>46104</v>
      </c>
      <c r="AH143" s="49">
        <v>46104</v>
      </c>
      <c r="AI143" s="384">
        <v>141749</v>
      </c>
      <c r="AJ143" s="275">
        <v>34360000</v>
      </c>
    </row>
    <row r="144" spans="1:36" ht="24.75" customHeight="1">
      <c r="A144" s="187" t="s">
        <v>1222</v>
      </c>
      <c r="B144" s="187">
        <v>180551</v>
      </c>
      <c r="C144" s="230" t="s">
        <v>39</v>
      </c>
      <c r="D144" s="5" t="s">
        <v>40</v>
      </c>
      <c r="E144" s="189">
        <v>46097</v>
      </c>
      <c r="K144" s="2" t="s">
        <v>44</v>
      </c>
      <c r="L144" s="2" t="s">
        <v>61</v>
      </c>
      <c r="M144" s="2" t="s">
        <v>46</v>
      </c>
      <c r="N144" s="2" t="s">
        <v>47</v>
      </c>
      <c r="O144" s="2" t="s">
        <v>1223</v>
      </c>
      <c r="P144" s="309">
        <v>44098</v>
      </c>
      <c r="Q144" s="296" t="s">
        <v>1224</v>
      </c>
      <c r="R144" s="389" t="s">
        <v>1225</v>
      </c>
      <c r="S144" s="288" t="s">
        <v>1226</v>
      </c>
      <c r="T144" s="14" t="s">
        <v>450</v>
      </c>
      <c r="U144" s="2" t="str">
        <f>VLOOKUP('IMPO TERR'!T144,'Matriz datos'!$J$2:$K$10,2,0)</f>
        <v>CORDILLERA 451, QUILICURA</v>
      </c>
      <c r="V144" s="384" t="s">
        <v>1227</v>
      </c>
      <c r="W144" s="282">
        <v>3610883</v>
      </c>
      <c r="X144" s="247" t="s">
        <v>1228</v>
      </c>
      <c r="Y144" s="33" t="s">
        <v>1229</v>
      </c>
      <c r="Z144" s="219">
        <v>2605135130</v>
      </c>
      <c r="AA144" s="263">
        <v>2605135900</v>
      </c>
      <c r="AB144" s="388">
        <v>46100</v>
      </c>
      <c r="AC144" s="324">
        <v>46101</v>
      </c>
      <c r="AD144" s="22">
        <v>46100</v>
      </c>
      <c r="AE144" s="43">
        <v>4090180551</v>
      </c>
      <c r="AF144" s="265">
        <v>46104</v>
      </c>
      <c r="AG144" s="49">
        <v>46104</v>
      </c>
      <c r="AH144" s="46">
        <v>46105</v>
      </c>
      <c r="AI144" s="384">
        <v>141741</v>
      </c>
      <c r="AJ144" s="383">
        <v>29300000</v>
      </c>
    </row>
    <row r="145" spans="1:36" ht="24.75" customHeight="1">
      <c r="A145" s="187" t="s">
        <v>1230</v>
      </c>
      <c r="B145" s="238">
        <v>180552</v>
      </c>
      <c r="C145" s="230" t="s">
        <v>39</v>
      </c>
      <c r="D145" s="5" t="s">
        <v>40</v>
      </c>
      <c r="E145" s="189">
        <v>46097</v>
      </c>
      <c r="K145" s="2" t="s">
        <v>60</v>
      </c>
      <c r="L145" s="2" t="s">
        <v>45</v>
      </c>
      <c r="M145" s="2" t="s">
        <v>46</v>
      </c>
      <c r="N145" s="2" t="s">
        <v>47</v>
      </c>
      <c r="O145" s="2" t="s">
        <v>1231</v>
      </c>
      <c r="P145" s="288">
        <v>44740</v>
      </c>
      <c r="Q145" s="296" t="s">
        <v>1224</v>
      </c>
      <c r="R145" s="406" t="s">
        <v>1232</v>
      </c>
      <c r="S145" s="402" t="s">
        <v>1233</v>
      </c>
      <c r="T145" s="14" t="s">
        <v>66</v>
      </c>
      <c r="U145" s="2" t="str">
        <f>VLOOKUP('IMPO TERR'!T145,'Matriz datos'!$J$2:$K$10,2,0)</f>
        <v>CAMINO SANTA MARTA 2101, MAIPU</v>
      </c>
      <c r="V145" s="384" t="s">
        <v>1234</v>
      </c>
      <c r="W145" s="66" t="s">
        <v>1235</v>
      </c>
      <c r="X145" s="64" t="s">
        <v>1236</v>
      </c>
      <c r="Y145" s="220" t="s">
        <v>1237</v>
      </c>
      <c r="Z145" s="221">
        <v>2605137738</v>
      </c>
      <c r="AA145" s="369">
        <v>2605138064</v>
      </c>
      <c r="AB145" s="46">
        <v>46101</v>
      </c>
      <c r="AC145" s="390">
        <v>46102</v>
      </c>
      <c r="AD145" s="22">
        <v>46100</v>
      </c>
      <c r="AE145" s="43">
        <v>4090180552</v>
      </c>
      <c r="AF145" s="265">
        <v>46104</v>
      </c>
      <c r="AG145" s="49">
        <v>46104</v>
      </c>
      <c r="AH145" s="314">
        <v>46105</v>
      </c>
      <c r="AI145" s="384">
        <v>141762</v>
      </c>
      <c r="AJ145" s="275">
        <v>16720000</v>
      </c>
    </row>
    <row r="146" spans="1:36" ht="24.75" customHeight="1">
      <c r="A146" s="187" t="s">
        <v>1238</v>
      </c>
      <c r="B146" s="187">
        <v>180553</v>
      </c>
      <c r="C146" s="230" t="s">
        <v>39</v>
      </c>
      <c r="D146" s="5" t="s">
        <v>40</v>
      </c>
      <c r="E146" s="189">
        <v>46097</v>
      </c>
      <c r="G146" s="2" t="s">
        <v>1239</v>
      </c>
      <c r="K146" s="2" t="s">
        <v>44</v>
      </c>
      <c r="L146" s="2" t="s">
        <v>61</v>
      </c>
      <c r="M146" s="2" t="s">
        <v>46</v>
      </c>
      <c r="N146" s="2" t="s">
        <v>47</v>
      </c>
      <c r="O146" s="2" t="s">
        <v>1240</v>
      </c>
      <c r="P146" s="310">
        <v>44804</v>
      </c>
      <c r="Q146" s="296"/>
      <c r="R146" s="74" t="s">
        <v>1241</v>
      </c>
      <c r="S146" s="399" t="s">
        <v>1242</v>
      </c>
      <c r="T146" s="14" t="s">
        <v>76</v>
      </c>
      <c r="U146" s="2" t="str">
        <f>VLOOKUP('IMPO TERR'!T146,'Matriz datos'!$J$2:$K$10,2,0)</f>
        <v>AV. PDTE. EDUARDO FREI 8301, QUILICURA</v>
      </c>
      <c r="V146" s="384" t="s">
        <v>1243</v>
      </c>
      <c r="W146" s="66" t="s">
        <v>1244</v>
      </c>
      <c r="X146" s="247" t="s">
        <v>1245</v>
      </c>
      <c r="Y146" s="220" t="s">
        <v>1246</v>
      </c>
      <c r="Z146" s="219">
        <v>2605135364</v>
      </c>
      <c r="AA146" s="320">
        <v>2605135975</v>
      </c>
      <c r="AB146" s="388">
        <v>46102</v>
      </c>
      <c r="AC146" s="390">
        <v>46103</v>
      </c>
      <c r="AD146" s="22">
        <v>46100</v>
      </c>
      <c r="AE146" s="43">
        <v>4090180553</v>
      </c>
      <c r="AF146" s="265">
        <v>46104</v>
      </c>
      <c r="AG146" s="313">
        <v>46104</v>
      </c>
      <c r="AH146" s="46">
        <v>46105</v>
      </c>
      <c r="AI146" s="389">
        <v>141774</v>
      </c>
      <c r="AJ146" s="383">
        <v>27010000</v>
      </c>
    </row>
    <row r="147" spans="1:36" ht="24.75" customHeight="1">
      <c r="A147" s="187" t="s">
        <v>1247</v>
      </c>
      <c r="B147" s="187">
        <v>180561</v>
      </c>
      <c r="C147" s="32" t="s">
        <v>39</v>
      </c>
      <c r="D147" s="5" t="s">
        <v>40</v>
      </c>
      <c r="E147" s="189">
        <v>46098</v>
      </c>
      <c r="K147" s="2" t="s">
        <v>44</v>
      </c>
      <c r="L147" s="2" t="s">
        <v>45</v>
      </c>
      <c r="M147" s="2" t="s">
        <v>46</v>
      </c>
      <c r="N147" s="2" t="s">
        <v>47</v>
      </c>
      <c r="O147" s="2" t="s">
        <v>1248</v>
      </c>
      <c r="P147" s="288">
        <v>42030</v>
      </c>
      <c r="Q147" s="296"/>
      <c r="R147" s="400" t="s">
        <v>1249</v>
      </c>
      <c r="S147" s="387" t="s">
        <v>1250</v>
      </c>
      <c r="T147" s="14" t="s">
        <v>102</v>
      </c>
      <c r="U147" s="2" t="str">
        <f>VLOOKUP('IMPO TERR'!T147,'Matriz datos'!$J$2:$K$10,2,0)</f>
        <v>AV. AMERICO VESPUCIO 0350, QUILICURA</v>
      </c>
      <c r="V147" s="393" t="s">
        <v>1251</v>
      </c>
      <c r="W147" s="66" t="s">
        <v>1252</v>
      </c>
      <c r="X147" s="247" t="s">
        <v>1253</v>
      </c>
      <c r="Y147" s="33" t="s">
        <v>1254</v>
      </c>
      <c r="Z147" s="219">
        <v>2605132703</v>
      </c>
      <c r="AA147" s="221">
        <v>2605133196</v>
      </c>
      <c r="AB147" s="388">
        <v>46097</v>
      </c>
      <c r="AC147" s="390">
        <v>46098</v>
      </c>
      <c r="AD147" s="22">
        <v>46088</v>
      </c>
      <c r="AE147" s="43">
        <v>4090180561</v>
      </c>
      <c r="AF147" s="23">
        <v>46099</v>
      </c>
      <c r="AG147" s="49">
        <v>46099</v>
      </c>
      <c r="AH147" s="315">
        <v>46099</v>
      </c>
      <c r="AI147" s="384"/>
      <c r="AJ147" s="275">
        <v>24080000</v>
      </c>
    </row>
    <row r="148" spans="1:36" ht="24.75" customHeight="1">
      <c r="A148" s="187" t="s">
        <v>1255</v>
      </c>
      <c r="B148" s="187">
        <v>180565</v>
      </c>
      <c r="C148" s="230" t="s">
        <v>39</v>
      </c>
      <c r="D148" s="5" t="s">
        <v>40</v>
      </c>
      <c r="E148" s="189">
        <v>46098</v>
      </c>
      <c r="K148" s="2" t="s">
        <v>44</v>
      </c>
      <c r="L148" s="2" t="s">
        <v>45</v>
      </c>
      <c r="M148" s="2" t="s">
        <v>46</v>
      </c>
      <c r="N148" s="2" t="s">
        <v>47</v>
      </c>
      <c r="O148" s="2" t="s">
        <v>1256</v>
      </c>
      <c r="P148" s="288">
        <v>46406</v>
      </c>
      <c r="Q148" s="296"/>
      <c r="R148" s="389" t="s">
        <v>1257</v>
      </c>
      <c r="S148" s="387" t="s">
        <v>1258</v>
      </c>
      <c r="T148" s="14" t="s">
        <v>76</v>
      </c>
      <c r="U148" s="2" t="str">
        <f>VLOOKUP('IMPO TERR'!T148,'Matriz datos'!$J$2:$K$10,2,0)</f>
        <v>AV. PDTE. EDUARDO FREI 8301, QUILICURA</v>
      </c>
      <c r="V148" s="384" t="s">
        <v>1259</v>
      </c>
      <c r="W148" s="66" t="s">
        <v>1260</v>
      </c>
      <c r="X148" s="64" t="s">
        <v>1261</v>
      </c>
      <c r="Y148" s="220" t="s">
        <v>1262</v>
      </c>
      <c r="Z148" s="219">
        <v>2605135551</v>
      </c>
      <c r="AA148" s="263">
        <v>2605135993</v>
      </c>
      <c r="AB148" s="46">
        <v>46105</v>
      </c>
      <c r="AC148" s="390">
        <v>46105</v>
      </c>
      <c r="AD148" s="22">
        <v>46100</v>
      </c>
      <c r="AE148" s="43">
        <v>4090180565</v>
      </c>
      <c r="AF148" s="23">
        <v>46105</v>
      </c>
      <c r="AG148" s="49">
        <v>46106</v>
      </c>
      <c r="AH148" s="49">
        <v>46106</v>
      </c>
      <c r="AI148" s="384"/>
      <c r="AJ148" s="275">
        <v>24610000</v>
      </c>
    </row>
    <row r="149" spans="1:36" ht="24.75" customHeight="1">
      <c r="A149" s="187" t="s">
        <v>1263</v>
      </c>
      <c r="B149" s="187">
        <v>180566</v>
      </c>
      <c r="C149" s="230" t="s">
        <v>39</v>
      </c>
      <c r="D149" s="5" t="s">
        <v>40</v>
      </c>
      <c r="E149" s="189">
        <v>46098</v>
      </c>
      <c r="K149" s="2" t="s">
        <v>60</v>
      </c>
      <c r="L149" s="2" t="s">
        <v>45</v>
      </c>
      <c r="M149" s="2" t="s">
        <v>46</v>
      </c>
      <c r="N149" s="2" t="s">
        <v>47</v>
      </c>
      <c r="O149" s="2" t="s">
        <v>1264</v>
      </c>
      <c r="P149" s="288">
        <v>44956</v>
      </c>
      <c r="Q149" s="296"/>
      <c r="R149" s="389" t="s">
        <v>1265</v>
      </c>
      <c r="S149" s="387" t="s">
        <v>1266</v>
      </c>
      <c r="T149" s="14" t="s">
        <v>76</v>
      </c>
      <c r="U149" s="2" t="str">
        <f>VLOOKUP('IMPO TERR'!T149,'Matriz datos'!$J$2:$K$10,2,0)</f>
        <v>AV. PDTE. EDUARDO FREI 8301, QUILICURA</v>
      </c>
      <c r="V149" s="18" t="s">
        <v>1267</v>
      </c>
      <c r="W149" s="66" t="s">
        <v>1268</v>
      </c>
      <c r="X149" s="64" t="s">
        <v>1269</v>
      </c>
      <c r="Y149" s="220" t="s">
        <v>1270</v>
      </c>
      <c r="Z149" s="221">
        <v>2605140089</v>
      </c>
      <c r="AA149" s="263">
        <v>2605140576</v>
      </c>
      <c r="AB149" s="407">
        <v>46102</v>
      </c>
      <c r="AC149" s="408">
        <v>46102</v>
      </c>
      <c r="AD149" s="22">
        <v>46102</v>
      </c>
      <c r="AE149" s="43">
        <v>4090180566</v>
      </c>
      <c r="AF149" s="265">
        <v>46104</v>
      </c>
      <c r="AG149" s="49">
        <v>46104</v>
      </c>
      <c r="AH149" s="46">
        <v>46105</v>
      </c>
      <c r="AI149" s="384">
        <v>141778</v>
      </c>
      <c r="AJ149" s="275">
        <v>19550000</v>
      </c>
    </row>
    <row r="150" spans="1:36" ht="24.75" customHeight="1">
      <c r="A150" s="187" t="s">
        <v>1271</v>
      </c>
      <c r="B150" s="187">
        <v>180582</v>
      </c>
      <c r="C150" s="230" t="s">
        <v>935</v>
      </c>
      <c r="D150" s="171" t="s">
        <v>40</v>
      </c>
      <c r="E150" s="189">
        <v>46098</v>
      </c>
      <c r="K150" s="2" t="s">
        <v>60</v>
      </c>
      <c r="L150" s="2" t="s">
        <v>61</v>
      </c>
      <c r="M150" s="2" t="s">
        <v>46</v>
      </c>
      <c r="N150" s="2" t="s">
        <v>47</v>
      </c>
      <c r="O150" s="2" t="s">
        <v>1272</v>
      </c>
      <c r="P150" s="288">
        <v>45235</v>
      </c>
      <c r="Q150" s="296" t="s">
        <v>99</v>
      </c>
      <c r="R150" s="389" t="s">
        <v>1273</v>
      </c>
      <c r="S150" s="387" t="s">
        <v>1274</v>
      </c>
      <c r="T150" s="14" t="s">
        <v>66</v>
      </c>
      <c r="U150" s="2" t="str">
        <f>VLOOKUP('IMPO TERR'!T150,'Matriz datos'!$J$2:$K$10,2,0)</f>
        <v>CAMINO SANTA MARTA 2101, MAIPU</v>
      </c>
      <c r="V150" s="284" t="s">
        <v>1275</v>
      </c>
      <c r="W150" s="66" t="s">
        <v>1276</v>
      </c>
      <c r="X150" s="64" t="s">
        <v>1277</v>
      </c>
      <c r="Y150" s="220" t="s">
        <v>1278</v>
      </c>
      <c r="Z150" s="219">
        <v>2605135368</v>
      </c>
      <c r="AA150" s="9">
        <v>2605136049</v>
      </c>
      <c r="AB150" s="46">
        <v>46104</v>
      </c>
      <c r="AC150" s="46">
        <v>46105</v>
      </c>
      <c r="AD150" s="316">
        <v>46100</v>
      </c>
      <c r="AE150" s="43">
        <v>4090180582</v>
      </c>
      <c r="AF150" s="23">
        <v>46105</v>
      </c>
      <c r="AG150" s="49">
        <v>46105</v>
      </c>
      <c r="AH150" s="14" t="s">
        <v>58</v>
      </c>
      <c r="AI150" s="384"/>
      <c r="AJ150" s="383">
        <v>6310000</v>
      </c>
    </row>
    <row r="151" spans="1:36" ht="24.75" customHeight="1">
      <c r="A151" s="187" t="s">
        <v>1279</v>
      </c>
      <c r="B151" s="187">
        <v>180583</v>
      </c>
      <c r="C151" s="230" t="s">
        <v>39</v>
      </c>
      <c r="D151" s="5" t="s">
        <v>40</v>
      </c>
      <c r="E151" s="189">
        <v>46098</v>
      </c>
      <c r="K151" s="2" t="s">
        <v>44</v>
      </c>
      <c r="L151" s="2" t="s">
        <v>45</v>
      </c>
      <c r="M151" s="2" t="s">
        <v>46</v>
      </c>
      <c r="N151" s="2" t="s">
        <v>47</v>
      </c>
      <c r="O151" s="2" t="s">
        <v>1280</v>
      </c>
      <c r="P151" s="288">
        <v>47876</v>
      </c>
      <c r="Q151" s="296" t="s">
        <v>49</v>
      </c>
      <c r="R151" s="389" t="s">
        <v>1281</v>
      </c>
      <c r="S151" s="387" t="s">
        <v>1282</v>
      </c>
      <c r="T151" s="14" t="s">
        <v>76</v>
      </c>
      <c r="U151" s="2" t="str">
        <f>VLOOKUP('IMPO TERR'!T151,'Matriz datos'!$J$2:$K$10,2,0)</f>
        <v>AV. PDTE. EDUARDO FREI 8301, QUILICURA</v>
      </c>
      <c r="V151" s="384" t="s">
        <v>1283</v>
      </c>
      <c r="W151" s="409" t="s">
        <v>1284</v>
      </c>
      <c r="X151" s="64" t="s">
        <v>1285</v>
      </c>
      <c r="Z151" s="221">
        <v>2605136178</v>
      </c>
      <c r="AA151" s="263">
        <v>2605138591</v>
      </c>
      <c r="AB151" s="410">
        <v>46107</v>
      </c>
      <c r="AC151" s="403">
        <v>46108</v>
      </c>
      <c r="AD151" s="22">
        <v>46100</v>
      </c>
      <c r="AE151" s="43">
        <v>4090180583</v>
      </c>
      <c r="AF151" s="23">
        <v>46108</v>
      </c>
      <c r="AG151" s="49">
        <v>46108</v>
      </c>
      <c r="AH151" s="49">
        <v>46108</v>
      </c>
      <c r="AI151" s="384"/>
      <c r="AJ151" s="383">
        <v>25090000</v>
      </c>
    </row>
    <row r="152" spans="1:36" ht="24.75" customHeight="1">
      <c r="A152" s="187" t="s">
        <v>1286</v>
      </c>
      <c r="B152" s="187">
        <v>180584</v>
      </c>
      <c r="C152" s="230" t="s">
        <v>39</v>
      </c>
      <c r="D152" s="5" t="s">
        <v>40</v>
      </c>
      <c r="E152" s="189">
        <v>46098</v>
      </c>
      <c r="G152" s="2" t="s">
        <v>1239</v>
      </c>
      <c r="K152" s="2" t="s">
        <v>44</v>
      </c>
      <c r="L152" s="2" t="s">
        <v>61</v>
      </c>
      <c r="M152" s="2" t="s">
        <v>46</v>
      </c>
      <c r="N152" s="2" t="s">
        <v>47</v>
      </c>
      <c r="O152" s="2" t="s">
        <v>1287</v>
      </c>
      <c r="P152" s="288">
        <v>45045</v>
      </c>
      <c r="Q152" s="296" t="s">
        <v>777</v>
      </c>
      <c r="R152" s="389" t="s">
        <v>1288</v>
      </c>
      <c r="S152" s="387" t="s">
        <v>1289</v>
      </c>
      <c r="T152" s="14" t="s">
        <v>441</v>
      </c>
      <c r="U152" s="2" t="str">
        <f>VLOOKUP('IMPO TERR'!T152,'Matriz datos'!$J$2:$K$10,2,0)</f>
        <v>CAMINO LO AGUIRRE SUR 537, PUDAHUEL </v>
      </c>
      <c r="V152" s="411" t="s">
        <v>1290</v>
      </c>
      <c r="W152" s="384" t="s">
        <v>1291</v>
      </c>
      <c r="X152" s="64" t="s">
        <v>1292</v>
      </c>
      <c r="Y152" s="220" t="s">
        <v>1293</v>
      </c>
      <c r="Z152" s="221">
        <v>2605140641</v>
      </c>
      <c r="AA152" s="263">
        <v>2605144090</v>
      </c>
      <c r="AB152" s="388">
        <v>46103</v>
      </c>
      <c r="AC152" s="390">
        <v>46103</v>
      </c>
      <c r="AD152" s="22">
        <v>46104</v>
      </c>
      <c r="AE152" s="43">
        <v>4090180584</v>
      </c>
      <c r="AF152" s="265">
        <v>46104</v>
      </c>
      <c r="AG152" s="49">
        <v>46106</v>
      </c>
      <c r="AH152" s="49">
        <v>46107</v>
      </c>
      <c r="AI152" s="384"/>
      <c r="AJ152" s="383">
        <v>34190000</v>
      </c>
    </row>
    <row r="153" spans="1:36" ht="24.75" customHeight="1">
      <c r="A153" s="187" t="s">
        <v>1294</v>
      </c>
      <c r="B153" s="187">
        <v>180585</v>
      </c>
      <c r="C153" s="230" t="s">
        <v>39</v>
      </c>
      <c r="D153" s="5" t="s">
        <v>40</v>
      </c>
      <c r="E153" s="189">
        <v>46098</v>
      </c>
      <c r="K153" s="2" t="s">
        <v>44</v>
      </c>
      <c r="L153" s="2" t="s">
        <v>61</v>
      </c>
      <c r="M153" s="2" t="s">
        <v>46</v>
      </c>
      <c r="N153" s="2" t="s">
        <v>47</v>
      </c>
      <c r="O153" s="2" t="s">
        <v>1295</v>
      </c>
      <c r="P153" s="288">
        <v>45396</v>
      </c>
      <c r="Q153" s="296" t="s">
        <v>99</v>
      </c>
      <c r="R153" s="389" t="s">
        <v>100</v>
      </c>
      <c r="S153" s="387" t="s">
        <v>101</v>
      </c>
      <c r="T153" s="14" t="s">
        <v>441</v>
      </c>
      <c r="U153" s="2" t="str">
        <f>VLOOKUP('IMPO TERR'!T153,'Matriz datos'!$J$2:$K$10,2,0)</f>
        <v>CAMINO LO AGUIRRE SUR 537, PUDAHUEL </v>
      </c>
      <c r="V153" s="384" t="s">
        <v>1296</v>
      </c>
      <c r="W153" s="333" t="s">
        <v>1297</v>
      </c>
      <c r="X153" s="64" t="s">
        <v>1298</v>
      </c>
      <c r="Y153" s="220" t="s">
        <v>1299</v>
      </c>
      <c r="Z153" s="221">
        <v>2605136938</v>
      </c>
      <c r="AA153" s="263">
        <v>2605138368</v>
      </c>
      <c r="AB153" s="388">
        <v>46104</v>
      </c>
      <c r="AC153" s="390">
        <v>46105</v>
      </c>
      <c r="AD153" s="22">
        <v>46100</v>
      </c>
      <c r="AE153" s="43">
        <v>4090180585</v>
      </c>
      <c r="AG153" s="49">
        <v>46105</v>
      </c>
      <c r="AH153" s="49">
        <v>46107</v>
      </c>
      <c r="AI153" s="384"/>
      <c r="AJ153" s="383">
        <v>34560000</v>
      </c>
    </row>
    <row r="154" spans="1:36" ht="24.75" customHeight="1">
      <c r="A154" s="187" t="s">
        <v>1300</v>
      </c>
      <c r="B154" s="187">
        <v>180586</v>
      </c>
      <c r="C154" s="230" t="s">
        <v>39</v>
      </c>
      <c r="D154" s="5" t="s">
        <v>40</v>
      </c>
      <c r="E154" s="189">
        <v>46098</v>
      </c>
      <c r="K154" s="2" t="s">
        <v>44</v>
      </c>
      <c r="L154" s="2" t="s">
        <v>61</v>
      </c>
      <c r="M154" s="2" t="s">
        <v>46</v>
      </c>
      <c r="N154" s="2" t="s">
        <v>47</v>
      </c>
      <c r="O154" s="2" t="s">
        <v>1301</v>
      </c>
      <c r="P154" s="288">
        <v>45277</v>
      </c>
      <c r="Q154" s="296" t="s">
        <v>1224</v>
      </c>
      <c r="R154" s="389" t="s">
        <v>1302</v>
      </c>
      <c r="S154" s="387" t="s">
        <v>1303</v>
      </c>
      <c r="T154" s="14" t="s">
        <v>76</v>
      </c>
      <c r="U154" s="2" t="str">
        <f>VLOOKUP('IMPO TERR'!T154,'Matriz datos'!$J$2:$K$10,2,0)</f>
        <v>AV. PDTE. EDUARDO FREI 8301, QUILICURA</v>
      </c>
      <c r="V154" s="384" t="s">
        <v>1304</v>
      </c>
      <c r="W154" s="66" t="s">
        <v>1305</v>
      </c>
      <c r="X154" s="64" t="s">
        <v>1306</v>
      </c>
      <c r="Y154" s="220" t="s">
        <v>1307</v>
      </c>
      <c r="Z154" s="219">
        <v>2605135501</v>
      </c>
      <c r="AA154" s="341">
        <v>2605136066</v>
      </c>
      <c r="AB154" s="388">
        <v>46104</v>
      </c>
      <c r="AC154" s="390">
        <v>46104</v>
      </c>
      <c r="AD154" s="22">
        <v>46100</v>
      </c>
      <c r="AE154" s="43">
        <v>4090180586</v>
      </c>
      <c r="AF154" s="265">
        <v>46105</v>
      </c>
      <c r="AG154" s="46">
        <v>46105</v>
      </c>
      <c r="AH154" s="314">
        <v>46106</v>
      </c>
      <c r="AI154" s="384">
        <v>141787</v>
      </c>
      <c r="AJ154" s="275">
        <v>26230000</v>
      </c>
    </row>
    <row r="155" spans="1:36" ht="24.75" customHeight="1">
      <c r="A155" s="187" t="s">
        <v>1308</v>
      </c>
      <c r="B155" s="187">
        <v>180587</v>
      </c>
      <c r="C155" s="230" t="s">
        <v>39</v>
      </c>
      <c r="D155" s="5" t="s">
        <v>40</v>
      </c>
      <c r="E155" s="189">
        <v>46098</v>
      </c>
      <c r="K155" s="2" t="s">
        <v>44</v>
      </c>
      <c r="L155" s="2" t="s">
        <v>61</v>
      </c>
      <c r="M155" s="2" t="s">
        <v>46</v>
      </c>
      <c r="N155" s="2" t="s">
        <v>47</v>
      </c>
      <c r="O155" s="2" t="s">
        <v>1309</v>
      </c>
      <c r="P155" s="288">
        <v>45275</v>
      </c>
      <c r="Q155" s="296" t="s">
        <v>1224</v>
      </c>
      <c r="R155" s="389" t="s">
        <v>1310</v>
      </c>
      <c r="S155" s="387" t="s">
        <v>1311</v>
      </c>
      <c r="T155" s="14" t="s">
        <v>441</v>
      </c>
      <c r="U155" s="2" t="str">
        <f>VLOOKUP('IMPO TERR'!T155,'Matriz datos'!$J$2:$K$10,2,0)</f>
        <v>CAMINO LO AGUIRRE SUR 537, PUDAHUEL </v>
      </c>
      <c r="V155" s="384" t="s">
        <v>1312</v>
      </c>
      <c r="W155" s="66" t="s">
        <v>1313</v>
      </c>
      <c r="X155" s="64" t="s">
        <v>1314</v>
      </c>
      <c r="Y155" s="220" t="s">
        <v>1315</v>
      </c>
      <c r="Z155" s="250">
        <v>2605136336</v>
      </c>
      <c r="AA155" s="412">
        <v>2605138568</v>
      </c>
      <c r="AB155" s="319">
        <v>46104</v>
      </c>
      <c r="AC155" s="390">
        <v>46104</v>
      </c>
      <c r="AD155" s="22">
        <v>46100</v>
      </c>
      <c r="AE155" s="43">
        <v>4090180587</v>
      </c>
      <c r="AF155" s="265">
        <v>46105</v>
      </c>
      <c r="AG155" s="354">
        <v>46105</v>
      </c>
      <c r="AH155" s="18" t="s">
        <v>1316</v>
      </c>
      <c r="AI155" s="389">
        <v>141786</v>
      </c>
      <c r="AJ155" s="275">
        <v>34450000</v>
      </c>
    </row>
    <row r="156" spans="1:36" ht="24.75" customHeight="1">
      <c r="A156" s="187" t="s">
        <v>1317</v>
      </c>
      <c r="B156" s="187">
        <v>180588</v>
      </c>
      <c r="C156" s="230" t="s">
        <v>39</v>
      </c>
      <c r="D156" s="171" t="s">
        <v>40</v>
      </c>
      <c r="E156" s="189">
        <v>46098</v>
      </c>
      <c r="K156" s="2" t="s">
        <v>60</v>
      </c>
      <c r="L156" s="2" t="s">
        <v>61</v>
      </c>
      <c r="M156" s="2" t="s">
        <v>46</v>
      </c>
      <c r="N156" s="2" t="s">
        <v>47</v>
      </c>
      <c r="O156" s="2" t="s">
        <v>1318</v>
      </c>
      <c r="P156" s="288">
        <v>45050</v>
      </c>
      <c r="Q156" s="296" t="s">
        <v>777</v>
      </c>
      <c r="R156" s="389" t="s">
        <v>162</v>
      </c>
      <c r="S156" s="387" t="s">
        <v>163</v>
      </c>
      <c r="T156" s="14" t="s">
        <v>1319</v>
      </c>
      <c r="U156" s="336" t="s">
        <v>1320</v>
      </c>
      <c r="V156" s="384" t="s">
        <v>1321</v>
      </c>
      <c r="W156" s="66" t="s">
        <v>165</v>
      </c>
      <c r="X156" s="64" t="s">
        <v>1322</v>
      </c>
      <c r="Y156" s="249" t="s">
        <v>1323</v>
      </c>
      <c r="Z156" s="43">
        <v>2605140651</v>
      </c>
      <c r="AA156" s="413">
        <v>2605144113</v>
      </c>
      <c r="AB156" s="388">
        <v>46103</v>
      </c>
      <c r="AC156" s="390">
        <v>46103</v>
      </c>
      <c r="AD156" s="22">
        <v>46105</v>
      </c>
      <c r="AE156" s="43">
        <v>4090180588</v>
      </c>
      <c r="AF156" s="23">
        <v>46105</v>
      </c>
      <c r="AG156" s="45">
        <v>46106</v>
      </c>
      <c r="AH156" s="315">
        <v>46107</v>
      </c>
      <c r="AI156" s="384"/>
      <c r="AJ156" s="275">
        <v>27990000</v>
      </c>
    </row>
    <row r="157" spans="1:36" ht="24.75" customHeight="1">
      <c r="A157" s="187" t="s">
        <v>1324</v>
      </c>
      <c r="B157" s="187">
        <v>180596</v>
      </c>
      <c r="C157" s="230" t="s">
        <v>39</v>
      </c>
      <c r="D157" s="5" t="s">
        <v>40</v>
      </c>
      <c r="E157" s="189">
        <v>46099</v>
      </c>
      <c r="K157" s="2" t="s">
        <v>44</v>
      </c>
      <c r="L157" s="2" t="s">
        <v>280</v>
      </c>
      <c r="M157" s="2" t="s">
        <v>46</v>
      </c>
      <c r="N157" s="2" t="s">
        <v>47</v>
      </c>
      <c r="O157" s="2" t="s">
        <v>1325</v>
      </c>
      <c r="P157" s="288" t="s">
        <v>1326</v>
      </c>
      <c r="Q157" s="297" t="s">
        <v>291</v>
      </c>
      <c r="R157" s="397" t="s">
        <v>424</v>
      </c>
      <c r="S157" s="387" t="s">
        <v>425</v>
      </c>
      <c r="T157" s="14" t="s">
        <v>76</v>
      </c>
      <c r="U157" s="2" t="str">
        <f>VLOOKUP('IMPO TERR'!T157,'Matriz datos'!$J$2:$K$10,2,0)</f>
        <v>AV. PDTE. EDUARDO FREI 8301, QUILICURA</v>
      </c>
      <c r="V157" s="384" t="s">
        <v>426</v>
      </c>
      <c r="W157" s="66" t="s">
        <v>427</v>
      </c>
      <c r="X157" s="266" t="s">
        <v>1327</v>
      </c>
      <c r="Y157" s="234" t="s">
        <v>1328</v>
      </c>
      <c r="Z157" s="264">
        <v>2605136552</v>
      </c>
      <c r="AA157" s="414">
        <v>2605138367</v>
      </c>
      <c r="AB157" s="388">
        <v>46100</v>
      </c>
      <c r="AC157" s="390">
        <v>46101</v>
      </c>
      <c r="AD157" s="22">
        <v>46101</v>
      </c>
      <c r="AE157" s="5">
        <v>4090180596</v>
      </c>
      <c r="AF157" s="265">
        <v>46104</v>
      </c>
      <c r="AG157" s="18" t="s">
        <v>1329</v>
      </c>
      <c r="AH157" s="49">
        <v>46105</v>
      </c>
      <c r="AI157" s="384"/>
      <c r="AJ157" s="383">
        <v>48880000</v>
      </c>
    </row>
    <row r="158" spans="1:36" ht="24.75" customHeight="1">
      <c r="A158" s="187" t="s">
        <v>1330</v>
      </c>
      <c r="B158" s="187">
        <v>180600</v>
      </c>
      <c r="C158" s="230" t="s">
        <v>39</v>
      </c>
      <c r="D158" s="5" t="s">
        <v>40</v>
      </c>
      <c r="E158" s="189">
        <v>46099</v>
      </c>
      <c r="K158" s="2" t="s">
        <v>60</v>
      </c>
      <c r="L158" s="2" t="s">
        <v>45</v>
      </c>
      <c r="M158" s="2" t="s">
        <v>46</v>
      </c>
      <c r="N158" s="2" t="s">
        <v>47</v>
      </c>
      <c r="O158" s="2" t="s">
        <v>1331</v>
      </c>
      <c r="P158" s="288">
        <v>46096</v>
      </c>
      <c r="Q158" s="296" t="s">
        <v>1224</v>
      </c>
      <c r="R158" s="74" t="s">
        <v>1332</v>
      </c>
      <c r="S158" s="399" t="s">
        <v>1333</v>
      </c>
      <c r="T158" s="14" t="s">
        <v>66</v>
      </c>
      <c r="U158" s="2" t="str">
        <f>VLOOKUP('IMPO TERR'!T158,'Matriz datos'!$J$2:$K$10,2,0)</f>
        <v>CAMINO SANTA MARTA 2101, MAIPU</v>
      </c>
      <c r="V158" s="384" t="s">
        <v>1334</v>
      </c>
      <c r="W158" s="66" t="s">
        <v>1335</v>
      </c>
      <c r="X158" s="291" t="s">
        <v>1336</v>
      </c>
      <c r="Y158" s="255" t="s">
        <v>1337</v>
      </c>
      <c r="Z158" s="250">
        <v>2605136589</v>
      </c>
      <c r="AA158" s="371">
        <v>2605138451</v>
      </c>
      <c r="AB158" s="46">
        <v>46105</v>
      </c>
      <c r="AC158" s="390">
        <v>46105</v>
      </c>
      <c r="AD158" s="398">
        <v>46102</v>
      </c>
      <c r="AE158" s="43">
        <v>4090180600</v>
      </c>
      <c r="AF158" s="23">
        <v>46105</v>
      </c>
      <c r="AG158" s="49">
        <v>46105</v>
      </c>
      <c r="AH158" s="49">
        <v>46106</v>
      </c>
      <c r="AI158" s="384"/>
      <c r="AJ158" s="383">
        <v>16640000</v>
      </c>
    </row>
    <row r="159" spans="1:36" ht="24.75" customHeight="1">
      <c r="A159" s="187" t="s">
        <v>1338</v>
      </c>
      <c r="B159" s="187">
        <v>180601</v>
      </c>
      <c r="C159" s="230" t="s">
        <v>39</v>
      </c>
      <c r="D159" s="5" t="s">
        <v>40</v>
      </c>
      <c r="E159" s="189">
        <v>46099</v>
      </c>
      <c r="K159" s="2" t="s">
        <v>44</v>
      </c>
      <c r="L159" s="2" t="s">
        <v>45</v>
      </c>
      <c r="M159" s="2" t="s">
        <v>46</v>
      </c>
      <c r="N159" s="2" t="s">
        <v>47</v>
      </c>
      <c r="O159" s="2" t="s">
        <v>1339</v>
      </c>
      <c r="P159" s="288">
        <v>46937</v>
      </c>
      <c r="Q159" s="296" t="s">
        <v>49</v>
      </c>
      <c r="R159" s="400" t="s">
        <v>1340</v>
      </c>
      <c r="S159" s="387" t="s">
        <v>1341</v>
      </c>
      <c r="T159" s="14" t="s">
        <v>76</v>
      </c>
      <c r="U159" s="2" t="str">
        <f>VLOOKUP('IMPO TERR'!T159,'Matriz datos'!$J$2:$K$10,2,0)</f>
        <v>AV. PDTE. EDUARDO FREI 8301, QUILICURA</v>
      </c>
      <c r="V159" s="384" t="s">
        <v>1342</v>
      </c>
      <c r="W159" s="66" t="s">
        <v>1343</v>
      </c>
      <c r="X159" s="291" t="s">
        <v>1344</v>
      </c>
      <c r="Y159" s="220" t="s">
        <v>1345</v>
      </c>
      <c r="Z159" s="236">
        <v>2605140522</v>
      </c>
      <c r="AA159" s="415">
        <v>2605141320</v>
      </c>
      <c r="AB159" s="388">
        <v>46105</v>
      </c>
      <c r="AC159" s="390">
        <v>46106</v>
      </c>
      <c r="AD159" s="22">
        <v>46104</v>
      </c>
      <c r="AE159" s="43">
        <v>4090180601</v>
      </c>
      <c r="AF159" s="23">
        <v>46106</v>
      </c>
      <c r="AG159" s="49">
        <v>46106</v>
      </c>
      <c r="AH159" s="49">
        <v>46106</v>
      </c>
      <c r="AI159" s="384"/>
      <c r="AJ159" s="383">
        <v>23840000</v>
      </c>
    </row>
    <row r="160" spans="1:36" ht="24.75" customHeight="1">
      <c r="A160" s="187" t="s">
        <v>1346</v>
      </c>
      <c r="B160" s="187">
        <v>180603</v>
      </c>
      <c r="C160" s="230" t="s">
        <v>39</v>
      </c>
      <c r="D160" s="5" t="s">
        <v>40</v>
      </c>
      <c r="E160" s="189">
        <v>46099</v>
      </c>
      <c r="K160" s="2" t="s">
        <v>44</v>
      </c>
      <c r="L160" s="2" t="s">
        <v>45</v>
      </c>
      <c r="M160" s="2" t="s">
        <v>46</v>
      </c>
      <c r="N160" s="2" t="s">
        <v>47</v>
      </c>
      <c r="O160" s="2" t="s">
        <v>1347</v>
      </c>
      <c r="P160" s="288">
        <v>46625</v>
      </c>
      <c r="Q160" s="296" t="s">
        <v>49</v>
      </c>
      <c r="R160" s="389" t="s">
        <v>1348</v>
      </c>
      <c r="S160" s="387" t="s">
        <v>1349</v>
      </c>
      <c r="T160" s="14" t="s">
        <v>76</v>
      </c>
      <c r="U160" s="2" t="str">
        <f>VLOOKUP('IMPO TERR'!T160,'Matriz datos'!$J$2:$K$10,2,0)</f>
        <v>AV. PDTE. EDUARDO FREI 8301, QUILICURA</v>
      </c>
      <c r="V160" s="384" t="s">
        <v>1350</v>
      </c>
      <c r="W160" s="66" t="s">
        <v>1351</v>
      </c>
      <c r="X160" s="291" t="s">
        <v>1352</v>
      </c>
      <c r="Y160" s="220" t="s">
        <v>1353</v>
      </c>
      <c r="Z160" s="257">
        <v>2605140669</v>
      </c>
      <c r="AA160" s="342">
        <v>2605144158</v>
      </c>
      <c r="AB160" s="388">
        <v>46105</v>
      </c>
      <c r="AC160" s="390">
        <v>46106</v>
      </c>
      <c r="AD160" s="22">
        <v>46105</v>
      </c>
      <c r="AE160" s="43">
        <v>4090180603</v>
      </c>
      <c r="AF160" s="23">
        <v>46105</v>
      </c>
      <c r="AG160" s="314">
        <v>46106</v>
      </c>
      <c r="AH160" s="314">
        <v>46106</v>
      </c>
      <c r="AI160" s="384"/>
      <c r="AJ160" s="383">
        <v>25210000</v>
      </c>
    </row>
    <row r="161" spans="1:36" ht="24.75" customHeight="1">
      <c r="A161" s="187" t="s">
        <v>1354</v>
      </c>
      <c r="B161" s="187">
        <v>180604</v>
      </c>
      <c r="C161" s="230" t="s">
        <v>39</v>
      </c>
      <c r="D161" s="5" t="s">
        <v>40</v>
      </c>
      <c r="E161" s="189">
        <v>46099</v>
      </c>
      <c r="G161" s="2" t="s">
        <v>1355</v>
      </c>
      <c r="K161" s="2" t="s">
        <v>60</v>
      </c>
      <c r="L161" s="2" t="s">
        <v>45</v>
      </c>
      <c r="M161" s="2" t="s">
        <v>46</v>
      </c>
      <c r="N161" s="2" t="s">
        <v>47</v>
      </c>
      <c r="O161" s="2" t="s">
        <v>1356</v>
      </c>
      <c r="P161" s="288">
        <v>44999</v>
      </c>
      <c r="Q161" s="296" t="s">
        <v>901</v>
      </c>
      <c r="R161" s="397" t="s">
        <v>1357</v>
      </c>
      <c r="S161" s="387" t="s">
        <v>1358</v>
      </c>
      <c r="T161" s="14" t="s">
        <v>1359</v>
      </c>
      <c r="U161" s="281" t="s">
        <v>1360</v>
      </c>
      <c r="V161" s="384" t="s">
        <v>1361</v>
      </c>
      <c r="W161" s="327" t="s">
        <v>1362</v>
      </c>
      <c r="X161" s="343" t="s">
        <v>1363</v>
      </c>
      <c r="Y161" s="33" t="s">
        <v>1364</v>
      </c>
      <c r="Z161" s="221">
        <v>2605137664</v>
      </c>
      <c r="AA161" s="263">
        <v>2605138411</v>
      </c>
      <c r="AB161" s="388">
        <v>46102</v>
      </c>
      <c r="AC161" s="390">
        <v>46103</v>
      </c>
      <c r="AD161" s="22">
        <v>46106</v>
      </c>
      <c r="AE161" s="5">
        <v>4090180604</v>
      </c>
      <c r="AF161" s="223">
        <v>46106</v>
      </c>
      <c r="AG161" s="354">
        <v>46107</v>
      </c>
      <c r="AH161" s="18" t="s">
        <v>1316</v>
      </c>
      <c r="AI161" s="389"/>
      <c r="AJ161" s="383">
        <v>16790000</v>
      </c>
    </row>
    <row r="162" spans="1:36" ht="24.75" customHeight="1">
      <c r="A162" s="187" t="s">
        <v>1365</v>
      </c>
      <c r="B162" s="187">
        <v>180614</v>
      </c>
      <c r="C162" s="230" t="s">
        <v>39</v>
      </c>
      <c r="D162" s="5" t="s">
        <v>40</v>
      </c>
      <c r="E162" s="189">
        <v>46099</v>
      </c>
      <c r="G162" s="2" t="s">
        <v>1366</v>
      </c>
      <c r="K162" s="2" t="s">
        <v>44</v>
      </c>
      <c r="L162" s="2" t="s">
        <v>45</v>
      </c>
      <c r="M162" s="2" t="s">
        <v>46</v>
      </c>
      <c r="N162" s="2" t="s">
        <v>47</v>
      </c>
      <c r="O162" s="2" t="s">
        <v>1367</v>
      </c>
      <c r="P162" s="288">
        <v>46575</v>
      </c>
      <c r="Q162" s="297" t="s">
        <v>126</v>
      </c>
      <c r="R162" s="74" t="s">
        <v>1368</v>
      </c>
      <c r="S162" s="399" t="s">
        <v>1369</v>
      </c>
      <c r="T162" s="14" t="s">
        <v>76</v>
      </c>
      <c r="U162" s="2" t="str">
        <f>VLOOKUP('IMPO TERR'!T162,'Matriz datos'!$J$2:$K$10,2,0)</f>
        <v>AV. PDTE. EDUARDO FREI 8301, QUILICURA</v>
      </c>
      <c r="V162" s="384" t="s">
        <v>1370</v>
      </c>
      <c r="W162" s="66" t="s">
        <v>1371</v>
      </c>
      <c r="X162" s="293" t="s">
        <v>1372</v>
      </c>
      <c r="Y162" s="220" t="s">
        <v>1373</v>
      </c>
      <c r="Z162" s="221">
        <v>2605136855</v>
      </c>
      <c r="AA162" s="263">
        <v>2605138464</v>
      </c>
      <c r="AB162" s="46">
        <v>46105</v>
      </c>
      <c r="AC162" s="390">
        <v>46106</v>
      </c>
      <c r="AD162" s="398">
        <v>46102</v>
      </c>
      <c r="AE162" s="43">
        <v>4090180614</v>
      </c>
      <c r="AF162" s="23">
        <v>46105</v>
      </c>
      <c r="AG162" s="315">
        <v>46106</v>
      </c>
      <c r="AH162" s="315">
        <v>46106</v>
      </c>
      <c r="AI162" s="384"/>
      <c r="AJ162" s="383">
        <v>16790000</v>
      </c>
    </row>
    <row r="163" spans="1:36" ht="24.75" customHeight="1">
      <c r="A163" s="187" t="s">
        <v>1374</v>
      </c>
      <c r="B163" s="187">
        <v>180623</v>
      </c>
      <c r="C163" s="230" t="s">
        <v>995</v>
      </c>
      <c r="D163" s="2" t="s">
        <v>58</v>
      </c>
      <c r="E163" s="189">
        <v>46099</v>
      </c>
      <c r="K163" s="2" t="s">
        <v>44</v>
      </c>
      <c r="L163" s="2" t="s">
        <v>45</v>
      </c>
      <c r="M163" s="2" t="s">
        <v>46</v>
      </c>
      <c r="N163" s="2" t="s">
        <v>47</v>
      </c>
      <c r="O163" s="2" t="s">
        <v>1375</v>
      </c>
      <c r="P163" s="288"/>
      <c r="Q163" s="296" t="s">
        <v>901</v>
      </c>
      <c r="R163" s="400" t="s">
        <v>1376</v>
      </c>
      <c r="S163" s="385" t="s">
        <v>1377</v>
      </c>
      <c r="T163" s="14" t="s">
        <v>76</v>
      </c>
      <c r="U163" s="2" t="str">
        <f>VLOOKUP('IMPO TERR'!T163,'Matriz datos'!$J$2:$K$10,2,0)</f>
        <v>AV. PDTE. EDUARDO FREI 8301, QUILICURA</v>
      </c>
      <c r="V163" s="384" t="s">
        <v>1378</v>
      </c>
      <c r="W163" s="66" t="s">
        <v>1379</v>
      </c>
      <c r="X163" s="64" t="s">
        <v>1380</v>
      </c>
      <c r="Z163" s="221">
        <v>2605139070</v>
      </c>
      <c r="AA163" s="321">
        <v>2605140412</v>
      </c>
      <c r="AB163" s="384"/>
      <c r="AC163" s="390"/>
      <c r="AD163" s="22">
        <v>46101</v>
      </c>
      <c r="AE163" s="43">
        <v>4090180623</v>
      </c>
      <c r="AI163" s="384"/>
      <c r="AJ163" s="383">
        <v>24990000</v>
      </c>
    </row>
    <row r="164" spans="1:36" ht="24.75" customHeight="1">
      <c r="A164" s="187" t="s">
        <v>1381</v>
      </c>
      <c r="B164" s="187">
        <v>180624</v>
      </c>
      <c r="C164" s="230" t="s">
        <v>995</v>
      </c>
      <c r="D164" s="2" t="s">
        <v>58</v>
      </c>
      <c r="E164" s="189">
        <v>46099</v>
      </c>
      <c r="K164" s="2" t="s">
        <v>44</v>
      </c>
      <c r="L164" s="2" t="s">
        <v>45</v>
      </c>
      <c r="M164" s="2" t="s">
        <v>46</v>
      </c>
      <c r="N164" s="2" t="s">
        <v>47</v>
      </c>
      <c r="O164" s="2" t="s">
        <v>1382</v>
      </c>
      <c r="P164" s="288"/>
      <c r="Q164" s="296" t="s">
        <v>901</v>
      </c>
      <c r="R164" s="389" t="s">
        <v>1383</v>
      </c>
      <c r="S164" s="387" t="s">
        <v>1384</v>
      </c>
      <c r="T164" s="14" t="s">
        <v>1385</v>
      </c>
      <c r="U164" s="2" t="e">
        <f>VLOOKUP('IMPO TERR'!T164,'Matriz datos'!$J$2:$K$10,2,0)</f>
        <v>#N/A</v>
      </c>
      <c r="V164" s="384" t="s">
        <v>1386</v>
      </c>
      <c r="W164" s="66" t="s">
        <v>1387</v>
      </c>
      <c r="X164" s="292" t="s">
        <v>1388</v>
      </c>
      <c r="Z164" s="250">
        <v>2605137029</v>
      </c>
      <c r="AA164" s="416">
        <v>2605138491</v>
      </c>
      <c r="AB164" s="384"/>
      <c r="AC164" s="390"/>
      <c r="AD164" s="22">
        <v>46100</v>
      </c>
      <c r="AE164" s="43">
        <v>4090180624</v>
      </c>
      <c r="AI164" s="384"/>
      <c r="AJ164" s="383">
        <v>27130000</v>
      </c>
    </row>
    <row r="165" spans="1:36" ht="24.75" customHeight="1">
      <c r="A165" s="187" t="s">
        <v>1389</v>
      </c>
      <c r="B165" s="187">
        <v>180636</v>
      </c>
      <c r="C165" s="230" t="s">
        <v>39</v>
      </c>
      <c r="D165" s="171" t="s">
        <v>40</v>
      </c>
      <c r="E165" s="189">
        <v>46099</v>
      </c>
      <c r="K165" s="2" t="s">
        <v>44</v>
      </c>
      <c r="L165" s="2" t="s">
        <v>45</v>
      </c>
      <c r="M165" s="2" t="s">
        <v>46</v>
      </c>
      <c r="N165" s="2" t="s">
        <v>47</v>
      </c>
      <c r="O165" s="2" t="s">
        <v>1390</v>
      </c>
      <c r="P165" s="288">
        <v>44957</v>
      </c>
      <c r="Q165" s="296" t="s">
        <v>901</v>
      </c>
      <c r="R165" s="389" t="s">
        <v>1391</v>
      </c>
      <c r="S165" s="387" t="s">
        <v>1392</v>
      </c>
      <c r="T165" s="14" t="s">
        <v>102</v>
      </c>
      <c r="U165" s="2" t="s">
        <v>1393</v>
      </c>
      <c r="V165" s="384" t="s">
        <v>1394</v>
      </c>
      <c r="W165" s="66" t="s">
        <v>1395</v>
      </c>
      <c r="X165" s="291" t="s">
        <v>1396</v>
      </c>
      <c r="Y165" s="220" t="s">
        <v>1397</v>
      </c>
      <c r="Z165" s="43">
        <v>2605139970</v>
      </c>
      <c r="AA165" s="322">
        <v>2605140425</v>
      </c>
      <c r="AB165" s="388">
        <v>46102</v>
      </c>
      <c r="AC165" s="390">
        <v>46102</v>
      </c>
      <c r="AD165" s="22">
        <v>46104</v>
      </c>
      <c r="AE165" s="43">
        <v>4090180636</v>
      </c>
      <c r="AF165" s="265">
        <v>46105</v>
      </c>
      <c r="AG165" s="49">
        <v>46105</v>
      </c>
      <c r="AH165" s="49">
        <v>46105</v>
      </c>
      <c r="AI165" s="384">
        <v>141782</v>
      </c>
      <c r="AJ165" s="383">
        <v>24420000</v>
      </c>
    </row>
    <row r="166" spans="1:36" ht="24.75" customHeight="1">
      <c r="A166" s="187" t="s">
        <v>1398</v>
      </c>
      <c r="B166" s="187">
        <v>180637</v>
      </c>
      <c r="C166" s="230" t="s">
        <v>39</v>
      </c>
      <c r="D166" s="5" t="s">
        <v>40</v>
      </c>
      <c r="E166" s="189">
        <v>46099</v>
      </c>
      <c r="K166" s="2" t="s">
        <v>44</v>
      </c>
      <c r="L166" s="2" t="s">
        <v>61</v>
      </c>
      <c r="M166" s="2" t="s">
        <v>46</v>
      </c>
      <c r="N166" s="2" t="s">
        <v>47</v>
      </c>
      <c r="O166" s="2" t="s">
        <v>1399</v>
      </c>
      <c r="P166" s="288">
        <v>46532</v>
      </c>
      <c r="Q166" s="296" t="s">
        <v>777</v>
      </c>
      <c r="R166" s="389" t="s">
        <v>1400</v>
      </c>
      <c r="S166" s="387" t="s">
        <v>1401</v>
      </c>
      <c r="T166" s="14" t="s">
        <v>102</v>
      </c>
      <c r="U166" s="2" t="str">
        <f>VLOOKUP('IMPO TERR'!T166,'Matriz datos'!$J$2:$K$10,2,0)</f>
        <v>AV. AMERICO VESPUCIO 0350, QUILICURA</v>
      </c>
      <c r="V166" s="384" t="s">
        <v>1402</v>
      </c>
      <c r="W166" s="66" t="s">
        <v>1403</v>
      </c>
      <c r="X166" s="291" t="s">
        <v>1404</v>
      </c>
      <c r="Y166" s="220" t="s">
        <v>1405</v>
      </c>
      <c r="Z166" s="252">
        <v>2605137759</v>
      </c>
      <c r="AA166" s="413">
        <v>2605138521</v>
      </c>
      <c r="AB166" s="388">
        <v>46105</v>
      </c>
      <c r="AC166" s="390">
        <v>46106</v>
      </c>
      <c r="AD166" s="22">
        <v>46101</v>
      </c>
      <c r="AE166" s="43">
        <v>4090180637</v>
      </c>
      <c r="AF166" s="23">
        <v>46106</v>
      </c>
      <c r="AG166" s="49">
        <v>46106</v>
      </c>
      <c r="AH166" s="49">
        <v>46107</v>
      </c>
      <c r="AI166" s="384"/>
      <c r="AJ166" s="383">
        <v>31760000</v>
      </c>
    </row>
    <row r="167" spans="1:36" ht="24.75" customHeight="1">
      <c r="A167" s="187" t="s">
        <v>1406</v>
      </c>
      <c r="B167" s="187">
        <v>180642</v>
      </c>
      <c r="C167" s="230" t="s">
        <v>935</v>
      </c>
      <c r="D167" s="2" t="s">
        <v>58</v>
      </c>
      <c r="E167" s="189">
        <v>46099</v>
      </c>
      <c r="K167" s="2" t="s">
        <v>44</v>
      </c>
      <c r="L167" s="2" t="s">
        <v>61</v>
      </c>
      <c r="M167" s="2" t="s">
        <v>46</v>
      </c>
      <c r="N167" s="2" t="s">
        <v>47</v>
      </c>
      <c r="O167" s="2" t="s">
        <v>1407</v>
      </c>
      <c r="P167" s="288">
        <v>46842</v>
      </c>
      <c r="Q167" s="296" t="s">
        <v>63</v>
      </c>
      <c r="R167" s="389" t="s">
        <v>1408</v>
      </c>
      <c r="S167" s="387" t="s">
        <v>1409</v>
      </c>
      <c r="T167" s="14" t="s">
        <v>102</v>
      </c>
      <c r="U167" s="2" t="str">
        <f>VLOOKUP('IMPO TERR'!T167,'Matriz datos'!$J$2:$K$10,2,0)</f>
        <v>AV. AMERICO VESPUCIO 0350, QUILICURA</v>
      </c>
      <c r="V167" s="384" t="s">
        <v>1410</v>
      </c>
      <c r="W167" s="66" t="s">
        <v>1411</v>
      </c>
      <c r="X167" s="64" t="s">
        <v>1412</v>
      </c>
      <c r="Y167" s="220" t="s">
        <v>1413</v>
      </c>
      <c r="Z167" s="43">
        <v>2605138559</v>
      </c>
      <c r="AA167" s="260">
        <v>2605140466</v>
      </c>
      <c r="AB167" s="388">
        <v>46105</v>
      </c>
      <c r="AC167" s="390">
        <v>46106</v>
      </c>
      <c r="AD167" s="22">
        <v>46101</v>
      </c>
      <c r="AE167" s="43">
        <v>4090180642</v>
      </c>
      <c r="AF167" s="23">
        <v>46106</v>
      </c>
      <c r="AG167" s="49">
        <v>46106</v>
      </c>
      <c r="AH167" s="14" t="s">
        <v>58</v>
      </c>
      <c r="AI167" s="384"/>
      <c r="AJ167" s="383">
        <v>28640000</v>
      </c>
    </row>
    <row r="168" spans="1:36" ht="24.75" customHeight="1">
      <c r="A168" s="187" t="s">
        <v>1414</v>
      </c>
      <c r="B168" s="187">
        <v>180643</v>
      </c>
      <c r="C168" s="230" t="s">
        <v>39</v>
      </c>
      <c r="D168" s="5" t="s">
        <v>40</v>
      </c>
      <c r="E168" s="189">
        <v>46099</v>
      </c>
      <c r="K168" s="2" t="s">
        <v>44</v>
      </c>
      <c r="L168" s="2" t="s">
        <v>61</v>
      </c>
      <c r="M168" s="2" t="s">
        <v>46</v>
      </c>
      <c r="N168" s="2" t="s">
        <v>47</v>
      </c>
      <c r="O168" s="2" t="s">
        <v>1415</v>
      </c>
      <c r="P168" s="288">
        <v>46111</v>
      </c>
      <c r="Q168" s="296" t="s">
        <v>1224</v>
      </c>
      <c r="R168" s="397" t="s">
        <v>1416</v>
      </c>
      <c r="S168" s="387" t="s">
        <v>1417</v>
      </c>
      <c r="T168" s="14" t="s">
        <v>76</v>
      </c>
      <c r="U168" s="2" t="str">
        <f>VLOOKUP('IMPO TERR'!T168,'Matriz datos'!$J$2:$K$10,2,0)</f>
        <v>AV. PDTE. EDUARDO FREI 8301, QUILICURA</v>
      </c>
      <c r="V168" s="384" t="s">
        <v>1418</v>
      </c>
      <c r="W168" s="66" t="s">
        <v>1419</v>
      </c>
      <c r="X168" s="293" t="s">
        <v>1420</v>
      </c>
      <c r="Y168" s="220" t="s">
        <v>1421</v>
      </c>
      <c r="Z168" s="257">
        <v>2605140523</v>
      </c>
      <c r="AA168" s="263">
        <v>2605141304</v>
      </c>
      <c r="AB168" s="407">
        <v>46105</v>
      </c>
      <c r="AC168" s="390">
        <v>46105</v>
      </c>
      <c r="AD168" s="22">
        <v>46104</v>
      </c>
      <c r="AE168" s="43">
        <v>4090180643</v>
      </c>
      <c r="AF168" s="23">
        <v>46105</v>
      </c>
      <c r="AG168" s="49">
        <v>46105</v>
      </c>
      <c r="AH168" s="49">
        <v>46107</v>
      </c>
      <c r="AI168" s="384"/>
      <c r="AJ168" s="383">
        <v>25640000</v>
      </c>
    </row>
    <row r="169" spans="1:36" ht="24.75" customHeight="1">
      <c r="A169" s="187" t="s">
        <v>1422</v>
      </c>
      <c r="B169" s="187">
        <v>180645</v>
      </c>
      <c r="C169" s="230" t="s">
        <v>39</v>
      </c>
      <c r="D169" s="5" t="s">
        <v>40</v>
      </c>
      <c r="E169" s="189">
        <v>46100</v>
      </c>
      <c r="K169" s="2" t="s">
        <v>44</v>
      </c>
      <c r="L169" s="2" t="s">
        <v>45</v>
      </c>
      <c r="M169" s="2" t="s">
        <v>46</v>
      </c>
      <c r="N169" s="2" t="s">
        <v>47</v>
      </c>
      <c r="O169" s="2" t="s">
        <v>1423</v>
      </c>
      <c r="P169" s="309">
        <v>48028</v>
      </c>
      <c r="Q169" s="329" t="s">
        <v>49</v>
      </c>
      <c r="R169" s="18" t="s">
        <v>1424</v>
      </c>
      <c r="S169" s="399" t="s">
        <v>1425</v>
      </c>
      <c r="T169" s="14" t="s">
        <v>76</v>
      </c>
      <c r="U169" s="2" t="str">
        <f>VLOOKUP('IMPO TERR'!T169,'Matriz datos'!$J$2:$K$10,2,0)</f>
        <v>AV. PDTE. EDUARDO FREI 8301, QUILICURA</v>
      </c>
      <c r="V169" s="384" t="s">
        <v>1426</v>
      </c>
      <c r="W169" s="66" t="s">
        <v>1427</v>
      </c>
      <c r="X169" s="294" t="s">
        <v>1428</v>
      </c>
      <c r="Z169" s="221">
        <v>2605140246</v>
      </c>
      <c r="AA169" s="263">
        <v>2605140417</v>
      </c>
      <c r="AB169" s="46">
        <v>46107</v>
      </c>
      <c r="AC169" s="390">
        <v>46108</v>
      </c>
      <c r="AD169" s="22">
        <v>46104</v>
      </c>
      <c r="AE169" s="43">
        <v>4090180645</v>
      </c>
      <c r="AF169" s="23">
        <v>46108</v>
      </c>
      <c r="AG169" s="314">
        <v>46108</v>
      </c>
      <c r="AH169" s="314">
        <v>46108</v>
      </c>
      <c r="AI169" s="384"/>
      <c r="AJ169" s="383">
        <v>25600000</v>
      </c>
    </row>
    <row r="170" spans="1:36" ht="24.75" customHeight="1">
      <c r="A170" s="187" t="s">
        <v>1429</v>
      </c>
      <c r="B170" s="187">
        <v>180646</v>
      </c>
      <c r="C170" s="230" t="s">
        <v>39</v>
      </c>
      <c r="D170" s="5" t="s">
        <v>40</v>
      </c>
      <c r="E170" s="189">
        <v>46100</v>
      </c>
      <c r="G170" s="2" t="s">
        <v>1430</v>
      </c>
      <c r="K170" s="2" t="s">
        <v>44</v>
      </c>
      <c r="L170" s="2" t="s">
        <v>280</v>
      </c>
      <c r="M170" s="2" t="s">
        <v>46</v>
      </c>
      <c r="N170" s="2" t="s">
        <v>47</v>
      </c>
      <c r="O170" s="2" t="s">
        <v>1431</v>
      </c>
      <c r="P170" s="288" t="s">
        <v>1432</v>
      </c>
      <c r="Q170" s="296" t="s">
        <v>1433</v>
      </c>
      <c r="R170" s="400" t="s">
        <v>1434</v>
      </c>
      <c r="S170" s="387" t="s">
        <v>1435</v>
      </c>
      <c r="T170" s="14" t="s">
        <v>1436</v>
      </c>
      <c r="U170" s="2" t="s">
        <v>1437</v>
      </c>
      <c r="V170" s="384" t="s">
        <v>1438</v>
      </c>
      <c r="W170" s="66" t="s">
        <v>1439</v>
      </c>
      <c r="X170" s="292" t="s">
        <v>1440</v>
      </c>
      <c r="Y170" s="259"/>
      <c r="Z170" s="250">
        <v>2605139277</v>
      </c>
      <c r="AA170" s="263">
        <v>2605140452</v>
      </c>
      <c r="AB170" s="410">
        <v>46100</v>
      </c>
      <c r="AC170" s="390">
        <v>46101</v>
      </c>
      <c r="AD170" s="22">
        <v>46101</v>
      </c>
      <c r="AE170" s="43">
        <v>4090180646</v>
      </c>
      <c r="AF170" s="337">
        <v>46104</v>
      </c>
      <c r="AG170" s="354">
        <v>46106</v>
      </c>
      <c r="AH170" s="46">
        <v>46107</v>
      </c>
      <c r="AI170" s="389"/>
      <c r="AJ170" s="383">
        <v>35670000</v>
      </c>
    </row>
    <row r="171" spans="1:36" ht="24.75" customHeight="1">
      <c r="A171" s="187" t="s">
        <v>1441</v>
      </c>
      <c r="B171" s="187">
        <v>180647</v>
      </c>
      <c r="C171" s="230" t="s">
        <v>39</v>
      </c>
      <c r="D171" s="5" t="s">
        <v>40</v>
      </c>
      <c r="E171" s="189">
        <v>46100</v>
      </c>
      <c r="K171" s="2" t="s">
        <v>44</v>
      </c>
      <c r="L171" s="2" t="s">
        <v>280</v>
      </c>
      <c r="M171" s="2" t="s">
        <v>46</v>
      </c>
      <c r="N171" s="2" t="s">
        <v>47</v>
      </c>
      <c r="O171" s="2" t="s">
        <v>1442</v>
      </c>
      <c r="P171" s="310" t="s">
        <v>1443</v>
      </c>
      <c r="Q171" s="296" t="s">
        <v>456</v>
      </c>
      <c r="R171" s="389" t="s">
        <v>1444</v>
      </c>
      <c r="S171" s="387" t="s">
        <v>1445</v>
      </c>
      <c r="T171" s="14" t="s">
        <v>76</v>
      </c>
      <c r="U171" s="2" t="str">
        <f>VLOOKUP('IMPO TERR'!T171,'Matriz datos'!$J$2:$K$10,2,0)</f>
        <v>AV. PDTE. EDUARDO FREI 8301, QUILICURA</v>
      </c>
      <c r="V171" s="384" t="s">
        <v>1446</v>
      </c>
      <c r="W171" s="66" t="s">
        <v>1447</v>
      </c>
      <c r="X171" s="266" t="s">
        <v>1448</v>
      </c>
      <c r="Y171" s="5" t="s">
        <v>1449</v>
      </c>
      <c r="Z171" s="64">
        <v>2605141675</v>
      </c>
      <c r="AA171" s="340">
        <v>2605144120</v>
      </c>
      <c r="AB171" s="388">
        <v>46102</v>
      </c>
      <c r="AC171" s="390">
        <v>46104</v>
      </c>
      <c r="AD171" s="22">
        <v>46104</v>
      </c>
      <c r="AE171" s="43">
        <v>4090180647</v>
      </c>
      <c r="AF171" s="337">
        <v>46104</v>
      </c>
      <c r="AG171" s="338">
        <v>46106</v>
      </c>
      <c r="AH171" s="355">
        <v>46106</v>
      </c>
      <c r="AI171" s="384">
        <v>141821</v>
      </c>
      <c r="AJ171" s="383">
        <v>30430000</v>
      </c>
    </row>
    <row r="172" spans="1:36" ht="24.75" customHeight="1">
      <c r="A172" s="187" t="s">
        <v>1450</v>
      </c>
      <c r="B172" s="187">
        <v>180648</v>
      </c>
      <c r="C172" s="230" t="s">
        <v>39</v>
      </c>
      <c r="D172" s="5" t="s">
        <v>40</v>
      </c>
      <c r="E172" s="189">
        <v>46100</v>
      </c>
      <c r="K172" s="2" t="s">
        <v>60</v>
      </c>
      <c r="L172" s="2" t="s">
        <v>45</v>
      </c>
      <c r="M172" s="2" t="s">
        <v>46</v>
      </c>
      <c r="N172" s="2" t="s">
        <v>47</v>
      </c>
      <c r="O172" s="2" t="s">
        <v>1451</v>
      </c>
      <c r="P172" s="288">
        <v>46812</v>
      </c>
      <c r="Q172" s="296" t="s">
        <v>247</v>
      </c>
      <c r="R172" s="389" t="s">
        <v>1452</v>
      </c>
      <c r="S172" s="387" t="s">
        <v>1453</v>
      </c>
      <c r="T172" s="14" t="s">
        <v>76</v>
      </c>
      <c r="U172" s="2" t="str">
        <f>VLOOKUP('IMPO TERR'!T172,'Matriz datos'!$J$2:$K$10,2,0)</f>
        <v>AV. PDTE. EDUARDO FREI 8301, QUILICURA</v>
      </c>
      <c r="V172" s="384" t="s">
        <v>1454</v>
      </c>
      <c r="W172" s="66" t="s">
        <v>1455</v>
      </c>
      <c r="X172" s="266" t="s">
        <v>1456</v>
      </c>
      <c r="Y172" s="5" t="s">
        <v>1457</v>
      </c>
      <c r="Z172" s="264">
        <v>2605142196</v>
      </c>
      <c r="AA172" s="417">
        <v>2605144160</v>
      </c>
      <c r="AB172" s="388">
        <v>46105</v>
      </c>
      <c r="AC172" s="390">
        <v>46106</v>
      </c>
      <c r="AD172" s="22">
        <v>46104</v>
      </c>
      <c r="AE172" s="43">
        <v>4090180648</v>
      </c>
      <c r="AF172" s="23">
        <v>46106</v>
      </c>
      <c r="AG172" s="315">
        <v>46106</v>
      </c>
      <c r="AH172" s="49">
        <v>46107</v>
      </c>
      <c r="AI172" s="384"/>
      <c r="AJ172" s="383">
        <v>25070000</v>
      </c>
    </row>
    <row r="173" spans="1:36" ht="24.75" customHeight="1">
      <c r="A173" s="187" t="s">
        <v>1458</v>
      </c>
      <c r="B173" s="187">
        <v>180650</v>
      </c>
      <c r="C173" s="230" t="s">
        <v>39</v>
      </c>
      <c r="D173" s="5" t="s">
        <v>40</v>
      </c>
      <c r="E173" s="189">
        <v>46100</v>
      </c>
      <c r="K173" s="2" t="s">
        <v>44</v>
      </c>
      <c r="L173" s="2" t="s">
        <v>45</v>
      </c>
      <c r="M173" s="2" t="s">
        <v>46</v>
      </c>
      <c r="N173" s="2" t="s">
        <v>47</v>
      </c>
      <c r="O173" s="2" t="s">
        <v>1459</v>
      </c>
      <c r="P173" s="288">
        <v>46608</v>
      </c>
      <c r="Q173" s="296" t="s">
        <v>49</v>
      </c>
      <c r="R173" s="389" t="s">
        <v>1460</v>
      </c>
      <c r="S173" s="387" t="s">
        <v>1461</v>
      </c>
      <c r="T173" s="14" t="s">
        <v>76</v>
      </c>
      <c r="U173" s="2" t="str">
        <f>VLOOKUP('IMPO TERR'!T173,'Matriz datos'!$J$2:$K$10,2,0)</f>
        <v>AV. PDTE. EDUARDO FREI 8301, QUILICURA</v>
      </c>
      <c r="V173" s="384" t="s">
        <v>1462</v>
      </c>
      <c r="W173" s="66" t="s">
        <v>1463</v>
      </c>
      <c r="X173" s="266" t="s">
        <v>1464</v>
      </c>
      <c r="Y173" s="254" t="s">
        <v>1465</v>
      </c>
      <c r="Z173" s="266">
        <v>2605140800</v>
      </c>
      <c r="AA173" s="413">
        <v>2605144185</v>
      </c>
      <c r="AB173" s="388">
        <v>46105</v>
      </c>
      <c r="AC173" s="390">
        <v>46106</v>
      </c>
      <c r="AD173" s="22">
        <v>46105</v>
      </c>
      <c r="AE173" s="43">
        <v>4090180650</v>
      </c>
      <c r="AF173" s="23">
        <v>46105</v>
      </c>
      <c r="AG173" s="314">
        <v>46106</v>
      </c>
      <c r="AH173" s="49">
        <v>46106</v>
      </c>
      <c r="AI173" s="384"/>
      <c r="AJ173" s="383">
        <v>25290000</v>
      </c>
    </row>
    <row r="174" spans="1:36" ht="24.75" customHeight="1">
      <c r="A174" s="187" t="s">
        <v>1466</v>
      </c>
      <c r="B174" s="187">
        <v>180651</v>
      </c>
      <c r="C174" s="230" t="s">
        <v>39</v>
      </c>
      <c r="D174" s="5" t="s">
        <v>40</v>
      </c>
      <c r="E174" s="189">
        <v>46100</v>
      </c>
      <c r="K174" s="2" t="s">
        <v>44</v>
      </c>
      <c r="L174" s="2" t="s">
        <v>45</v>
      </c>
      <c r="M174" s="2" t="s">
        <v>46</v>
      </c>
      <c r="N174" s="2" t="s">
        <v>47</v>
      </c>
      <c r="O174" s="2" t="s">
        <v>1467</v>
      </c>
      <c r="P174" s="288">
        <v>46914</v>
      </c>
      <c r="Q174" s="296" t="s">
        <v>49</v>
      </c>
      <c r="R174" s="389" t="s">
        <v>1468</v>
      </c>
      <c r="S174" s="387" t="s">
        <v>1469</v>
      </c>
      <c r="T174" s="14" t="s">
        <v>76</v>
      </c>
      <c r="U174" s="2" t="str">
        <f>VLOOKUP('IMPO TERR'!T174,'Matriz datos'!$J$2:$K$10,2,0)</f>
        <v>AV. PDTE. EDUARDO FREI 8301, QUILICURA</v>
      </c>
      <c r="V174" s="384" t="s">
        <v>1470</v>
      </c>
      <c r="W174" s="66" t="s">
        <v>1471</v>
      </c>
      <c r="X174" s="266" t="s">
        <v>1472</v>
      </c>
      <c r="Y174" s="5" t="s">
        <v>1473</v>
      </c>
      <c r="Z174" s="266">
        <v>2605141566</v>
      </c>
      <c r="AA174" s="418">
        <v>2605148493</v>
      </c>
      <c r="AB174" s="388">
        <v>46105</v>
      </c>
      <c r="AC174" s="390">
        <v>46106</v>
      </c>
      <c r="AD174" s="22">
        <v>46104</v>
      </c>
      <c r="AE174" s="43">
        <v>40900180651</v>
      </c>
      <c r="AF174" s="223">
        <v>46106</v>
      </c>
      <c r="AG174" s="46">
        <v>46107</v>
      </c>
      <c r="AH174" s="317">
        <v>46107</v>
      </c>
      <c r="AI174" s="384"/>
      <c r="AJ174" s="383">
        <v>23870000</v>
      </c>
    </row>
    <row r="175" spans="1:36" ht="24.75" customHeight="1">
      <c r="A175" s="187" t="s">
        <v>1474</v>
      </c>
      <c r="B175" s="187">
        <v>180652</v>
      </c>
      <c r="C175" s="230" t="s">
        <v>39</v>
      </c>
      <c r="D175" s="5" t="s">
        <v>40</v>
      </c>
      <c r="E175" s="189">
        <v>46100</v>
      </c>
      <c r="K175" s="2" t="s">
        <v>44</v>
      </c>
      <c r="L175" s="2" t="s">
        <v>45</v>
      </c>
      <c r="M175" s="2" t="s">
        <v>46</v>
      </c>
      <c r="N175" s="2" t="s">
        <v>47</v>
      </c>
      <c r="O175" s="2" t="s">
        <v>1475</v>
      </c>
      <c r="P175" s="288">
        <v>46947</v>
      </c>
      <c r="Q175" s="296" t="s">
        <v>49</v>
      </c>
      <c r="R175" s="389" t="s">
        <v>1476</v>
      </c>
      <c r="S175" s="387" t="s">
        <v>1477</v>
      </c>
      <c r="T175" s="14" t="s">
        <v>76</v>
      </c>
      <c r="U175" s="2" t="str">
        <f>VLOOKUP('IMPO TERR'!T175,'Matriz datos'!$J$2:$K$10,2,0)</f>
        <v>AV. PDTE. EDUARDO FREI 8301, QUILICURA</v>
      </c>
      <c r="V175" s="384" t="s">
        <v>1478</v>
      </c>
      <c r="W175" s="66" t="s">
        <v>1479</v>
      </c>
      <c r="X175" s="64" t="s">
        <v>1480</v>
      </c>
      <c r="Y175" s="33" t="s">
        <v>1481</v>
      </c>
      <c r="Z175" s="221">
        <v>2605139459</v>
      </c>
      <c r="AA175" s="341">
        <v>2605140482</v>
      </c>
      <c r="AB175" s="388">
        <v>46105</v>
      </c>
      <c r="AC175" s="390">
        <v>46106</v>
      </c>
      <c r="AD175" s="22">
        <v>46102</v>
      </c>
      <c r="AE175" s="43">
        <v>4090180652</v>
      </c>
      <c r="AF175" s="223">
        <v>46106</v>
      </c>
      <c r="AG175" s="338">
        <v>46106</v>
      </c>
      <c r="AH175" s="317">
        <v>46106</v>
      </c>
      <c r="AI175" s="384"/>
      <c r="AJ175" s="383">
        <v>25270000</v>
      </c>
    </row>
    <row r="176" spans="1:36" ht="24.75" customHeight="1">
      <c r="A176" s="187" t="s">
        <v>1482</v>
      </c>
      <c r="B176" s="187">
        <v>180655</v>
      </c>
      <c r="C176" s="230" t="s">
        <v>995</v>
      </c>
      <c r="D176" s="2" t="s">
        <v>58</v>
      </c>
      <c r="E176" s="189">
        <v>46100</v>
      </c>
      <c r="K176" s="2" t="s">
        <v>44</v>
      </c>
      <c r="L176" s="2" t="s">
        <v>45</v>
      </c>
      <c r="M176" s="2" t="s">
        <v>46</v>
      </c>
      <c r="N176" s="2" t="s">
        <v>47</v>
      </c>
      <c r="O176" s="2" t="s">
        <v>1483</v>
      </c>
      <c r="P176" s="288"/>
      <c r="Q176" s="296" t="s">
        <v>126</v>
      </c>
      <c r="R176" s="389" t="s">
        <v>1484</v>
      </c>
      <c r="S176" s="391" t="s">
        <v>1485</v>
      </c>
      <c r="T176" s="14" t="s">
        <v>102</v>
      </c>
      <c r="U176" s="2" t="str">
        <f>VLOOKUP('IMPO TERR'!T176,'Matriz datos'!$J$2:$K$10,2,0)</f>
        <v>AV. AMERICO VESPUCIO 0350, QUILICURA</v>
      </c>
      <c r="V176" s="384" t="s">
        <v>1486</v>
      </c>
      <c r="W176" s="66" t="s">
        <v>1487</v>
      </c>
      <c r="X176" s="12" t="s">
        <v>1488</v>
      </c>
      <c r="Z176" s="250">
        <v>2605140813</v>
      </c>
      <c r="AA176" s="416">
        <v>2605144217</v>
      </c>
      <c r="AB176" s="384"/>
      <c r="AC176" s="390"/>
      <c r="AD176" s="2" t="s">
        <v>1489</v>
      </c>
      <c r="AE176" s="2">
        <v>4090180652</v>
      </c>
      <c r="AG176" s="173"/>
      <c r="AI176" s="384"/>
      <c r="AJ176" s="383">
        <v>25220000</v>
      </c>
    </row>
    <row r="177" spans="1:36" ht="24.75" customHeight="1">
      <c r="A177" s="187" t="s">
        <v>1490</v>
      </c>
      <c r="B177" s="187">
        <v>180656</v>
      </c>
      <c r="C177" s="230" t="s">
        <v>935</v>
      </c>
      <c r="D177" s="377" t="s">
        <v>40</v>
      </c>
      <c r="E177" s="189">
        <v>46100</v>
      </c>
      <c r="K177" s="2" t="s">
        <v>60</v>
      </c>
      <c r="L177" s="2" t="s">
        <v>45</v>
      </c>
      <c r="M177" s="2" t="s">
        <v>46</v>
      </c>
      <c r="N177" s="2" t="s">
        <v>47</v>
      </c>
      <c r="O177" s="2" t="s">
        <v>1491</v>
      </c>
      <c r="P177" s="288">
        <v>48428</v>
      </c>
      <c r="Q177" s="296" t="s">
        <v>237</v>
      </c>
      <c r="R177" s="404" t="s">
        <v>1492</v>
      </c>
      <c r="S177" s="384" t="s">
        <v>1493</v>
      </c>
      <c r="T177" s="32" t="s">
        <v>102</v>
      </c>
      <c r="U177" s="2" t="str">
        <f>VLOOKUP('IMPO TERR'!T177,'Matriz datos'!$J$2:$K$10,2,0)</f>
        <v>AV. AMERICO VESPUCIO 0350, QUILICURA</v>
      </c>
      <c r="V177" s="384" t="s">
        <v>1494</v>
      </c>
      <c r="W177" s="66" t="s">
        <v>1495</v>
      </c>
      <c r="X177" s="64" t="s">
        <v>1496</v>
      </c>
      <c r="Z177" s="43">
        <v>2605142208</v>
      </c>
      <c r="AA177" s="260">
        <v>2605144108</v>
      </c>
      <c r="AB177" s="388">
        <v>46108</v>
      </c>
      <c r="AC177" s="390">
        <v>46109</v>
      </c>
      <c r="AD177" s="22">
        <v>46104</v>
      </c>
      <c r="AE177" s="43">
        <v>4090180656</v>
      </c>
      <c r="AG177" s="49">
        <v>46109</v>
      </c>
      <c r="AH177" s="14" t="s">
        <v>58</v>
      </c>
      <c r="AI177" s="384"/>
      <c r="AJ177" s="383">
        <v>14170000</v>
      </c>
    </row>
    <row r="178" spans="1:36" ht="24.75" customHeight="1">
      <c r="A178" s="187" t="s">
        <v>1497</v>
      </c>
      <c r="B178" s="187">
        <v>180661</v>
      </c>
      <c r="C178" s="230" t="s">
        <v>935</v>
      </c>
      <c r="D178" s="5" t="s">
        <v>40</v>
      </c>
      <c r="E178" s="189">
        <v>46100</v>
      </c>
      <c r="G178" s="2" t="s">
        <v>1239</v>
      </c>
      <c r="K178" s="2" t="s">
        <v>44</v>
      </c>
      <c r="L178" s="2" t="s">
        <v>61</v>
      </c>
      <c r="M178" s="2" t="s">
        <v>46</v>
      </c>
      <c r="N178" s="2" t="s">
        <v>47</v>
      </c>
      <c r="O178" s="2" t="s">
        <v>1498</v>
      </c>
      <c r="P178" s="288">
        <v>47456</v>
      </c>
      <c r="Q178" s="329" t="s">
        <v>1224</v>
      </c>
      <c r="R178" s="18" t="s">
        <v>194</v>
      </c>
      <c r="S178" s="405" t="s">
        <v>195</v>
      </c>
      <c r="T178" s="14" t="s">
        <v>76</v>
      </c>
      <c r="U178" s="2" t="str">
        <f>VLOOKUP('IMPO TERR'!T178,'Matriz datos'!$J$2:$K$10,2,0)</f>
        <v>AV. PDTE. EDUARDO FREI 8301, QUILICURA</v>
      </c>
      <c r="V178" s="384" t="s">
        <v>1499</v>
      </c>
      <c r="X178" s="291" t="s">
        <v>1500</v>
      </c>
      <c r="Z178" s="252">
        <v>2605139953</v>
      </c>
      <c r="AA178" s="9">
        <v>2605149773</v>
      </c>
      <c r="AB178" s="388">
        <v>46106</v>
      </c>
      <c r="AC178" s="390">
        <v>46107</v>
      </c>
      <c r="AD178" s="22">
        <v>46104</v>
      </c>
      <c r="AE178" s="43">
        <v>4090180661</v>
      </c>
      <c r="AF178" s="23">
        <v>46107</v>
      </c>
      <c r="AG178" s="49">
        <v>46107</v>
      </c>
      <c r="AH178" s="14" t="s">
        <v>58</v>
      </c>
      <c r="AI178" s="384"/>
      <c r="AJ178" s="383">
        <v>25640000</v>
      </c>
    </row>
    <row r="179" spans="1:36" ht="24.75" customHeight="1">
      <c r="A179" s="187" t="s">
        <v>1501</v>
      </c>
      <c r="B179" s="187">
        <v>180663</v>
      </c>
      <c r="C179" s="230" t="s">
        <v>935</v>
      </c>
      <c r="D179" s="5" t="s">
        <v>40</v>
      </c>
      <c r="E179" s="189">
        <v>46100</v>
      </c>
      <c r="K179" s="2" t="s">
        <v>44</v>
      </c>
      <c r="L179" s="2" t="s">
        <v>61</v>
      </c>
      <c r="M179" s="2" t="s">
        <v>46</v>
      </c>
      <c r="N179" s="2" t="s">
        <v>47</v>
      </c>
      <c r="O179" s="2" t="s">
        <v>1502</v>
      </c>
      <c r="P179" s="288">
        <v>45964</v>
      </c>
      <c r="Q179" s="296" t="s">
        <v>777</v>
      </c>
      <c r="R179" s="347" t="s">
        <v>1503</v>
      </c>
      <c r="S179" s="399" t="s">
        <v>1504</v>
      </c>
      <c r="T179" s="14" t="s">
        <v>102</v>
      </c>
      <c r="U179" s="2" t="str">
        <f>VLOOKUP('IMPO TERR'!T179,'Matriz datos'!$J$2:$K$10,2,0)</f>
        <v>AV. AMERICO VESPUCIO 0350, QUILICURA</v>
      </c>
      <c r="V179" s="384" t="s">
        <v>1505</v>
      </c>
      <c r="W179" s="66" t="s">
        <v>1506</v>
      </c>
      <c r="X179" s="64" t="s">
        <v>1507</v>
      </c>
      <c r="Y179" s="33" t="s">
        <v>1508</v>
      </c>
      <c r="Z179" s="43">
        <v>2605143165</v>
      </c>
      <c r="AA179" s="15">
        <v>2605146827</v>
      </c>
      <c r="AB179" s="18" t="s">
        <v>1140</v>
      </c>
      <c r="AC179" s="390">
        <v>46105</v>
      </c>
      <c r="AD179" s="22">
        <v>46105</v>
      </c>
      <c r="AE179" s="43">
        <v>4090180663</v>
      </c>
      <c r="AF179" s="23">
        <v>46105</v>
      </c>
      <c r="AG179" s="49">
        <v>46107</v>
      </c>
      <c r="AH179" s="14" t="s">
        <v>58</v>
      </c>
      <c r="AI179" s="384"/>
      <c r="AJ179" s="383">
        <v>30210000</v>
      </c>
    </row>
    <row r="180" spans="1:36" ht="24.75" customHeight="1">
      <c r="A180" s="187" t="s">
        <v>1509</v>
      </c>
      <c r="B180" s="187">
        <v>180664</v>
      </c>
      <c r="C180" s="230" t="s">
        <v>39</v>
      </c>
      <c r="D180" s="5" t="s">
        <v>40</v>
      </c>
      <c r="E180" s="189">
        <v>46100</v>
      </c>
      <c r="K180" s="2" t="s">
        <v>44</v>
      </c>
      <c r="L180" s="2" t="s">
        <v>61</v>
      </c>
      <c r="M180" s="2" t="s">
        <v>46</v>
      </c>
      <c r="N180" s="2" t="s">
        <v>47</v>
      </c>
      <c r="O180" s="2" t="s">
        <v>1510</v>
      </c>
      <c r="P180" s="288">
        <v>46574</v>
      </c>
      <c r="Q180" s="296" t="s">
        <v>99</v>
      </c>
      <c r="R180" s="74" t="s">
        <v>1511</v>
      </c>
      <c r="S180" s="399" t="s">
        <v>1512</v>
      </c>
      <c r="T180" s="14" t="s">
        <v>76</v>
      </c>
      <c r="U180" s="2" t="str">
        <f>VLOOKUP('IMPO TERR'!T180,'Matriz datos'!$J$2:$K$10,2,0)</f>
        <v>AV. PDTE. EDUARDO FREI 8301, QUILICURA</v>
      </c>
      <c r="V180" s="384" t="s">
        <v>1513</v>
      </c>
      <c r="W180" s="66" t="s">
        <v>1514</v>
      </c>
      <c r="X180" s="293" t="s">
        <v>1515</v>
      </c>
      <c r="Y180" s="220" t="s">
        <v>1516</v>
      </c>
      <c r="Z180" s="257">
        <v>2605140822</v>
      </c>
      <c r="AA180" s="263">
        <v>2605144241</v>
      </c>
      <c r="AB180" s="46">
        <v>46105</v>
      </c>
      <c r="AC180" s="390">
        <v>46105</v>
      </c>
      <c r="AD180" s="22">
        <v>46104</v>
      </c>
      <c r="AE180" s="43">
        <v>4090180664</v>
      </c>
      <c r="AF180" s="23">
        <v>46105</v>
      </c>
      <c r="AG180" s="314">
        <v>46106</v>
      </c>
      <c r="AH180" s="49">
        <v>46106</v>
      </c>
      <c r="AI180" s="384">
        <v>141826</v>
      </c>
      <c r="AJ180" s="383">
        <v>14370000</v>
      </c>
    </row>
    <row r="181" spans="1:36" ht="24.75" customHeight="1">
      <c r="A181" s="187" t="s">
        <v>1517</v>
      </c>
      <c r="B181" s="187">
        <v>180665</v>
      </c>
      <c r="C181" s="230" t="s">
        <v>39</v>
      </c>
      <c r="D181" s="5" t="s">
        <v>40</v>
      </c>
      <c r="E181" s="189">
        <v>46100</v>
      </c>
      <c r="K181" s="2" t="s">
        <v>44</v>
      </c>
      <c r="L181" s="2" t="s">
        <v>61</v>
      </c>
      <c r="M181" s="2" t="s">
        <v>46</v>
      </c>
      <c r="N181" s="2" t="s">
        <v>47</v>
      </c>
      <c r="O181" s="2" t="s">
        <v>1518</v>
      </c>
      <c r="P181" s="288">
        <v>46574</v>
      </c>
      <c r="Q181" s="296" t="s">
        <v>99</v>
      </c>
      <c r="R181" s="400" t="s">
        <v>1511</v>
      </c>
      <c r="S181" s="387" t="s">
        <v>1512</v>
      </c>
      <c r="T181" s="14" t="s">
        <v>76</v>
      </c>
      <c r="U181" s="2" t="str">
        <f>VLOOKUP('IMPO TERR'!T181,'Matriz datos'!$J$2:$K$10,2,0)</f>
        <v>AV. PDTE. EDUARDO FREI 8301, QUILICURA</v>
      </c>
      <c r="V181" s="384" t="s">
        <v>1513</v>
      </c>
      <c r="W181" s="66" t="s">
        <v>1514</v>
      </c>
      <c r="X181" s="291" t="s">
        <v>1515</v>
      </c>
      <c r="Y181" s="33" t="s">
        <v>1519</v>
      </c>
      <c r="Z181" s="221">
        <v>2605140828</v>
      </c>
      <c r="AA181" s="263">
        <v>2605144261</v>
      </c>
      <c r="AB181" s="388">
        <v>46105</v>
      </c>
      <c r="AC181" s="390">
        <v>46105</v>
      </c>
      <c r="AD181" s="222" t="s">
        <v>1520</v>
      </c>
      <c r="AE181" s="43">
        <v>4090180665</v>
      </c>
      <c r="AF181" s="223">
        <v>46105</v>
      </c>
      <c r="AG181" s="46">
        <v>46106</v>
      </c>
      <c r="AH181" s="317">
        <v>46106</v>
      </c>
      <c r="AI181" s="384">
        <v>141826</v>
      </c>
      <c r="AJ181" s="383">
        <v>14380000</v>
      </c>
    </row>
    <row r="182" spans="1:36" ht="24.75" customHeight="1">
      <c r="A182" s="187" t="s">
        <v>1521</v>
      </c>
      <c r="B182" s="187">
        <v>180666</v>
      </c>
      <c r="C182" s="230" t="s">
        <v>995</v>
      </c>
      <c r="D182" s="2" t="s">
        <v>58</v>
      </c>
      <c r="E182" s="189">
        <v>46100</v>
      </c>
      <c r="K182" s="2" t="s">
        <v>60</v>
      </c>
      <c r="L182" s="2" t="s">
        <v>45</v>
      </c>
      <c r="M182" s="2" t="s">
        <v>46</v>
      </c>
      <c r="N182" s="2" t="s">
        <v>47</v>
      </c>
      <c r="O182" s="2" t="s">
        <v>1522</v>
      </c>
      <c r="P182" s="288"/>
      <c r="Q182" s="296" t="s">
        <v>49</v>
      </c>
      <c r="R182" s="389" t="s">
        <v>1523</v>
      </c>
      <c r="S182" s="387" t="s">
        <v>1524</v>
      </c>
      <c r="T182" s="14" t="s">
        <v>102</v>
      </c>
      <c r="U182" s="2" t="str">
        <f>VLOOKUP('IMPO TERR'!T182,'Matriz datos'!$J$2:$K$10,2,0)</f>
        <v>AV. AMERICO VESPUCIO 0350, QUILICURA</v>
      </c>
      <c r="V182" s="384" t="s">
        <v>1525</v>
      </c>
      <c r="W182" s="66" t="s">
        <v>1526</v>
      </c>
      <c r="X182" s="64" t="s">
        <v>1527</v>
      </c>
      <c r="Y182" s="259"/>
      <c r="Z182" s="221">
        <v>2605142590</v>
      </c>
      <c r="AA182" s="9">
        <v>2605144169</v>
      </c>
      <c r="AB182" s="384"/>
      <c r="AC182" s="390"/>
      <c r="AD182" s="22">
        <v>46104</v>
      </c>
      <c r="AE182" s="43">
        <v>4090180666</v>
      </c>
      <c r="AG182" s="173"/>
      <c r="AI182" s="384"/>
      <c r="AJ182" s="383">
        <v>19990000</v>
      </c>
    </row>
    <row r="183" spans="1:36" ht="24.75" customHeight="1">
      <c r="A183" s="187" t="s">
        <v>1528</v>
      </c>
      <c r="B183" s="187">
        <v>180667</v>
      </c>
      <c r="C183" s="230" t="s">
        <v>39</v>
      </c>
      <c r="D183" s="2" t="s">
        <v>58</v>
      </c>
      <c r="E183" s="189">
        <v>46100</v>
      </c>
      <c r="K183" s="2" t="s">
        <v>60</v>
      </c>
      <c r="L183" s="2" t="s">
        <v>45</v>
      </c>
      <c r="M183" s="2" t="s">
        <v>46</v>
      </c>
      <c r="N183" s="2" t="s">
        <v>47</v>
      </c>
      <c r="O183" s="2" t="s">
        <v>1529</v>
      </c>
      <c r="P183" s="288">
        <v>47342</v>
      </c>
      <c r="Q183" s="296" t="s">
        <v>1530</v>
      </c>
      <c r="R183" s="389" t="s">
        <v>1531</v>
      </c>
      <c r="S183" s="387" t="s">
        <v>1532</v>
      </c>
      <c r="T183" s="14" t="s">
        <v>76</v>
      </c>
      <c r="U183" s="2" t="str">
        <f>VLOOKUP('IMPO TERR'!T183,'Matriz datos'!$J$2:$K$10,2,0)</f>
        <v>AV. PDTE. EDUARDO FREI 8301, QUILICURA</v>
      </c>
      <c r="V183" s="384" t="s">
        <v>1533</v>
      </c>
      <c r="W183" s="66" t="s">
        <v>1534</v>
      </c>
      <c r="X183" s="264" t="s">
        <v>1535</v>
      </c>
      <c r="Y183" s="5" t="s">
        <v>1536</v>
      </c>
      <c r="Z183" s="368">
        <v>2605140063</v>
      </c>
      <c r="AA183" s="263">
        <v>2605140492</v>
      </c>
      <c r="AB183" s="388">
        <v>46106</v>
      </c>
      <c r="AC183" s="390">
        <v>46107</v>
      </c>
      <c r="AD183" s="22">
        <v>46104</v>
      </c>
      <c r="AE183" s="43">
        <v>4090180667</v>
      </c>
      <c r="AF183" s="23">
        <v>46107</v>
      </c>
      <c r="AG183" s="314">
        <v>46107</v>
      </c>
      <c r="AH183" s="45">
        <v>46108</v>
      </c>
      <c r="AI183" s="384"/>
      <c r="AJ183" s="383">
        <v>24660000</v>
      </c>
    </row>
    <row r="184" spans="1:36" ht="24.75" customHeight="1">
      <c r="A184" s="187" t="s">
        <v>1537</v>
      </c>
      <c r="B184" s="187">
        <v>180668</v>
      </c>
      <c r="C184" s="230" t="s">
        <v>39</v>
      </c>
      <c r="D184" s="5" t="s">
        <v>40</v>
      </c>
      <c r="E184" s="189">
        <v>46100</v>
      </c>
      <c r="K184" s="2" t="s">
        <v>60</v>
      </c>
      <c r="L184" s="2" t="s">
        <v>45</v>
      </c>
      <c r="M184" s="2" t="s">
        <v>46</v>
      </c>
      <c r="N184" s="2" t="s">
        <v>47</v>
      </c>
      <c r="O184" s="2" t="s">
        <v>1538</v>
      </c>
      <c r="P184" s="288">
        <v>47045</v>
      </c>
      <c r="Q184" s="296" t="s">
        <v>1539</v>
      </c>
      <c r="R184" s="389" t="s">
        <v>1540</v>
      </c>
      <c r="S184" s="387" t="s">
        <v>1541</v>
      </c>
      <c r="T184" s="14" t="s">
        <v>102</v>
      </c>
      <c r="U184" s="2" t="str">
        <f>VLOOKUP('IMPO TERR'!T184,'Matriz datos'!$J$2:$K$10,2,0)</f>
        <v>AV. AMERICO VESPUCIO 0350, QUILICURA</v>
      </c>
      <c r="V184" s="384" t="s">
        <v>1542</v>
      </c>
      <c r="W184" s="66" t="s">
        <v>1543</v>
      </c>
      <c r="X184" s="368" t="s">
        <v>1544</v>
      </c>
      <c r="Y184" s="5" t="s">
        <v>1545</v>
      </c>
      <c r="Z184" s="64">
        <v>2605143486</v>
      </c>
      <c r="AA184" s="374">
        <v>2605146743</v>
      </c>
      <c r="AB184" s="388">
        <v>46105</v>
      </c>
      <c r="AC184" s="408">
        <v>46106</v>
      </c>
      <c r="AD184" s="22">
        <v>46105</v>
      </c>
      <c r="AE184" s="43">
        <v>4090180668</v>
      </c>
      <c r="AF184" s="223">
        <v>46106</v>
      </c>
      <c r="AG184" s="46">
        <v>46107</v>
      </c>
      <c r="AH184" s="379">
        <v>46107</v>
      </c>
      <c r="AI184" s="384"/>
      <c r="AJ184" s="383">
        <v>14150000</v>
      </c>
    </row>
    <row r="185" spans="1:36" ht="24" customHeight="1">
      <c r="A185" s="187" t="s">
        <v>1546</v>
      </c>
      <c r="B185" s="187">
        <v>180669</v>
      </c>
      <c r="C185" s="230" t="s">
        <v>39</v>
      </c>
      <c r="D185" s="2" t="s">
        <v>40</v>
      </c>
      <c r="E185" s="189">
        <v>46100</v>
      </c>
      <c r="K185" s="2" t="s">
        <v>60</v>
      </c>
      <c r="L185" s="2" t="s">
        <v>45</v>
      </c>
      <c r="M185" s="2" t="s">
        <v>46</v>
      </c>
      <c r="N185" s="2" t="s">
        <v>47</v>
      </c>
      <c r="O185" s="2" t="s">
        <v>1547</v>
      </c>
      <c r="P185" s="288">
        <v>47870</v>
      </c>
      <c r="Q185" s="296" t="s">
        <v>1530</v>
      </c>
      <c r="R185" s="389" t="s">
        <v>1548</v>
      </c>
      <c r="S185" s="391" t="s">
        <v>1549</v>
      </c>
      <c r="T185" s="14" t="s">
        <v>1550</v>
      </c>
      <c r="U185" s="2" t="s">
        <v>1551</v>
      </c>
      <c r="V185" s="394" t="s">
        <v>1552</v>
      </c>
      <c r="X185" s="64" t="s">
        <v>1553</v>
      </c>
      <c r="Y185" s="260"/>
      <c r="Z185" s="257">
        <v>2605143399</v>
      </c>
      <c r="AA185" s="263">
        <v>2605144186</v>
      </c>
      <c r="AB185" s="419">
        <v>46107</v>
      </c>
      <c r="AC185" s="46">
        <v>46108</v>
      </c>
      <c r="AD185" s="316">
        <v>46105</v>
      </c>
      <c r="AE185" s="43">
        <v>4090180669</v>
      </c>
      <c r="AF185" s="23">
        <v>46108</v>
      </c>
      <c r="AG185" s="378">
        <v>46108</v>
      </c>
      <c r="AH185" s="18" t="s">
        <v>1554</v>
      </c>
      <c r="AI185" s="389"/>
      <c r="AJ185" s="383">
        <v>16940000</v>
      </c>
    </row>
    <row r="186" spans="1:36" ht="24.75" customHeight="1">
      <c r="A186" s="187" t="s">
        <v>1555</v>
      </c>
      <c r="B186" s="187">
        <v>180670</v>
      </c>
      <c r="C186" s="230" t="s">
        <v>39</v>
      </c>
      <c r="D186" s="5" t="s">
        <v>40</v>
      </c>
      <c r="E186" s="189">
        <v>46100</v>
      </c>
      <c r="K186" s="2" t="s">
        <v>44</v>
      </c>
      <c r="L186" s="2" t="s">
        <v>61</v>
      </c>
      <c r="M186" s="2" t="s">
        <v>46</v>
      </c>
      <c r="N186" s="2" t="s">
        <v>47</v>
      </c>
      <c r="O186" s="2" t="s">
        <v>1556</v>
      </c>
      <c r="P186" s="288">
        <v>46433</v>
      </c>
      <c r="Q186" s="296" t="s">
        <v>99</v>
      </c>
      <c r="R186" s="399" t="s">
        <v>1557</v>
      </c>
      <c r="S186" s="248" t="s">
        <v>1558</v>
      </c>
      <c r="T186" s="14" t="s">
        <v>76</v>
      </c>
      <c r="U186" s="9" t="str">
        <f>VLOOKUP('IMPO TERR'!T186,'Matriz datos'!$J$2:$K$10,2,0)</f>
        <v>AV. PDTE. EDUARDO FREI 8301, QUILICURA</v>
      </c>
      <c r="V186" s="384" t="s">
        <v>1559</v>
      </c>
      <c r="W186" s="335" t="s">
        <v>1560</v>
      </c>
      <c r="X186" s="292" t="s">
        <v>1561</v>
      </c>
      <c r="Y186" s="220" t="s">
        <v>1562</v>
      </c>
      <c r="Z186" s="250">
        <v>2605140192</v>
      </c>
      <c r="AA186" s="341">
        <v>2605140496</v>
      </c>
      <c r="AB186" s="46">
        <v>46105</v>
      </c>
      <c r="AC186" s="403">
        <v>46106</v>
      </c>
      <c r="AD186" s="334">
        <v>46104</v>
      </c>
      <c r="AE186" s="43">
        <v>4090180670</v>
      </c>
      <c r="AF186" s="23">
        <v>46105</v>
      </c>
      <c r="AG186" s="49">
        <v>46106</v>
      </c>
      <c r="AH186" s="315">
        <v>46107</v>
      </c>
      <c r="AI186" s="384"/>
      <c r="AJ186" s="383">
        <v>27090000</v>
      </c>
    </row>
    <row r="187" spans="1:36" ht="24.75" customHeight="1">
      <c r="A187" s="187" t="s">
        <v>1563</v>
      </c>
      <c r="B187" s="187">
        <v>180671</v>
      </c>
      <c r="C187" s="230" t="s">
        <v>39</v>
      </c>
      <c r="D187" s="2" t="s">
        <v>58</v>
      </c>
      <c r="E187" s="189">
        <v>46100</v>
      </c>
      <c r="K187" s="2" t="s">
        <v>44</v>
      </c>
      <c r="L187" s="2" t="s">
        <v>61</v>
      </c>
      <c r="M187" s="2" t="s">
        <v>46</v>
      </c>
      <c r="N187" s="2" t="s">
        <v>47</v>
      </c>
      <c r="O187" s="2" t="s">
        <v>1564</v>
      </c>
      <c r="P187" s="288">
        <v>46859</v>
      </c>
      <c r="Q187" s="296" t="s">
        <v>1565</v>
      </c>
      <c r="R187" s="389" t="s">
        <v>1566</v>
      </c>
      <c r="S187" s="402" t="s">
        <v>1567</v>
      </c>
      <c r="T187" s="14" t="s">
        <v>1568</v>
      </c>
      <c r="U187" s="2" t="e">
        <f>VLOOKUP('IMPO TERR'!T187,'Matriz datos'!$J$2:$K$10,2,0)</f>
        <v>#N/A</v>
      </c>
      <c r="V187" s="392" t="s">
        <v>1569</v>
      </c>
      <c r="W187" s="66" t="s">
        <v>1570</v>
      </c>
      <c r="X187" s="293" t="s">
        <v>1571</v>
      </c>
      <c r="Y187" s="33" t="s">
        <v>1572</v>
      </c>
      <c r="Z187" s="250">
        <v>2605143665</v>
      </c>
      <c r="AA187" s="420">
        <v>2605146714</v>
      </c>
      <c r="AB187" s="390">
        <v>46105</v>
      </c>
      <c r="AC187" s="421">
        <v>46106</v>
      </c>
      <c r="AD187" s="398">
        <v>46105</v>
      </c>
      <c r="AE187" s="64">
        <v>4090180671</v>
      </c>
      <c r="AF187" s="23">
        <v>46106</v>
      </c>
      <c r="AG187" s="49">
        <v>46106</v>
      </c>
      <c r="AH187" s="49">
        <v>46108</v>
      </c>
      <c r="AI187" s="384"/>
      <c r="AJ187" s="383">
        <v>31310000</v>
      </c>
    </row>
    <row r="188" spans="1:36" ht="24.75" customHeight="1">
      <c r="A188" s="187" t="s">
        <v>1573</v>
      </c>
      <c r="B188" s="187">
        <v>180672</v>
      </c>
      <c r="C188" s="230" t="s">
        <v>995</v>
      </c>
      <c r="D188" s="2" t="s">
        <v>58</v>
      </c>
      <c r="E188" s="189">
        <v>46100</v>
      </c>
      <c r="K188" s="2" t="s">
        <v>44</v>
      </c>
      <c r="L188" s="2" t="s">
        <v>61</v>
      </c>
      <c r="M188" s="2" t="s">
        <v>46</v>
      </c>
      <c r="N188" s="2" t="s">
        <v>47</v>
      </c>
      <c r="O188" s="2" t="s">
        <v>1574</v>
      </c>
      <c r="P188" s="288"/>
      <c r="Q188" s="296" t="s">
        <v>1565</v>
      </c>
      <c r="R188" s="389" t="s">
        <v>1575</v>
      </c>
      <c r="S188" s="387" t="s">
        <v>1576</v>
      </c>
      <c r="T188" s="14" t="s">
        <v>76</v>
      </c>
      <c r="U188" s="2" t="str">
        <f>VLOOKUP('IMPO TERR'!T188,'Matriz datos'!$J$2:$K$10,2,0)</f>
        <v>AV. PDTE. EDUARDO FREI 8301, QUILICURA</v>
      </c>
      <c r="V188" s="384" t="s">
        <v>1577</v>
      </c>
      <c r="W188" s="344" t="s">
        <v>1578</v>
      </c>
      <c r="X188" s="43" t="s">
        <v>1579</v>
      </c>
      <c r="Z188" s="43">
        <v>2605147271</v>
      </c>
      <c r="AA188" s="395">
        <v>2605150344</v>
      </c>
      <c r="AB188" s="389"/>
      <c r="AC188" s="390"/>
      <c r="AD188" s="353">
        <v>46107</v>
      </c>
      <c r="AE188" s="43">
        <v>4090180672</v>
      </c>
      <c r="AI188" s="384"/>
      <c r="AJ188" s="383">
        <v>25480000</v>
      </c>
    </row>
    <row r="189" spans="1:36" ht="24.75" customHeight="1">
      <c r="A189" s="187" t="s">
        <v>1580</v>
      </c>
      <c r="B189" s="238">
        <v>180673</v>
      </c>
      <c r="C189" s="230" t="s">
        <v>39</v>
      </c>
      <c r="D189" s="5" t="s">
        <v>40</v>
      </c>
      <c r="E189" s="189">
        <v>46100</v>
      </c>
      <c r="K189" s="2" t="s">
        <v>44</v>
      </c>
      <c r="L189" s="2" t="s">
        <v>61</v>
      </c>
      <c r="M189" s="2" t="s">
        <v>46</v>
      </c>
      <c r="N189" s="2" t="s">
        <v>47</v>
      </c>
      <c r="O189" s="2" t="s">
        <v>1581</v>
      </c>
      <c r="P189" s="288">
        <v>46572</v>
      </c>
      <c r="Q189" s="296" t="s">
        <v>777</v>
      </c>
      <c r="R189" s="389" t="s">
        <v>1582</v>
      </c>
      <c r="S189" s="387" t="s">
        <v>1583</v>
      </c>
      <c r="T189" s="14" t="s">
        <v>441</v>
      </c>
      <c r="U189" s="2" t="str">
        <f>VLOOKUP('IMPO TERR'!T189,'Matriz datos'!$J$2:$K$10,2,0)</f>
        <v>CAMINO LO AGUIRRE SUR 537, PUDAHUEL </v>
      </c>
      <c r="V189" s="387" t="s">
        <v>1584</v>
      </c>
      <c r="W189" s="384" t="s">
        <v>1585</v>
      </c>
      <c r="X189" s="292" t="s">
        <v>1586</v>
      </c>
      <c r="Y189" s="33" t="s">
        <v>1587</v>
      </c>
      <c r="Z189" s="257">
        <v>2605143484</v>
      </c>
      <c r="AA189" s="342">
        <v>2605144206</v>
      </c>
      <c r="AB189" s="388">
        <v>46105</v>
      </c>
      <c r="AC189" s="390">
        <v>46106</v>
      </c>
      <c r="AD189" s="422">
        <v>46105</v>
      </c>
      <c r="AE189" s="43">
        <v>4090180673</v>
      </c>
      <c r="AF189" s="23">
        <v>46106</v>
      </c>
      <c r="AG189" s="314">
        <v>46106</v>
      </c>
      <c r="AH189" s="314">
        <v>46108</v>
      </c>
      <c r="AI189" s="384"/>
      <c r="AJ189" s="383">
        <v>30490000</v>
      </c>
    </row>
    <row r="190" spans="1:36" ht="24.75" customHeight="1">
      <c r="A190" s="187" t="s">
        <v>1588</v>
      </c>
      <c r="B190" s="187">
        <v>180674</v>
      </c>
      <c r="C190" s="230" t="s">
        <v>39</v>
      </c>
      <c r="D190" s="5" t="s">
        <v>40</v>
      </c>
      <c r="E190" s="189">
        <v>46100</v>
      </c>
      <c r="K190" s="2" t="s">
        <v>44</v>
      </c>
      <c r="L190" s="2" t="s">
        <v>61</v>
      </c>
      <c r="M190" s="2" t="s">
        <v>46</v>
      </c>
      <c r="N190" s="2" t="s">
        <v>47</v>
      </c>
      <c r="O190" s="2" t="s">
        <v>1589</v>
      </c>
      <c r="P190" s="288">
        <v>47102</v>
      </c>
      <c r="Q190" s="296" t="s">
        <v>99</v>
      </c>
      <c r="R190" s="397" t="s">
        <v>1590</v>
      </c>
      <c r="S190" s="387" t="s">
        <v>1591</v>
      </c>
      <c r="T190" s="14" t="s">
        <v>76</v>
      </c>
      <c r="U190" s="2" t="s">
        <v>1592</v>
      </c>
      <c r="V190" s="384" t="s">
        <v>1593</v>
      </c>
      <c r="W190" s="333" t="s">
        <v>1594</v>
      </c>
      <c r="X190" s="64" t="s">
        <v>1595</v>
      </c>
      <c r="Z190" s="221">
        <v>2605140326</v>
      </c>
      <c r="AA190" s="263">
        <v>2605141377</v>
      </c>
      <c r="AB190" s="388">
        <v>46105</v>
      </c>
      <c r="AC190" s="390">
        <v>46106</v>
      </c>
      <c r="AD190" s="22">
        <v>46104</v>
      </c>
      <c r="AE190" s="43">
        <v>4091080674</v>
      </c>
      <c r="AF190" s="223">
        <v>46106</v>
      </c>
      <c r="AG190" s="354">
        <v>46107</v>
      </c>
      <c r="AH190" s="46">
        <v>46107</v>
      </c>
      <c r="AI190" s="389"/>
      <c r="AJ190" s="383">
        <v>26200000</v>
      </c>
    </row>
    <row r="191" spans="1:36" ht="24.75" customHeight="1">
      <c r="A191" s="187" t="s">
        <v>1596</v>
      </c>
      <c r="B191" s="187">
        <v>180685</v>
      </c>
      <c r="C191" s="230" t="s">
        <v>39</v>
      </c>
      <c r="D191" s="5" t="s">
        <v>40</v>
      </c>
      <c r="E191" s="189">
        <v>46101</v>
      </c>
      <c r="K191" s="2" t="s">
        <v>44</v>
      </c>
      <c r="L191" s="2" t="s">
        <v>280</v>
      </c>
      <c r="M191" s="2" t="s">
        <v>46</v>
      </c>
      <c r="N191" s="2" t="s">
        <v>47</v>
      </c>
      <c r="O191" s="2" t="s">
        <v>1597</v>
      </c>
      <c r="P191" s="309" t="s">
        <v>1598</v>
      </c>
      <c r="Q191" s="296" t="s">
        <v>282</v>
      </c>
      <c r="R191" s="74" t="s">
        <v>283</v>
      </c>
      <c r="S191" s="399" t="s">
        <v>284</v>
      </c>
      <c r="T191" s="14" t="s">
        <v>76</v>
      </c>
      <c r="U191" s="2" t="str">
        <f>VLOOKUP('IMPO TERR'!T191,'Matriz datos'!$J$2:$K$10,2,0)</f>
        <v>AV. PDTE. EDUARDO FREI 8301, QUILICURA</v>
      </c>
      <c r="V191" s="384" t="s">
        <v>1599</v>
      </c>
      <c r="W191" s="66" t="s">
        <v>286</v>
      </c>
      <c r="X191" s="64" t="s">
        <v>1600</v>
      </c>
      <c r="Y191" s="33" t="s">
        <v>1601</v>
      </c>
      <c r="Z191" s="221">
        <v>2605140337</v>
      </c>
      <c r="AA191" s="263">
        <v>2605141339</v>
      </c>
      <c r="AB191" s="388">
        <v>46101</v>
      </c>
      <c r="AC191" s="390">
        <v>46102</v>
      </c>
      <c r="AD191" s="22">
        <v>46104</v>
      </c>
      <c r="AE191" s="43">
        <v>4090180685</v>
      </c>
      <c r="AF191" s="265">
        <v>46104</v>
      </c>
      <c r="AG191" s="315">
        <v>46104</v>
      </c>
      <c r="AH191" s="315">
        <v>46104</v>
      </c>
      <c r="AI191" s="384">
        <v>141779</v>
      </c>
      <c r="AJ191" s="383">
        <v>48810000</v>
      </c>
    </row>
    <row r="192" spans="1:36" ht="24.75" customHeight="1">
      <c r="A192" s="187" t="s">
        <v>1602</v>
      </c>
      <c r="B192" s="187">
        <v>180686</v>
      </c>
      <c r="C192" s="230" t="s">
        <v>39</v>
      </c>
      <c r="D192" s="5" t="s">
        <v>40</v>
      </c>
      <c r="E192" s="189">
        <v>46101</v>
      </c>
      <c r="K192" s="2" t="s">
        <v>44</v>
      </c>
      <c r="L192" s="2" t="s">
        <v>280</v>
      </c>
      <c r="M192" s="2" t="s">
        <v>46</v>
      </c>
      <c r="N192" s="2" t="s">
        <v>47</v>
      </c>
      <c r="O192" s="2" t="s">
        <v>1603</v>
      </c>
      <c r="P192" s="288" t="s">
        <v>1604</v>
      </c>
      <c r="Q192" s="296" t="s">
        <v>456</v>
      </c>
      <c r="R192" s="400" t="s">
        <v>457</v>
      </c>
      <c r="S192" s="387" t="s">
        <v>458</v>
      </c>
      <c r="T192" s="14" t="s">
        <v>102</v>
      </c>
      <c r="U192" s="2" t="str">
        <f>VLOOKUP('IMPO TERR'!T192,'Matriz datos'!$J$2:$K$10,2,0)</f>
        <v>AV. AMERICO VESPUCIO 0350, QUILICURA</v>
      </c>
      <c r="V192" s="384" t="s">
        <v>1605</v>
      </c>
      <c r="W192" s="66" t="s">
        <v>1606</v>
      </c>
      <c r="X192" s="64" t="s">
        <v>1607</v>
      </c>
      <c r="Y192" s="220" t="s">
        <v>1608</v>
      </c>
      <c r="Z192" s="221">
        <v>2605145820</v>
      </c>
      <c r="AA192" s="263">
        <v>2605150382</v>
      </c>
      <c r="AB192" s="388">
        <v>46105</v>
      </c>
      <c r="AC192" s="390">
        <v>46105</v>
      </c>
      <c r="AD192" s="22">
        <v>46106</v>
      </c>
      <c r="AE192" s="43">
        <v>4090180686</v>
      </c>
      <c r="AF192" s="23">
        <v>46107</v>
      </c>
      <c r="AG192" s="45">
        <v>46108</v>
      </c>
      <c r="AH192" s="49">
        <v>46109</v>
      </c>
      <c r="AI192" s="384"/>
      <c r="AJ192" s="383">
        <v>37720000</v>
      </c>
    </row>
    <row r="193" spans="1:36" ht="24.75" customHeight="1">
      <c r="A193" s="187" t="s">
        <v>1609</v>
      </c>
      <c r="B193" s="187">
        <v>180692</v>
      </c>
      <c r="C193" s="230" t="s">
        <v>995</v>
      </c>
      <c r="D193" s="2" t="s">
        <v>58</v>
      </c>
      <c r="E193" s="189">
        <v>46101</v>
      </c>
      <c r="K193" s="2" t="s">
        <v>44</v>
      </c>
      <c r="L193" s="2" t="s">
        <v>45</v>
      </c>
      <c r="M193" s="2" t="s">
        <v>46</v>
      </c>
      <c r="N193" s="2" t="s">
        <v>47</v>
      </c>
      <c r="O193" s="2" t="s">
        <v>1610</v>
      </c>
      <c r="P193" s="310"/>
      <c r="Q193" s="296" t="s">
        <v>49</v>
      </c>
      <c r="R193" s="389" t="s">
        <v>1611</v>
      </c>
      <c r="S193" s="387" t="s">
        <v>1612</v>
      </c>
      <c r="T193" s="14" t="s">
        <v>76</v>
      </c>
      <c r="U193" s="2" t="str">
        <f>VLOOKUP('IMPO TERR'!T193,'Matriz datos'!$J$2:$K$10,2,0)</f>
        <v>AV. PDTE. EDUARDO FREI 8301, QUILICURA</v>
      </c>
      <c r="V193" s="384" t="s">
        <v>1613</v>
      </c>
      <c r="W193" s="66" t="s">
        <v>1614</v>
      </c>
      <c r="X193" s="291" t="s">
        <v>1615</v>
      </c>
      <c r="Z193" s="221">
        <v>2605145936</v>
      </c>
      <c r="AA193" s="321">
        <v>2605149502</v>
      </c>
      <c r="AB193" s="384"/>
      <c r="AC193" s="390"/>
      <c r="AD193" s="22">
        <v>46106</v>
      </c>
      <c r="AE193" s="43">
        <v>4090180692</v>
      </c>
      <c r="AI193" s="384"/>
      <c r="AJ193" s="383">
        <v>24170000</v>
      </c>
    </row>
    <row r="194" spans="1:36" ht="24.75" customHeight="1">
      <c r="A194" s="187" t="s">
        <v>1616</v>
      </c>
      <c r="B194" s="187">
        <v>180693</v>
      </c>
      <c r="C194" s="230" t="s">
        <v>935</v>
      </c>
      <c r="D194" s="377" t="s">
        <v>40</v>
      </c>
      <c r="E194" s="189">
        <v>46101</v>
      </c>
      <c r="K194" s="2" t="s">
        <v>44</v>
      </c>
      <c r="L194" s="2" t="s">
        <v>45</v>
      </c>
      <c r="M194" s="2" t="s">
        <v>46</v>
      </c>
      <c r="N194" s="2" t="s">
        <v>47</v>
      </c>
      <c r="O194" s="2" t="s">
        <v>1617</v>
      </c>
      <c r="P194" s="288">
        <v>48301</v>
      </c>
      <c r="Q194" s="296" t="s">
        <v>49</v>
      </c>
      <c r="R194" s="389" t="s">
        <v>1618</v>
      </c>
      <c r="S194" s="387" t="s">
        <v>1619</v>
      </c>
      <c r="T194" s="14" t="s">
        <v>76</v>
      </c>
      <c r="U194" s="2" t="str">
        <f>VLOOKUP('IMPO TERR'!T194,'Matriz datos'!$J$2:$K$10,2,0)</f>
        <v>AV. PDTE. EDUARDO FREI 8301, QUILICURA</v>
      </c>
      <c r="V194" s="384" t="s">
        <v>1620</v>
      </c>
      <c r="W194" s="66" t="s">
        <v>1621</v>
      </c>
      <c r="X194" s="64" t="s">
        <v>1622</v>
      </c>
      <c r="Z194" s="250">
        <v>2605141838</v>
      </c>
      <c r="AA194" s="416">
        <v>2605144116</v>
      </c>
      <c r="AB194" s="388">
        <v>46108</v>
      </c>
      <c r="AC194" s="390">
        <v>46109</v>
      </c>
      <c r="AD194" s="22">
        <v>46104</v>
      </c>
      <c r="AE194" s="43">
        <v>4090180693</v>
      </c>
      <c r="AG194" s="49">
        <v>46109</v>
      </c>
      <c r="AH194" s="14" t="s">
        <v>58</v>
      </c>
      <c r="AI194" s="384"/>
      <c r="AJ194" s="383">
        <v>23880000</v>
      </c>
    </row>
    <row r="195" spans="1:36" ht="24.75" customHeight="1">
      <c r="A195" s="187" t="s">
        <v>1623</v>
      </c>
      <c r="B195" s="187">
        <v>180695</v>
      </c>
      <c r="C195" s="230" t="s">
        <v>995</v>
      </c>
      <c r="D195" s="2" t="s">
        <v>58</v>
      </c>
      <c r="E195" s="189">
        <v>46101</v>
      </c>
      <c r="K195" s="2" t="s">
        <v>44</v>
      </c>
      <c r="L195" s="2" t="s">
        <v>45</v>
      </c>
      <c r="M195" s="2" t="s">
        <v>46</v>
      </c>
      <c r="N195" s="2" t="s">
        <v>47</v>
      </c>
      <c r="O195" s="2" t="s">
        <v>1624</v>
      </c>
      <c r="P195" s="288"/>
      <c r="Q195" s="296" t="s">
        <v>49</v>
      </c>
      <c r="R195" s="389" t="s">
        <v>1625</v>
      </c>
      <c r="S195" s="387" t="s">
        <v>1626</v>
      </c>
      <c r="T195" s="14" t="s">
        <v>76</v>
      </c>
      <c r="U195" s="2" t="str">
        <f>VLOOKUP('IMPO TERR'!T195,'Matriz datos'!$J$2:$K$10,2,0)</f>
        <v>AV. PDTE. EDUARDO FREI 8301, QUILICURA</v>
      </c>
      <c r="V195" s="384" t="s">
        <v>1627</v>
      </c>
      <c r="W195" s="66" t="s">
        <v>1628</v>
      </c>
      <c r="X195" s="64" t="s">
        <v>1629</v>
      </c>
      <c r="Z195" s="339">
        <v>2605148669</v>
      </c>
      <c r="AA195" s="260">
        <v>2605149607</v>
      </c>
      <c r="AB195" s="384"/>
      <c r="AC195" s="390"/>
      <c r="AD195" s="22">
        <v>46107</v>
      </c>
      <c r="AE195" s="43">
        <v>4090180695</v>
      </c>
      <c r="AI195" s="384"/>
      <c r="AJ195" s="383">
        <v>26920000</v>
      </c>
    </row>
    <row r="196" spans="1:36" ht="24.75" customHeight="1">
      <c r="A196" s="187" t="s">
        <v>1630</v>
      </c>
      <c r="B196" s="187">
        <v>180703</v>
      </c>
      <c r="C196" s="230" t="s">
        <v>39</v>
      </c>
      <c r="D196" s="5" t="s">
        <v>40</v>
      </c>
      <c r="E196" s="189">
        <v>46101</v>
      </c>
      <c r="K196" s="2" t="s">
        <v>44</v>
      </c>
      <c r="L196" s="2" t="s">
        <v>45</v>
      </c>
      <c r="M196" s="2" t="s">
        <v>46</v>
      </c>
      <c r="N196" s="2" t="s">
        <v>47</v>
      </c>
      <c r="O196" s="2" t="s">
        <v>1631</v>
      </c>
      <c r="P196" s="288">
        <v>47106</v>
      </c>
      <c r="Q196" s="296" t="s">
        <v>126</v>
      </c>
      <c r="R196" s="389" t="s">
        <v>1632</v>
      </c>
      <c r="S196" s="387" t="s">
        <v>1633</v>
      </c>
      <c r="T196" s="14" t="s">
        <v>102</v>
      </c>
      <c r="U196" s="2" t="str">
        <f>VLOOKUP('IMPO TERR'!T196,'Matriz datos'!$J$2:$K$10,2,0)</f>
        <v>AV. AMERICO VESPUCIO 0350, QUILICURA</v>
      </c>
      <c r="V196" s="384" t="s">
        <v>1634</v>
      </c>
      <c r="W196" s="66" t="s">
        <v>1635</v>
      </c>
      <c r="X196" s="64" t="s">
        <v>1636</v>
      </c>
      <c r="Y196" s="220" t="s">
        <v>1637</v>
      </c>
      <c r="Z196" s="43">
        <v>2605148152</v>
      </c>
      <c r="AA196" s="374">
        <v>2605149430</v>
      </c>
      <c r="AB196" s="388">
        <v>46106</v>
      </c>
      <c r="AC196" s="390">
        <v>46107</v>
      </c>
      <c r="AD196" s="22">
        <v>46107</v>
      </c>
      <c r="AE196" s="5">
        <v>4090180703</v>
      </c>
      <c r="AF196" s="23">
        <v>46107</v>
      </c>
      <c r="AG196" s="49">
        <v>46107</v>
      </c>
      <c r="AH196" s="49">
        <v>46108</v>
      </c>
      <c r="AI196" s="384"/>
      <c r="AJ196" s="383">
        <v>27160000</v>
      </c>
    </row>
    <row r="197" spans="1:36" ht="24.75" customHeight="1">
      <c r="A197" s="187" t="s">
        <v>1638</v>
      </c>
      <c r="B197" s="187">
        <v>180704</v>
      </c>
      <c r="C197" s="230" t="s">
        <v>995</v>
      </c>
      <c r="D197" s="2" t="s">
        <v>58</v>
      </c>
      <c r="E197" s="189">
        <v>46101</v>
      </c>
      <c r="K197" s="2" t="s">
        <v>44</v>
      </c>
      <c r="L197" s="2" t="s">
        <v>45</v>
      </c>
      <c r="M197" s="2" t="s">
        <v>46</v>
      </c>
      <c r="N197" s="2" t="s">
        <v>47</v>
      </c>
      <c r="O197" s="2" t="s">
        <v>1639</v>
      </c>
      <c r="P197" s="309"/>
      <c r="Q197" s="296" t="s">
        <v>901</v>
      </c>
      <c r="R197" s="389" t="s">
        <v>1640</v>
      </c>
      <c r="S197" s="387" t="s">
        <v>1641</v>
      </c>
      <c r="T197" s="14" t="s">
        <v>1642</v>
      </c>
      <c r="U197" s="2" t="e">
        <f>VLOOKUP('IMPO TERR'!T197,'Matriz datos'!$J$2:$K$10,2,0)</f>
        <v>#N/A</v>
      </c>
      <c r="V197" s="384" t="s">
        <v>1643</v>
      </c>
      <c r="W197" s="66" t="s">
        <v>1644</v>
      </c>
      <c r="X197" s="291" t="s">
        <v>1645</v>
      </c>
      <c r="Z197" s="257">
        <v>2605148463</v>
      </c>
      <c r="AA197" s="321">
        <v>2605150227</v>
      </c>
      <c r="AB197" s="384"/>
      <c r="AC197" s="390"/>
      <c r="AD197" s="22">
        <v>46107</v>
      </c>
      <c r="AE197" s="43">
        <v>4090180704</v>
      </c>
      <c r="AI197" s="384"/>
      <c r="AJ197" s="383">
        <v>24440000</v>
      </c>
    </row>
    <row r="198" spans="1:36" ht="24.75" customHeight="1">
      <c r="A198" s="187" t="s">
        <v>1646</v>
      </c>
      <c r="B198" s="187">
        <v>180716</v>
      </c>
      <c r="C198" s="230" t="s">
        <v>39</v>
      </c>
      <c r="D198" s="5" t="s">
        <v>40</v>
      </c>
      <c r="E198" s="189">
        <v>46102</v>
      </c>
      <c r="K198" s="2" t="s">
        <v>60</v>
      </c>
      <c r="L198" s="2" t="s">
        <v>45</v>
      </c>
      <c r="M198" s="2" t="s">
        <v>46</v>
      </c>
      <c r="N198" s="2" t="s">
        <v>47</v>
      </c>
      <c r="O198" s="2" t="s">
        <v>1647</v>
      </c>
      <c r="P198" s="309">
        <v>48128</v>
      </c>
      <c r="Q198" s="296" t="s">
        <v>247</v>
      </c>
      <c r="R198" s="397" t="s">
        <v>1648</v>
      </c>
      <c r="S198" s="391" t="s">
        <v>1649</v>
      </c>
      <c r="T198" s="14" t="s">
        <v>102</v>
      </c>
      <c r="U198" s="2" t="str">
        <f>VLOOKUP('IMPO TERR'!T198,'Matriz datos'!$J$2:$K$10,2,0)</f>
        <v>AV. AMERICO VESPUCIO 0350, QUILICURA</v>
      </c>
      <c r="V198" s="384" t="s">
        <v>1650</v>
      </c>
      <c r="W198" s="327" t="s">
        <v>1651</v>
      </c>
      <c r="X198" s="43" t="s">
        <v>1652</v>
      </c>
      <c r="Z198" s="221">
        <v>2605144412</v>
      </c>
      <c r="AA198" s="420">
        <v>2605146868</v>
      </c>
      <c r="AB198" s="390">
        <v>46108</v>
      </c>
      <c r="AC198" s="390">
        <v>46108</v>
      </c>
      <c r="AD198" s="422">
        <v>46105</v>
      </c>
      <c r="AE198" s="43">
        <v>4090180716</v>
      </c>
      <c r="AF198" s="23">
        <v>46108</v>
      </c>
      <c r="AG198" s="311" t="s">
        <v>1554</v>
      </c>
      <c r="AH198" s="49">
        <v>46108</v>
      </c>
      <c r="AI198" s="384"/>
      <c r="AJ198" s="383">
        <v>13950000</v>
      </c>
    </row>
    <row r="199" spans="1:36" ht="24.75" customHeight="1">
      <c r="A199" s="187" t="s">
        <v>1653</v>
      </c>
      <c r="B199" s="187">
        <v>180717</v>
      </c>
      <c r="C199" s="230" t="s">
        <v>995</v>
      </c>
      <c r="D199" s="2" t="s">
        <v>58</v>
      </c>
      <c r="E199" s="189">
        <v>46102</v>
      </c>
      <c r="K199" s="2" t="s">
        <v>44</v>
      </c>
      <c r="L199" s="2" t="s">
        <v>45</v>
      </c>
      <c r="M199" s="2" t="s">
        <v>46</v>
      </c>
      <c r="N199" s="2" t="s">
        <v>47</v>
      </c>
      <c r="O199" s="2" t="s">
        <v>1654</v>
      </c>
      <c r="P199" s="309"/>
      <c r="Q199" s="329" t="s">
        <v>49</v>
      </c>
      <c r="R199" s="384" t="s">
        <v>1655</v>
      </c>
      <c r="S199" s="384" t="s">
        <v>1656</v>
      </c>
      <c r="T199" s="32" t="s">
        <v>102</v>
      </c>
      <c r="U199" s="2" t="str">
        <f>VLOOKUP('IMPO TERR'!T199,'Matriz datos'!$J$2:$K$10,2,0)</f>
        <v>AV. AMERICO VESPUCIO 0350, QUILICURA</v>
      </c>
      <c r="V199" s="384" t="s">
        <v>1657</v>
      </c>
      <c r="W199" s="66" t="s">
        <v>1658</v>
      </c>
      <c r="X199" s="292" t="s">
        <v>1659</v>
      </c>
      <c r="Z199" s="221">
        <v>2605148885</v>
      </c>
      <c r="AA199" s="348" t="s">
        <v>1660</v>
      </c>
      <c r="AB199" s="389"/>
      <c r="AC199" s="390"/>
      <c r="AD199" s="22">
        <v>46108</v>
      </c>
      <c r="AE199" s="43">
        <v>4090180717</v>
      </c>
      <c r="AI199" s="384"/>
      <c r="AJ199" s="383">
        <v>25160000</v>
      </c>
    </row>
    <row r="200" spans="1:36" ht="24.75" customHeight="1">
      <c r="A200" s="187" t="s">
        <v>1661</v>
      </c>
      <c r="B200" s="187">
        <v>180718</v>
      </c>
      <c r="C200" s="230" t="s">
        <v>995</v>
      </c>
      <c r="D200" s="2" t="s">
        <v>58</v>
      </c>
      <c r="E200" s="189">
        <v>46102</v>
      </c>
      <c r="K200" s="2" t="s">
        <v>44</v>
      </c>
      <c r="L200" s="2" t="s">
        <v>45</v>
      </c>
      <c r="M200" s="2" t="s">
        <v>46</v>
      </c>
      <c r="N200" s="2" t="s">
        <v>47</v>
      </c>
      <c r="O200" s="2" t="s">
        <v>1662</v>
      </c>
      <c r="P200" s="309"/>
      <c r="Q200" s="296" t="s">
        <v>901</v>
      </c>
      <c r="R200" s="406" t="s">
        <v>1663</v>
      </c>
      <c r="S200" s="402" t="s">
        <v>1664</v>
      </c>
      <c r="T200" s="14" t="s">
        <v>441</v>
      </c>
      <c r="U200" s="2" t="str">
        <f>VLOOKUP('IMPO TERR'!T200,'Matriz datos'!$J$2:$K$10,2,0)</f>
        <v>CAMINO LO AGUIRRE SUR 537, PUDAHUEL </v>
      </c>
      <c r="V200" s="384" t="s">
        <v>1665</v>
      </c>
      <c r="W200" s="66" t="s">
        <v>1666</v>
      </c>
      <c r="X200" s="13"/>
      <c r="Z200" s="221">
        <v>2605148889</v>
      </c>
      <c r="AA200" s="423">
        <v>2605149790</v>
      </c>
      <c r="AB200" s="389"/>
      <c r="AC200" s="390"/>
      <c r="AD200" s="2" t="s">
        <v>1489</v>
      </c>
      <c r="AE200" s="2">
        <v>4090180718</v>
      </c>
      <c r="AI200" s="384"/>
      <c r="AJ200" s="383">
        <v>28860000</v>
      </c>
    </row>
    <row r="201" spans="1:36" ht="24.75" customHeight="1">
      <c r="A201" s="187" t="s">
        <v>1667</v>
      </c>
      <c r="B201" s="187">
        <v>180719</v>
      </c>
      <c r="C201" s="230" t="s">
        <v>995</v>
      </c>
      <c r="D201" s="2" t="s">
        <v>58</v>
      </c>
      <c r="E201" s="189">
        <v>46102</v>
      </c>
      <c r="K201" s="2" t="s">
        <v>44</v>
      </c>
      <c r="L201" s="2" t="s">
        <v>45</v>
      </c>
      <c r="M201" s="2" t="s">
        <v>46</v>
      </c>
      <c r="N201" s="2" t="s">
        <v>47</v>
      </c>
      <c r="O201" s="2" t="s">
        <v>1668</v>
      </c>
      <c r="P201" s="309"/>
      <c r="Q201" s="329" t="s">
        <v>49</v>
      </c>
      <c r="R201" s="384" t="s">
        <v>1669</v>
      </c>
      <c r="S201" s="399" t="s">
        <v>1670</v>
      </c>
      <c r="T201" s="14" t="s">
        <v>441</v>
      </c>
      <c r="U201" s="2" t="str">
        <f>VLOOKUP('IMPO TERR'!T201,'Matriz datos'!$J$2:$K$10,2,0)</f>
        <v>CAMINO LO AGUIRRE SUR 537, PUDAHUEL </v>
      </c>
      <c r="V201" s="384" t="s">
        <v>1671</v>
      </c>
      <c r="W201" s="327" t="s">
        <v>1672</v>
      </c>
      <c r="X201" s="43" t="s">
        <v>1673</v>
      </c>
      <c r="Z201" s="221">
        <v>2605147878</v>
      </c>
      <c r="AA201" s="345">
        <v>2605149634</v>
      </c>
      <c r="AB201" s="394"/>
      <c r="AC201" s="390"/>
      <c r="AD201" s="22">
        <v>46107</v>
      </c>
      <c r="AE201" s="2">
        <v>4090180719</v>
      </c>
      <c r="AG201" s="16"/>
      <c r="AH201" s="16"/>
      <c r="AI201" s="384"/>
      <c r="AJ201" s="383">
        <v>29090000</v>
      </c>
    </row>
    <row r="202" spans="1:36" ht="24.75" customHeight="1">
      <c r="A202" s="187" t="s">
        <v>1674</v>
      </c>
      <c r="B202" s="187">
        <v>180720</v>
      </c>
      <c r="C202" s="230" t="s">
        <v>39</v>
      </c>
      <c r="D202" s="5" t="s">
        <v>40</v>
      </c>
      <c r="E202" s="189">
        <v>46102</v>
      </c>
      <c r="K202" s="2" t="s">
        <v>60</v>
      </c>
      <c r="L202" s="2" t="s">
        <v>45</v>
      </c>
      <c r="M202" s="2" t="s">
        <v>46</v>
      </c>
      <c r="N202" s="2" t="s">
        <v>47</v>
      </c>
      <c r="O202" s="2" t="s">
        <v>1675</v>
      </c>
      <c r="P202" s="309">
        <v>48130</v>
      </c>
      <c r="Q202" s="296" t="s">
        <v>247</v>
      </c>
      <c r="R202" s="400" t="s">
        <v>1676</v>
      </c>
      <c r="S202" s="387" t="s">
        <v>1677</v>
      </c>
      <c r="T202" s="14" t="s">
        <v>102</v>
      </c>
      <c r="U202" s="2" t="str">
        <f>VLOOKUP('IMPO TERR'!T202,'Matriz datos'!$J$2:$K$10,2,0)</f>
        <v>AV. AMERICO VESPUCIO 0350, QUILICURA</v>
      </c>
      <c r="V202" s="384" t="s">
        <v>1678</v>
      </c>
      <c r="W202" s="66" t="s">
        <v>1679</v>
      </c>
      <c r="X202" s="293" t="s">
        <v>1680</v>
      </c>
      <c r="Z202" s="250">
        <v>2605144515</v>
      </c>
      <c r="AA202" s="417">
        <v>2605146894</v>
      </c>
      <c r="AB202" s="46">
        <v>46108</v>
      </c>
      <c r="AC202" s="390">
        <v>46108</v>
      </c>
      <c r="AD202" s="22">
        <v>46105</v>
      </c>
      <c r="AE202" s="5">
        <v>4090180720</v>
      </c>
      <c r="AF202" s="223">
        <v>46108</v>
      </c>
      <c r="AG202" s="18" t="s">
        <v>1554</v>
      </c>
      <c r="AH202" s="46">
        <v>46108</v>
      </c>
      <c r="AI202" s="389"/>
      <c r="AJ202" s="383">
        <v>17360000</v>
      </c>
    </row>
    <row r="203" spans="1:36" ht="24.75" customHeight="1">
      <c r="A203" s="187" t="s">
        <v>1681</v>
      </c>
      <c r="B203" s="187">
        <v>180721</v>
      </c>
      <c r="C203" s="230" t="s">
        <v>995</v>
      </c>
      <c r="D203" s="2" t="s">
        <v>58</v>
      </c>
      <c r="E203" s="189">
        <v>46102</v>
      </c>
      <c r="K203" s="2" t="s">
        <v>44</v>
      </c>
      <c r="L203" s="2" t="s">
        <v>45</v>
      </c>
      <c r="M203" s="2" t="s">
        <v>46</v>
      </c>
      <c r="N203" s="2" t="s">
        <v>47</v>
      </c>
      <c r="O203" s="2" t="s">
        <v>1682</v>
      </c>
      <c r="P203" s="309"/>
      <c r="Q203" s="296" t="s">
        <v>49</v>
      </c>
      <c r="R203" s="389" t="s">
        <v>1683</v>
      </c>
      <c r="S203" s="387" t="s">
        <v>1684</v>
      </c>
      <c r="T203" s="14" t="s">
        <v>76</v>
      </c>
      <c r="U203" s="2" t="str">
        <f>VLOOKUP('IMPO TERR'!T203,'Matriz datos'!$J$2:$K$10,2,0)</f>
        <v>AV. PDTE. EDUARDO FREI 8301, QUILICURA</v>
      </c>
      <c r="V203" s="384" t="s">
        <v>1685</v>
      </c>
      <c r="W203" s="327" t="s">
        <v>1686</v>
      </c>
      <c r="X203" s="43" t="s">
        <v>1687</v>
      </c>
      <c r="Z203" s="250">
        <v>2605148968</v>
      </c>
      <c r="AA203" s="395">
        <v>2605149541</v>
      </c>
      <c r="AB203" s="400"/>
      <c r="AC203" s="408"/>
      <c r="AD203" s="2" t="s">
        <v>1489</v>
      </c>
      <c r="AE203" s="2">
        <v>4090180721</v>
      </c>
      <c r="AG203" s="173"/>
      <c r="AH203" s="173"/>
      <c r="AI203" s="384"/>
      <c r="AJ203" s="383">
        <v>23380000</v>
      </c>
    </row>
    <row r="204" spans="1:36" ht="24.75" customHeight="1">
      <c r="A204" s="187" t="s">
        <v>1688</v>
      </c>
      <c r="B204" s="187">
        <v>180722</v>
      </c>
      <c r="C204" s="230" t="s">
        <v>935</v>
      </c>
      <c r="D204" s="377" t="s">
        <v>40</v>
      </c>
      <c r="E204" s="189">
        <v>46102</v>
      </c>
      <c r="K204" s="2" t="s">
        <v>44</v>
      </c>
      <c r="L204" s="2" t="s">
        <v>61</v>
      </c>
      <c r="M204" s="2" t="s">
        <v>46</v>
      </c>
      <c r="N204" s="2" t="s">
        <v>47</v>
      </c>
      <c r="O204" s="2" t="s">
        <v>1689</v>
      </c>
      <c r="P204" s="309">
        <v>47677</v>
      </c>
      <c r="Q204" s="296" t="s">
        <v>99</v>
      </c>
      <c r="R204" s="389" t="s">
        <v>1690</v>
      </c>
      <c r="S204" s="387" t="s">
        <v>1691</v>
      </c>
      <c r="T204" s="14" t="s">
        <v>441</v>
      </c>
      <c r="U204" s="2" t="str">
        <f>VLOOKUP('IMPO TERR'!T204,'Matriz datos'!$J$2:$K$10,2,0)</f>
        <v>CAMINO LO AGUIRRE SUR 537, PUDAHUEL </v>
      </c>
      <c r="V204" s="384" t="s">
        <v>1692</v>
      </c>
      <c r="W204" s="66" t="s">
        <v>1693</v>
      </c>
      <c r="X204" s="376" t="s">
        <v>1694</v>
      </c>
      <c r="Z204" s="370">
        <v>2605149097</v>
      </c>
      <c r="AA204">
        <v>2605151758</v>
      </c>
      <c r="AB204" s="424">
        <v>46107</v>
      </c>
      <c r="AC204" s="46">
        <v>46108</v>
      </c>
      <c r="AD204" s="12" t="s">
        <v>1489</v>
      </c>
      <c r="AE204" s="2">
        <v>4090180722</v>
      </c>
      <c r="AG204" s="49">
        <v>46109</v>
      </c>
      <c r="AH204" s="16" t="s">
        <v>58</v>
      </c>
      <c r="AI204" s="384"/>
      <c r="AJ204" s="383">
        <v>34380000</v>
      </c>
    </row>
    <row r="205" spans="1:36" ht="24.75" customHeight="1">
      <c r="A205" s="187" t="s">
        <v>1695</v>
      </c>
      <c r="B205" s="187">
        <v>180723</v>
      </c>
      <c r="C205" s="230" t="s">
        <v>39</v>
      </c>
      <c r="D205" s="5" t="s">
        <v>40</v>
      </c>
      <c r="E205" s="189">
        <v>46102</v>
      </c>
      <c r="K205" s="2" t="s">
        <v>44</v>
      </c>
      <c r="L205" s="2" t="s">
        <v>61</v>
      </c>
      <c r="M205" s="2" t="s">
        <v>46</v>
      </c>
      <c r="N205" s="2" t="s">
        <v>47</v>
      </c>
      <c r="O205" s="2" t="s">
        <v>1696</v>
      </c>
      <c r="P205" s="309">
        <v>47332</v>
      </c>
      <c r="Q205" s="296" t="s">
        <v>99</v>
      </c>
      <c r="R205" s="389" t="s">
        <v>1697</v>
      </c>
      <c r="S205" s="387" t="s">
        <v>1698</v>
      </c>
      <c r="T205" s="14" t="s">
        <v>102</v>
      </c>
      <c r="U205" s="2" t="str">
        <f>VLOOKUP('IMPO TERR'!T205,'Matriz datos'!$J$2:$K$10,2,0)</f>
        <v>AV. AMERICO VESPUCIO 0350, QUILICURA</v>
      </c>
      <c r="V205" s="384" t="s">
        <v>1699</v>
      </c>
      <c r="W205" s="66" t="s">
        <v>1700</v>
      </c>
      <c r="X205" s="64" t="s">
        <v>1701</v>
      </c>
      <c r="Y205" s="220" t="s">
        <v>1702</v>
      </c>
      <c r="Z205" s="257">
        <v>2605148682</v>
      </c>
      <c r="AA205" s="375">
        <v>2605149651</v>
      </c>
      <c r="AB205" s="349">
        <v>46106</v>
      </c>
      <c r="AC205" s="338">
        <v>46107</v>
      </c>
      <c r="AD205" s="316">
        <v>46107</v>
      </c>
      <c r="AE205" s="43">
        <v>4090180723</v>
      </c>
      <c r="AF205" s="23">
        <v>46107</v>
      </c>
      <c r="AG205" s="364">
        <v>46107</v>
      </c>
      <c r="AH205" s="46">
        <v>46108</v>
      </c>
      <c r="AI205" s="389"/>
      <c r="AJ205" s="383">
        <v>33070000</v>
      </c>
    </row>
    <row r="206" spans="1:36" ht="24.75" customHeight="1">
      <c r="A206" s="187" t="s">
        <v>1703</v>
      </c>
      <c r="B206" s="187">
        <v>180724</v>
      </c>
      <c r="C206" s="230" t="s">
        <v>935</v>
      </c>
      <c r="D206" s="5" t="s">
        <v>40</v>
      </c>
      <c r="E206" s="189">
        <v>46102</v>
      </c>
      <c r="K206" s="2" t="s">
        <v>44</v>
      </c>
      <c r="L206" s="2" t="s">
        <v>61</v>
      </c>
      <c r="M206" s="2" t="s">
        <v>46</v>
      </c>
      <c r="N206" s="2" t="s">
        <v>47</v>
      </c>
      <c r="O206" s="2" t="s">
        <v>1704</v>
      </c>
      <c r="P206" s="309">
        <v>47214</v>
      </c>
      <c r="Q206" s="296" t="s">
        <v>99</v>
      </c>
      <c r="R206" s="389" t="s">
        <v>1705</v>
      </c>
      <c r="S206" s="387" t="s">
        <v>1706</v>
      </c>
      <c r="T206" s="14" t="s">
        <v>76</v>
      </c>
      <c r="U206" s="2" t="str">
        <f>VLOOKUP('IMPO TERR'!T206,'Matriz datos'!$J$2:$K$10,2,0)</f>
        <v>AV. PDTE. EDUARDO FREI 8301, QUILICURA</v>
      </c>
      <c r="V206" s="384" t="s">
        <v>1707</v>
      </c>
      <c r="W206" s="66" t="s">
        <v>1708</v>
      </c>
      <c r="X206" s="291" t="s">
        <v>1709</v>
      </c>
      <c r="Z206" s="221">
        <v>2605144712</v>
      </c>
      <c r="AA206" s="425">
        <v>2605146945</v>
      </c>
      <c r="AB206" s="46">
        <v>46106</v>
      </c>
      <c r="AC206" s="403">
        <v>46107</v>
      </c>
      <c r="AD206" s="22">
        <v>46105</v>
      </c>
      <c r="AE206" s="43">
        <v>4090180724</v>
      </c>
      <c r="AF206" s="223">
        <v>46106</v>
      </c>
      <c r="AG206" s="18" t="s">
        <v>1316</v>
      </c>
      <c r="AH206" s="365" t="s">
        <v>58</v>
      </c>
      <c r="AI206" s="384"/>
      <c r="AJ206" s="383">
        <v>25460000</v>
      </c>
    </row>
    <row r="207" spans="1:36" ht="24.75" customHeight="1">
      <c r="A207" s="187" t="s">
        <v>1710</v>
      </c>
      <c r="B207" s="187">
        <v>180725</v>
      </c>
      <c r="C207" s="230" t="s">
        <v>935</v>
      </c>
      <c r="D207" s="5" t="s">
        <v>40</v>
      </c>
      <c r="E207" s="189">
        <v>46102</v>
      </c>
      <c r="K207" s="2" t="s">
        <v>44</v>
      </c>
      <c r="L207" s="2" t="s">
        <v>61</v>
      </c>
      <c r="M207" s="2" t="s">
        <v>46</v>
      </c>
      <c r="N207" s="2" t="s">
        <v>47</v>
      </c>
      <c r="O207" s="2" t="s">
        <v>1711</v>
      </c>
      <c r="P207" s="309">
        <v>46533</v>
      </c>
      <c r="Q207" s="296" t="s">
        <v>777</v>
      </c>
      <c r="R207" s="389" t="s">
        <v>399</v>
      </c>
      <c r="S207" s="387" t="s">
        <v>400</v>
      </c>
      <c r="T207" s="14" t="s">
        <v>76</v>
      </c>
      <c r="U207" s="2" t="str">
        <f>VLOOKUP('IMPO TERR'!T207,'Matriz datos'!$J$2:$K$10,2,0)</f>
        <v>AV. PDTE. EDUARDO FREI 8301, QUILICURA</v>
      </c>
      <c r="V207" s="384" t="s">
        <v>1712</v>
      </c>
      <c r="W207" s="327" t="s">
        <v>402</v>
      </c>
      <c r="X207" s="43" t="s">
        <v>1713</v>
      </c>
      <c r="Z207" s="250">
        <v>2605145888</v>
      </c>
      <c r="AA207" s="345">
        <v>2605149409</v>
      </c>
      <c r="AB207" s="410">
        <v>46105</v>
      </c>
      <c r="AC207" s="390">
        <v>46106</v>
      </c>
      <c r="AD207" s="22">
        <v>46106</v>
      </c>
      <c r="AE207" s="43">
        <v>4090180725</v>
      </c>
      <c r="AF207" s="23">
        <v>46106</v>
      </c>
      <c r="AG207" s="315">
        <v>46107</v>
      </c>
      <c r="AH207" s="14" t="s">
        <v>58</v>
      </c>
      <c r="AI207" s="384"/>
      <c r="AJ207" s="383">
        <v>27180000</v>
      </c>
    </row>
    <row r="208" spans="1:36" ht="24.75" customHeight="1">
      <c r="A208" s="187" t="s">
        <v>1714</v>
      </c>
      <c r="B208" s="187">
        <v>180726</v>
      </c>
      <c r="C208" s="230" t="s">
        <v>39</v>
      </c>
      <c r="D208" s="377" t="s">
        <v>40</v>
      </c>
      <c r="E208" s="189">
        <v>46102</v>
      </c>
      <c r="K208" s="2" t="s">
        <v>60</v>
      </c>
      <c r="L208" s="2" t="s">
        <v>45</v>
      </c>
      <c r="M208" s="2" t="s">
        <v>46</v>
      </c>
      <c r="N208" s="2" t="s">
        <v>47</v>
      </c>
      <c r="O208" s="2" t="s">
        <v>1715</v>
      </c>
      <c r="P208" s="309">
        <v>47169</v>
      </c>
      <c r="Q208" s="296" t="s">
        <v>247</v>
      </c>
      <c r="R208" s="389" t="s">
        <v>1716</v>
      </c>
      <c r="S208" s="387" t="s">
        <v>1717</v>
      </c>
      <c r="T208" s="14" t="s">
        <v>66</v>
      </c>
      <c r="U208" s="2" t="str">
        <f>VLOOKUP('IMPO TERR'!T208,'Matriz datos'!$J$2:$K$10,2,0)</f>
        <v>CAMINO SANTA MARTA 2101, MAIPU</v>
      </c>
      <c r="V208" s="384" t="s">
        <v>1718</v>
      </c>
      <c r="W208" s="66" t="s">
        <v>1719</v>
      </c>
      <c r="X208" s="293" t="s">
        <v>1720</v>
      </c>
      <c r="Z208" s="43">
        <v>2605149026</v>
      </c>
      <c r="AA208" s="380">
        <v>2605149640</v>
      </c>
      <c r="AB208" s="390">
        <v>46106</v>
      </c>
      <c r="AC208" s="390">
        <v>46107</v>
      </c>
      <c r="AD208" s="22">
        <v>46107</v>
      </c>
      <c r="AE208" s="43">
        <v>4090180726</v>
      </c>
      <c r="AF208" s="23">
        <v>46107</v>
      </c>
      <c r="AG208" s="49">
        <v>46109</v>
      </c>
      <c r="AH208" s="49">
        <v>46109</v>
      </c>
      <c r="AI208" s="384"/>
      <c r="AJ208" s="383">
        <v>16400000</v>
      </c>
    </row>
    <row r="209" spans="1:36" ht="24.75" customHeight="1">
      <c r="A209" s="187" t="s">
        <v>1721</v>
      </c>
      <c r="B209" s="187">
        <v>180727</v>
      </c>
      <c r="C209" s="230" t="s">
        <v>935</v>
      </c>
      <c r="D209" s="2" t="s">
        <v>58</v>
      </c>
      <c r="E209" s="189">
        <v>46102</v>
      </c>
      <c r="K209" s="2" t="s">
        <v>44</v>
      </c>
      <c r="L209" s="2" t="s">
        <v>61</v>
      </c>
      <c r="M209" s="2" t="s">
        <v>46</v>
      </c>
      <c r="N209" s="2" t="s">
        <v>47</v>
      </c>
      <c r="O209" s="2" t="s">
        <v>1722</v>
      </c>
      <c r="P209" s="309">
        <v>47458</v>
      </c>
      <c r="Q209" s="296" t="s">
        <v>1565</v>
      </c>
      <c r="R209" s="397" t="s">
        <v>1723</v>
      </c>
      <c r="S209" s="387" t="s">
        <v>1724</v>
      </c>
      <c r="T209" s="14" t="s">
        <v>76</v>
      </c>
      <c r="U209" s="2" t="str">
        <f>VLOOKUP('IMPO TERR'!T209,'Matriz datos'!$J$2:$K$10,2,0)</f>
        <v>AV. PDTE. EDUARDO FREI 8301, QUILICURA</v>
      </c>
      <c r="V209" s="394" t="s">
        <v>1725</v>
      </c>
      <c r="W209" s="327" t="s">
        <v>1726</v>
      </c>
      <c r="X209" s="43" t="s">
        <v>1727</v>
      </c>
      <c r="Z209" s="43">
        <v>2605148915</v>
      </c>
      <c r="AA209" s="426">
        <v>2605149742</v>
      </c>
      <c r="AB209" s="390">
        <v>46106</v>
      </c>
      <c r="AC209" s="408">
        <v>46107</v>
      </c>
      <c r="AD209" s="2" t="s">
        <v>1489</v>
      </c>
      <c r="AE209" s="2">
        <v>4090180727</v>
      </c>
      <c r="AF209" s="23">
        <v>46108</v>
      </c>
      <c r="AG209" s="49">
        <v>46108</v>
      </c>
      <c r="AH209" s="14" t="s">
        <v>58</v>
      </c>
      <c r="AI209" s="384"/>
      <c r="AJ209" s="383">
        <v>27130000</v>
      </c>
    </row>
    <row r="210" spans="1:36" ht="24.75" customHeight="1">
      <c r="A210" s="187" t="s">
        <v>1728</v>
      </c>
      <c r="B210" s="187">
        <v>180728</v>
      </c>
      <c r="C210" s="230" t="s">
        <v>935</v>
      </c>
      <c r="D210" s="2" t="s">
        <v>58</v>
      </c>
      <c r="E210" s="189">
        <v>46102</v>
      </c>
      <c r="K210" s="2" t="s">
        <v>60</v>
      </c>
      <c r="L210" s="2" t="s">
        <v>61</v>
      </c>
      <c r="M210" s="2" t="s">
        <v>46</v>
      </c>
      <c r="N210" s="2" t="s">
        <v>47</v>
      </c>
      <c r="O210" s="2" t="s">
        <v>1729</v>
      </c>
      <c r="P210" s="309">
        <v>47459</v>
      </c>
      <c r="Q210" s="329" t="s">
        <v>1565</v>
      </c>
      <c r="R210" s="384" t="s">
        <v>1730</v>
      </c>
      <c r="S210" s="399" t="s">
        <v>1731</v>
      </c>
      <c r="T210" s="14" t="s">
        <v>450</v>
      </c>
      <c r="U210" s="2" t="str">
        <f>VLOOKUP('IMPO TERR'!T210,'Matriz datos'!$J$2:$K$10,2,0)</f>
        <v>CORDILLERA 451, QUILICURA</v>
      </c>
      <c r="V210" s="384" t="s">
        <v>1732</v>
      </c>
      <c r="W210" s="67" t="s">
        <v>1733</v>
      </c>
      <c r="X210" s="360" t="s">
        <v>1734</v>
      </c>
      <c r="Z210" s="257">
        <v>2605144841</v>
      </c>
      <c r="AA210" s="225">
        <v>2605146967</v>
      </c>
      <c r="AB210" s="419">
        <v>46106</v>
      </c>
      <c r="AC210" s="46">
        <v>46107</v>
      </c>
      <c r="AD210" s="316">
        <v>46106</v>
      </c>
      <c r="AE210" s="43">
        <v>4090180728</v>
      </c>
      <c r="AF210" s="23">
        <v>46107</v>
      </c>
      <c r="AG210" s="49">
        <v>46107</v>
      </c>
      <c r="AH210" s="14" t="s">
        <v>58</v>
      </c>
      <c r="AI210" s="384"/>
      <c r="AJ210" s="383">
        <v>6440000</v>
      </c>
    </row>
    <row r="211" spans="1:36" ht="24.75" customHeight="1">
      <c r="A211" s="187" t="s">
        <v>1735</v>
      </c>
      <c r="B211" s="187">
        <v>180737</v>
      </c>
      <c r="C211" s="230" t="s">
        <v>39</v>
      </c>
      <c r="D211" s="5" t="s">
        <v>40</v>
      </c>
      <c r="E211" s="189">
        <v>46104</v>
      </c>
      <c r="K211" s="2" t="s">
        <v>44</v>
      </c>
      <c r="L211" s="2" t="s">
        <v>280</v>
      </c>
      <c r="M211" s="2" t="s">
        <v>46</v>
      </c>
      <c r="N211" s="2" t="s">
        <v>47</v>
      </c>
      <c r="O211" s="2" t="s">
        <v>1736</v>
      </c>
      <c r="P211" s="288" t="s">
        <v>1737</v>
      </c>
      <c r="Q211" s="296" t="s">
        <v>509</v>
      </c>
      <c r="R211" s="400" t="s">
        <v>1738</v>
      </c>
      <c r="S211" s="387" t="s">
        <v>1739</v>
      </c>
      <c r="T211" s="14" t="s">
        <v>441</v>
      </c>
      <c r="U211" s="2" t="str">
        <f>VLOOKUP('IMPO TERR'!T211,'Matriz datos'!$J$2:$K$10,2,0)</f>
        <v>CAMINO LO AGUIRRE SUR 537, PUDAHUEL </v>
      </c>
      <c r="V211" s="392" t="s">
        <v>1740</v>
      </c>
      <c r="W211" s="332" t="s">
        <v>1741</v>
      </c>
      <c r="X211" s="292" t="s">
        <v>1742</v>
      </c>
      <c r="Z211" s="250">
        <v>2605144635</v>
      </c>
      <c r="AA211" s="263">
        <v>2605146803</v>
      </c>
      <c r="AB211" s="388">
        <v>46102</v>
      </c>
      <c r="AC211" s="403">
        <v>46103</v>
      </c>
      <c r="AD211" s="22">
        <v>46106</v>
      </c>
      <c r="AE211" s="43">
        <v>4090180737</v>
      </c>
      <c r="AF211" s="23">
        <v>46106</v>
      </c>
      <c r="AG211" s="49">
        <v>46106</v>
      </c>
      <c r="AH211" s="45">
        <v>46107</v>
      </c>
      <c r="AI211" s="384"/>
      <c r="AJ211" s="383">
        <v>47680000</v>
      </c>
    </row>
    <row r="212" spans="1:36" ht="24.75" customHeight="1">
      <c r="A212" s="187" t="s">
        <v>1743</v>
      </c>
      <c r="B212" s="187">
        <v>180738</v>
      </c>
      <c r="C212" s="230" t="s">
        <v>39</v>
      </c>
      <c r="D212" s="377" t="s">
        <v>40</v>
      </c>
      <c r="E212" s="189">
        <v>46104</v>
      </c>
      <c r="K212" s="2" t="s">
        <v>44</v>
      </c>
      <c r="L212" s="2" t="s">
        <v>280</v>
      </c>
      <c r="M212" s="2" t="s">
        <v>46</v>
      </c>
      <c r="N212" s="2" t="s">
        <v>47</v>
      </c>
      <c r="O212" s="2" t="s">
        <v>1744</v>
      </c>
      <c r="P212" s="310" t="s">
        <v>1745</v>
      </c>
      <c r="Q212" s="296" t="s">
        <v>456</v>
      </c>
      <c r="R212" s="389" t="s">
        <v>1746</v>
      </c>
      <c r="S212" s="387" t="s">
        <v>1747</v>
      </c>
      <c r="T212" s="14" t="s">
        <v>441</v>
      </c>
      <c r="U212" s="2" t="str">
        <f>VLOOKUP('IMPO TERR'!T212,'Matriz datos'!$J$2:$K$10,2,0)</f>
        <v>CAMINO LO AGUIRRE SUR 537, PUDAHUEL </v>
      </c>
      <c r="V212" s="387" t="s">
        <v>1748</v>
      </c>
      <c r="W212" s="384" t="s">
        <v>1749</v>
      </c>
      <c r="X212" s="291" t="s">
        <v>1750</v>
      </c>
      <c r="Z212" s="43">
        <v>2605149034</v>
      </c>
      <c r="AA212" s="340">
        <v>2605151418</v>
      </c>
      <c r="AB212" s="388">
        <v>46105</v>
      </c>
      <c r="AC212" s="390">
        <v>46106</v>
      </c>
      <c r="AD212" s="22">
        <v>46107</v>
      </c>
      <c r="AE212" s="43">
        <v>4090180738</v>
      </c>
      <c r="AF212" s="23">
        <v>46107</v>
      </c>
      <c r="AG212" s="45">
        <v>46109</v>
      </c>
      <c r="AH212" s="49">
        <v>46109</v>
      </c>
      <c r="AI212" s="384"/>
      <c r="AJ212" s="383">
        <v>46470000</v>
      </c>
    </row>
    <row r="213" spans="1:36" ht="24.75" customHeight="1">
      <c r="A213" s="187" t="s">
        <v>1751</v>
      </c>
      <c r="B213" s="187">
        <v>180747</v>
      </c>
      <c r="C213" s="230" t="s">
        <v>39</v>
      </c>
      <c r="D213" s="5" t="s">
        <v>40</v>
      </c>
      <c r="E213" s="189">
        <v>46104</v>
      </c>
      <c r="K213" s="2" t="s">
        <v>60</v>
      </c>
      <c r="L213" s="2" t="s">
        <v>45</v>
      </c>
      <c r="M213" s="2" t="s">
        <v>46</v>
      </c>
      <c r="N213" s="2" t="s">
        <v>47</v>
      </c>
      <c r="O213" s="2" t="s">
        <v>1752</v>
      </c>
      <c r="P213" s="288">
        <v>47428</v>
      </c>
      <c r="Q213" s="296" t="s">
        <v>247</v>
      </c>
      <c r="R213" s="389" t="s">
        <v>1753</v>
      </c>
      <c r="S213" s="387" t="s">
        <v>1754</v>
      </c>
      <c r="T213" s="14" t="s">
        <v>102</v>
      </c>
      <c r="U213" s="2" t="str">
        <f>VLOOKUP('IMPO TERR'!T213,'Matriz datos'!$J$2:$K$10,2,0)</f>
        <v>AV. AMERICO VESPUCIO 0350, QUILICURA</v>
      </c>
      <c r="V213" s="384" t="s">
        <v>1755</v>
      </c>
      <c r="W213" s="331" t="s">
        <v>1756</v>
      </c>
      <c r="X213" s="339" t="s">
        <v>1757</v>
      </c>
      <c r="Z213" s="257">
        <v>2605145069</v>
      </c>
      <c r="AA213" s="427">
        <v>2605147015</v>
      </c>
      <c r="AB213" s="390">
        <v>46106</v>
      </c>
      <c r="AC213" s="390">
        <v>46107</v>
      </c>
      <c r="AD213" s="22">
        <v>46106</v>
      </c>
      <c r="AE213" s="43">
        <v>4090180747</v>
      </c>
      <c r="AF213" s="223">
        <v>46107</v>
      </c>
      <c r="AG213" s="46">
        <v>46108</v>
      </c>
      <c r="AH213" s="317">
        <v>46108</v>
      </c>
      <c r="AI213" s="384"/>
      <c r="AJ213" s="384"/>
    </row>
    <row r="214" spans="1:36" ht="24.75" customHeight="1">
      <c r="A214" s="187" t="s">
        <v>1758</v>
      </c>
      <c r="B214" s="187">
        <v>180748</v>
      </c>
      <c r="C214" s="230" t="s">
        <v>995</v>
      </c>
      <c r="D214" s="2" t="s">
        <v>58</v>
      </c>
      <c r="E214" s="189">
        <v>46104</v>
      </c>
      <c r="K214" s="2" t="s">
        <v>44</v>
      </c>
      <c r="L214" s="2" t="s">
        <v>45</v>
      </c>
      <c r="M214" s="2" t="s">
        <v>46</v>
      </c>
      <c r="N214" s="2" t="s">
        <v>47</v>
      </c>
      <c r="O214" s="2" t="s">
        <v>1759</v>
      </c>
      <c r="P214" s="288"/>
      <c r="Q214" s="296" t="s">
        <v>49</v>
      </c>
      <c r="R214" s="389" t="s">
        <v>1760</v>
      </c>
      <c r="S214" s="387" t="s">
        <v>1761</v>
      </c>
      <c r="T214" s="14" t="s">
        <v>102</v>
      </c>
      <c r="U214" s="2" t="str">
        <f>VLOOKUP('IMPO TERR'!T214,'Matriz datos'!$J$2:$K$10,2,0)</f>
        <v>AV. AMERICO VESPUCIO 0350, QUILICURA</v>
      </c>
      <c r="V214" s="384" t="s">
        <v>1762</v>
      </c>
      <c r="W214" s="327" t="s">
        <v>1763</v>
      </c>
      <c r="X214" s="43" t="s">
        <v>1764</v>
      </c>
      <c r="Z214" s="221">
        <v>2605150237</v>
      </c>
      <c r="AA214" s="225">
        <v>2605151550</v>
      </c>
      <c r="AB214" s="384"/>
      <c r="AC214" s="390"/>
      <c r="AD214" s="2" t="s">
        <v>1489</v>
      </c>
      <c r="AE214" s="2">
        <v>4090180748</v>
      </c>
      <c r="AG214" s="173"/>
      <c r="AI214" s="384"/>
      <c r="AJ214" s="383">
        <v>30020000</v>
      </c>
    </row>
    <row r="215" spans="1:36" ht="24.75" customHeight="1">
      <c r="A215" s="187" t="s">
        <v>1765</v>
      </c>
      <c r="B215" s="187">
        <v>180749</v>
      </c>
      <c r="C215" s="230" t="s">
        <v>995</v>
      </c>
      <c r="D215" s="2" t="s">
        <v>58</v>
      </c>
      <c r="E215" s="189">
        <v>46104</v>
      </c>
      <c r="K215" s="2" t="s">
        <v>60</v>
      </c>
      <c r="L215" s="2" t="s">
        <v>45</v>
      </c>
      <c r="M215" s="2" t="s">
        <v>46</v>
      </c>
      <c r="N215" s="2" t="s">
        <v>47</v>
      </c>
      <c r="O215" s="2" t="s">
        <v>1766</v>
      </c>
      <c r="P215" s="288"/>
      <c r="Q215" s="296" t="s">
        <v>1224</v>
      </c>
      <c r="R215" s="389" t="s">
        <v>1767</v>
      </c>
      <c r="S215" s="387" t="s">
        <v>1768</v>
      </c>
      <c r="T215" s="14" t="s">
        <v>76</v>
      </c>
      <c r="U215" s="2" t="str">
        <f>VLOOKUP('IMPO TERR'!T215,'Matriz datos'!$J$2:$K$10,2,0)</f>
        <v>AV. PDTE. EDUARDO FREI 8301, QUILICURA</v>
      </c>
      <c r="V215" s="384" t="s">
        <v>1769</v>
      </c>
      <c r="W215" s="66" t="s">
        <v>1770</v>
      </c>
      <c r="Z215" s="371">
        <v>2605151611</v>
      </c>
      <c r="AB215" s="384"/>
      <c r="AC215" s="408"/>
      <c r="AD215" s="2" t="s">
        <v>1489</v>
      </c>
      <c r="AE215" s="2">
        <v>4090180749</v>
      </c>
      <c r="AI215" s="384"/>
      <c r="AJ215" s="383">
        <v>20600000</v>
      </c>
    </row>
    <row r="216" spans="1:36" ht="24.75" customHeight="1">
      <c r="A216" s="187" t="s">
        <v>1771</v>
      </c>
      <c r="B216" s="187">
        <v>180750</v>
      </c>
      <c r="C216" s="230" t="s">
        <v>935</v>
      </c>
      <c r="D216" s="2" t="s">
        <v>58</v>
      </c>
      <c r="E216" s="189">
        <v>46104</v>
      </c>
      <c r="K216" s="2" t="s">
        <v>60</v>
      </c>
      <c r="L216" s="2" t="s">
        <v>45</v>
      </c>
      <c r="M216" s="2" t="s">
        <v>46</v>
      </c>
      <c r="N216" s="2" t="s">
        <v>47</v>
      </c>
      <c r="O216" s="2" t="s">
        <v>1772</v>
      </c>
      <c r="P216" s="288">
        <v>48276</v>
      </c>
      <c r="Q216" s="296" t="s">
        <v>1224</v>
      </c>
      <c r="R216" s="389" t="s">
        <v>1773</v>
      </c>
      <c r="S216" s="387" t="s">
        <v>1774</v>
      </c>
      <c r="T216" s="14" t="s">
        <v>76</v>
      </c>
      <c r="U216" s="2" t="str">
        <f>VLOOKUP('IMPO TERR'!T216,'Matriz datos'!$J$2:$K$10,2,0)</f>
        <v>AV. PDTE. EDUARDO FREI 8301, QUILICURA</v>
      </c>
      <c r="V216" s="384" t="s">
        <v>1775</v>
      </c>
      <c r="W216" s="66" t="s">
        <v>1776</v>
      </c>
      <c r="X216" s="366" t="s">
        <v>1777</v>
      </c>
      <c r="Z216" s="43">
        <v>2605150302</v>
      </c>
      <c r="AA216" s="15">
        <v>2605153281</v>
      </c>
      <c r="AB216" s="419">
        <v>46108</v>
      </c>
      <c r="AC216" s="18" t="s">
        <v>1778</v>
      </c>
      <c r="AD216" s="12" t="s">
        <v>1489</v>
      </c>
      <c r="AE216" s="2">
        <v>4090180750</v>
      </c>
      <c r="AG216" s="14" t="s">
        <v>58</v>
      </c>
      <c r="AH216" s="14" t="s">
        <v>58</v>
      </c>
      <c r="AI216" s="384"/>
      <c r="AJ216" s="383">
        <v>20610000</v>
      </c>
    </row>
    <row r="217" spans="1:36" ht="24.75" customHeight="1">
      <c r="A217" s="187" t="s">
        <v>1779</v>
      </c>
      <c r="B217" s="187">
        <v>180751</v>
      </c>
      <c r="C217" s="230" t="s">
        <v>995</v>
      </c>
      <c r="D217" s="2" t="s">
        <v>58</v>
      </c>
      <c r="E217" s="189">
        <v>46104</v>
      </c>
      <c r="K217" s="2" t="s">
        <v>60</v>
      </c>
      <c r="L217" s="2" t="s">
        <v>45</v>
      </c>
      <c r="M217" s="2" t="s">
        <v>46</v>
      </c>
      <c r="N217" s="2" t="s">
        <v>47</v>
      </c>
      <c r="O217" s="2" t="s">
        <v>1780</v>
      </c>
      <c r="P217" s="288"/>
      <c r="Q217" s="296" t="s">
        <v>247</v>
      </c>
      <c r="R217" s="389" t="s">
        <v>1781</v>
      </c>
      <c r="S217" s="387" t="s">
        <v>1782</v>
      </c>
      <c r="T217" s="14" t="s">
        <v>450</v>
      </c>
      <c r="U217" s="2" t="str">
        <f>VLOOKUP('IMPO TERR'!T217,'Matriz datos'!$J$2:$K$10,2,0)</f>
        <v>CORDILLERA 451, QUILICURA</v>
      </c>
      <c r="V217" s="384" t="s">
        <v>1783</v>
      </c>
      <c r="W217" s="66" t="s">
        <v>1784</v>
      </c>
      <c r="X217" s="64" t="s">
        <v>1785</v>
      </c>
      <c r="Z217" s="257">
        <v>2605145184</v>
      </c>
      <c r="AA217" s="9">
        <v>2605147036</v>
      </c>
      <c r="AB217" s="384"/>
      <c r="AC217" s="403"/>
      <c r="AD217" s="22">
        <v>46106</v>
      </c>
      <c r="AE217" s="43">
        <v>4090180751</v>
      </c>
      <c r="AI217" s="384"/>
      <c r="AJ217" s="383">
        <v>18630000</v>
      </c>
    </row>
    <row r="218" spans="1:36" ht="24.75" customHeight="1">
      <c r="A218" s="187" t="s">
        <v>1786</v>
      </c>
      <c r="B218" s="187">
        <v>180760</v>
      </c>
      <c r="C218" s="230" t="s">
        <v>935</v>
      </c>
      <c r="D218" s="2" t="s">
        <v>58</v>
      </c>
      <c r="E218" s="189">
        <v>46104</v>
      </c>
      <c r="K218" s="2" t="s">
        <v>44</v>
      </c>
      <c r="L218" s="2" t="s">
        <v>61</v>
      </c>
      <c r="M218" s="2" t="s">
        <v>46</v>
      </c>
      <c r="N218" s="2" t="s">
        <v>47</v>
      </c>
      <c r="O218" s="2" t="s">
        <v>1787</v>
      </c>
      <c r="P218" s="288">
        <v>47868</v>
      </c>
      <c r="Q218" s="296" t="s">
        <v>99</v>
      </c>
      <c r="R218" s="397" t="s">
        <v>1788</v>
      </c>
      <c r="S218" s="387" t="s">
        <v>1789</v>
      </c>
      <c r="T218" s="14" t="s">
        <v>441</v>
      </c>
      <c r="U218" s="2" t="str">
        <f>VLOOKUP('IMPO TERR'!T218,'Matriz datos'!$J$2:$K$10,2,0)</f>
        <v>CAMINO LO AGUIRRE SUR 537, PUDAHUEL </v>
      </c>
      <c r="V218" s="384" t="s">
        <v>1790</v>
      </c>
      <c r="W218" s="66" t="s">
        <v>1791</v>
      </c>
      <c r="X218" s="13"/>
      <c r="Z218" s="369">
        <v>2605153085</v>
      </c>
      <c r="AB218" s="407">
        <v>46107</v>
      </c>
      <c r="AC218" s="390">
        <v>46108</v>
      </c>
      <c r="AD218" s="2" t="s">
        <v>1489</v>
      </c>
      <c r="AE218" s="2">
        <v>4090180760</v>
      </c>
      <c r="AG218" s="14" t="s">
        <v>58</v>
      </c>
      <c r="AH218" s="14" t="s">
        <v>58</v>
      </c>
      <c r="AI218" s="384"/>
      <c r="AJ218" s="384"/>
    </row>
    <row r="219" spans="1:36" ht="24.75" customHeight="1">
      <c r="A219" s="187" t="s">
        <v>1792</v>
      </c>
      <c r="B219" s="187">
        <v>180776</v>
      </c>
      <c r="C219" s="230" t="s">
        <v>935</v>
      </c>
      <c r="D219" s="2" t="s">
        <v>58</v>
      </c>
      <c r="E219" s="189">
        <v>46104</v>
      </c>
      <c r="K219" s="2" t="s">
        <v>60</v>
      </c>
      <c r="L219" s="2" t="s">
        <v>61</v>
      </c>
      <c r="M219" s="2" t="s">
        <v>46</v>
      </c>
      <c r="N219" s="2" t="s">
        <v>47</v>
      </c>
      <c r="O219" s="2" t="s">
        <v>1793</v>
      </c>
      <c r="P219" s="288">
        <v>48202</v>
      </c>
      <c r="Q219" s="296" t="s">
        <v>99</v>
      </c>
      <c r="R219" s="389" t="s">
        <v>1794</v>
      </c>
      <c r="S219" s="387" t="s">
        <v>1795</v>
      </c>
      <c r="T219" s="14" t="s">
        <v>450</v>
      </c>
      <c r="U219" s="2" t="str">
        <f>VLOOKUP('IMPO TERR'!T219,'Matriz datos'!$J$2:$K$10,2,0)</f>
        <v>CORDILLERA 451, QUILICURA</v>
      </c>
      <c r="V219" s="384" t="s">
        <v>1796</v>
      </c>
      <c r="W219" s="327" t="s">
        <v>1797</v>
      </c>
      <c r="X219" s="370" t="s">
        <v>1798</v>
      </c>
      <c r="Z219" s="369">
        <v>2605153102</v>
      </c>
      <c r="AB219" s="46">
        <v>46108</v>
      </c>
      <c r="AC219" s="390">
        <v>46109</v>
      </c>
      <c r="AD219" s="2" t="s">
        <v>1489</v>
      </c>
      <c r="AE219" s="2">
        <v>4090180776</v>
      </c>
      <c r="AG219" s="14" t="s">
        <v>58</v>
      </c>
      <c r="AH219" s="14" t="s">
        <v>58</v>
      </c>
      <c r="AI219" s="384"/>
      <c r="AJ219" s="383">
        <v>6320000</v>
      </c>
    </row>
    <row r="220" spans="1:36" ht="24.75" customHeight="1">
      <c r="A220" s="187" t="s">
        <v>1799</v>
      </c>
      <c r="B220" s="187">
        <v>180783</v>
      </c>
      <c r="C220" s="230" t="s">
        <v>995</v>
      </c>
      <c r="D220" s="2" t="s">
        <v>58</v>
      </c>
      <c r="E220" s="189">
        <v>46105</v>
      </c>
      <c r="K220" s="2" t="s">
        <v>44</v>
      </c>
      <c r="L220" s="2" t="s">
        <v>45</v>
      </c>
      <c r="M220" s="2" t="s">
        <v>46</v>
      </c>
      <c r="N220" s="2" t="s">
        <v>47</v>
      </c>
      <c r="O220" s="2" t="s">
        <v>1800</v>
      </c>
      <c r="P220" s="288"/>
      <c r="Q220" s="329" t="s">
        <v>126</v>
      </c>
      <c r="R220" s="384" t="s">
        <v>1801</v>
      </c>
      <c r="S220" s="399" t="s">
        <v>1802</v>
      </c>
      <c r="T220" s="14" t="s">
        <v>102</v>
      </c>
      <c r="U220" s="2" t="str">
        <f>VLOOKUP('IMPO TERR'!T220,'Matriz datos'!$J$2:$K$10,2,0)</f>
        <v>AV. AMERICO VESPUCIO 0350, QUILICURA</v>
      </c>
      <c r="V220" s="384" t="s">
        <v>1803</v>
      </c>
      <c r="W220" s="66" t="s">
        <v>1804</v>
      </c>
      <c r="X220" s="251"/>
      <c r="Z220" s="321"/>
      <c r="AB220" s="392"/>
      <c r="AC220" s="390"/>
      <c r="AD220" s="2" t="s">
        <v>1489</v>
      </c>
      <c r="AE220" s="2">
        <v>4090180783</v>
      </c>
      <c r="AI220" s="384"/>
      <c r="AJ220" s="383">
        <v>27210000</v>
      </c>
    </row>
    <row r="221" spans="1:36" ht="24.75" customHeight="1">
      <c r="A221" s="187" t="s">
        <v>1805</v>
      </c>
      <c r="B221" s="187">
        <v>180787</v>
      </c>
      <c r="C221" s="230" t="s">
        <v>995</v>
      </c>
      <c r="D221" s="2" t="s">
        <v>58</v>
      </c>
      <c r="E221" s="189">
        <v>46105</v>
      </c>
      <c r="K221" s="2" t="s">
        <v>60</v>
      </c>
      <c r="L221" s="2" t="s">
        <v>61</v>
      </c>
      <c r="M221" s="2" t="s">
        <v>46</v>
      </c>
      <c r="N221" s="2" t="s">
        <v>47</v>
      </c>
      <c r="O221" s="2" t="s">
        <v>1806</v>
      </c>
      <c r="P221" s="288"/>
      <c r="Q221" s="296" t="s">
        <v>777</v>
      </c>
      <c r="R221" s="400" t="s">
        <v>1807</v>
      </c>
      <c r="S221" s="387" t="s">
        <v>1808</v>
      </c>
      <c r="T221" s="14" t="s">
        <v>450</v>
      </c>
      <c r="U221" s="2" t="str">
        <f>VLOOKUP('IMPO TERR'!T221,'Matriz datos'!$J$2:$K$10,2,0)</f>
        <v>CORDILLERA 451, QUILICURA</v>
      </c>
      <c r="V221" s="384" t="s">
        <v>1809</v>
      </c>
      <c r="W221" s="66" t="s">
        <v>1810</v>
      </c>
      <c r="X221" s="64" t="s">
        <v>1811</v>
      </c>
      <c r="Z221" s="43">
        <v>2605147559</v>
      </c>
      <c r="AA221" s="346" t="s">
        <v>1812</v>
      </c>
      <c r="AB221" s="384"/>
      <c r="AC221" s="390"/>
      <c r="AD221" s="22">
        <v>46107</v>
      </c>
      <c r="AE221" s="2">
        <v>4090180787</v>
      </c>
      <c r="AI221" s="384"/>
      <c r="AJ221" s="383">
        <v>6620000</v>
      </c>
    </row>
    <row r="222" spans="1:36" ht="24.75" customHeight="1">
      <c r="A222" s="187" t="s">
        <v>1813</v>
      </c>
      <c r="B222" s="187">
        <v>180788</v>
      </c>
      <c r="C222" s="230" t="s">
        <v>995</v>
      </c>
      <c r="D222" s="2" t="s">
        <v>58</v>
      </c>
      <c r="E222" s="189">
        <v>46105</v>
      </c>
      <c r="K222" s="2" t="s">
        <v>44</v>
      </c>
      <c r="L222" s="2" t="s">
        <v>61</v>
      </c>
      <c r="M222" s="2" t="s">
        <v>46</v>
      </c>
      <c r="N222" s="2" t="s">
        <v>47</v>
      </c>
      <c r="O222" s="2" t="s">
        <v>1814</v>
      </c>
      <c r="P222" s="288"/>
      <c r="Q222" s="296" t="s">
        <v>1224</v>
      </c>
      <c r="R222" s="389"/>
      <c r="S222" s="387"/>
      <c r="T222" s="14" t="s">
        <v>76</v>
      </c>
      <c r="U222" s="2" t="str">
        <f>VLOOKUP('IMPO TERR'!T222,'Matriz datos'!$J$2:$K$10,2,0)</f>
        <v>AV. PDTE. EDUARDO FREI 8301, QUILICURA</v>
      </c>
      <c r="V222" s="384"/>
      <c r="Z222" s="225"/>
      <c r="AB222" s="384"/>
      <c r="AC222" s="390"/>
      <c r="AD222" s="2" t="s">
        <v>1489</v>
      </c>
      <c r="AE222" s="2">
        <v>4090180788</v>
      </c>
      <c r="AI222" s="384"/>
      <c r="AJ222" s="383">
        <v>12330000</v>
      </c>
    </row>
    <row r="223" spans="1:36" ht="24.75" customHeight="1">
      <c r="A223" s="187" t="s">
        <v>1815</v>
      </c>
      <c r="B223" s="187">
        <v>180789</v>
      </c>
      <c r="C223" s="230" t="s">
        <v>995</v>
      </c>
      <c r="D223" s="2" t="s">
        <v>58</v>
      </c>
      <c r="E223" s="189">
        <v>46105</v>
      </c>
      <c r="K223" s="2" t="s">
        <v>44</v>
      </c>
      <c r="L223" s="2" t="s">
        <v>61</v>
      </c>
      <c r="M223" s="2" t="s">
        <v>46</v>
      </c>
      <c r="N223" s="2" t="s">
        <v>47</v>
      </c>
      <c r="O223" s="2" t="s">
        <v>1816</v>
      </c>
      <c r="P223" s="288"/>
      <c r="Q223" s="296" t="s">
        <v>1224</v>
      </c>
      <c r="R223" s="389"/>
      <c r="S223" s="387"/>
      <c r="T223" s="14" t="s">
        <v>76</v>
      </c>
      <c r="U223" s="2" t="str">
        <f>VLOOKUP('IMPO TERR'!T223,'Matriz datos'!$J$2:$K$10,2,0)</f>
        <v>AV. PDTE. EDUARDO FREI 8301, QUILICURA</v>
      </c>
      <c r="V223" s="384"/>
      <c r="AB223" s="384"/>
      <c r="AC223" s="390"/>
      <c r="AD223" s="2" t="s">
        <v>1489</v>
      </c>
      <c r="AE223" s="2">
        <v>4090180789</v>
      </c>
      <c r="AI223" s="384"/>
      <c r="AJ223" s="383">
        <v>14750000</v>
      </c>
    </row>
    <row r="224" spans="1:36" ht="24.75" customHeight="1">
      <c r="A224" s="187" t="s">
        <v>1817</v>
      </c>
      <c r="B224" s="187">
        <v>180800</v>
      </c>
      <c r="C224" s="230" t="s">
        <v>995</v>
      </c>
      <c r="D224" s="2" t="s">
        <v>58</v>
      </c>
      <c r="E224" s="189">
        <v>46105</v>
      </c>
      <c r="K224" s="2" t="s">
        <v>60</v>
      </c>
      <c r="L224" s="2" t="s">
        <v>45</v>
      </c>
      <c r="M224" s="2" t="s">
        <v>46</v>
      </c>
      <c r="N224" s="2" t="s">
        <v>47</v>
      </c>
      <c r="O224" s="2" t="s">
        <v>1818</v>
      </c>
      <c r="P224" s="288"/>
      <c r="Q224" s="296" t="s">
        <v>49</v>
      </c>
      <c r="R224" s="389" t="s">
        <v>1819</v>
      </c>
      <c r="S224" s="387" t="s">
        <v>1820</v>
      </c>
      <c r="T224" s="14" t="s">
        <v>102</v>
      </c>
      <c r="U224" s="2" t="str">
        <f>VLOOKUP('IMPO TERR'!T224,'Matriz datos'!$J$2:$K$10,2,0)</f>
        <v>AV. AMERICO VESPUCIO 0350, QUILICURA</v>
      </c>
      <c r="V224" s="384" t="s">
        <v>1821</v>
      </c>
      <c r="W224" s="66" t="s">
        <v>1822</v>
      </c>
      <c r="X224" s="64" t="s">
        <v>1823</v>
      </c>
      <c r="Z224" s="250">
        <v>2605147701</v>
      </c>
      <c r="AA224" s="9">
        <v>2605149575</v>
      </c>
      <c r="AB224" s="384"/>
      <c r="AC224" s="390"/>
      <c r="AD224" s="22">
        <v>46107</v>
      </c>
      <c r="AE224" s="43">
        <v>4090180800</v>
      </c>
      <c r="AI224" s="384"/>
      <c r="AJ224" s="383">
        <v>24440000</v>
      </c>
    </row>
    <row r="225" spans="1:36" ht="24.75" customHeight="1">
      <c r="A225" s="187" t="s">
        <v>1824</v>
      </c>
      <c r="B225" s="187">
        <v>180801</v>
      </c>
      <c r="C225" s="230" t="s">
        <v>995</v>
      </c>
      <c r="D225" s="2" t="s">
        <v>58</v>
      </c>
      <c r="E225" s="189">
        <v>46105</v>
      </c>
      <c r="K225" s="2" t="s">
        <v>44</v>
      </c>
      <c r="L225" s="2" t="s">
        <v>45</v>
      </c>
      <c r="M225" s="2" t="s">
        <v>46</v>
      </c>
      <c r="N225" s="2" t="s">
        <v>47</v>
      </c>
      <c r="O225" s="2" t="s">
        <v>1825</v>
      </c>
      <c r="P225" s="288"/>
      <c r="Q225" s="296" t="s">
        <v>49</v>
      </c>
      <c r="R225" s="389" t="s">
        <v>1826</v>
      </c>
      <c r="S225" s="387" t="s">
        <v>1827</v>
      </c>
      <c r="U225" s="2" t="e">
        <f>VLOOKUP('IMPO TERR'!T225,'Matriz datos'!$J$2:$K$10,2,0)</f>
        <v>#N/A</v>
      </c>
      <c r="V225" s="384" t="s">
        <v>1828</v>
      </c>
      <c r="W225" s="66" t="s">
        <v>1829</v>
      </c>
      <c r="Z225" s="427">
        <v>2605153218</v>
      </c>
      <c r="AA225" s="15"/>
      <c r="AB225" s="384"/>
      <c r="AC225" s="390"/>
      <c r="AD225" s="2" t="s">
        <v>1489</v>
      </c>
      <c r="AE225">
        <v>4090180801</v>
      </c>
      <c r="AI225" s="384"/>
      <c r="AJ225" s="383">
        <v>27040000</v>
      </c>
    </row>
    <row r="226" spans="1:36" ht="24.75" customHeight="1">
      <c r="A226" s="187" t="s">
        <v>1830</v>
      </c>
      <c r="B226" s="187">
        <v>180802</v>
      </c>
      <c r="C226" s="230" t="s">
        <v>995</v>
      </c>
      <c r="D226" s="2" t="s">
        <v>58</v>
      </c>
      <c r="E226" s="189">
        <v>46105</v>
      </c>
      <c r="K226" s="2" t="s">
        <v>44</v>
      </c>
      <c r="L226" s="2" t="s">
        <v>61</v>
      </c>
      <c r="M226" s="2" t="s">
        <v>46</v>
      </c>
      <c r="N226" s="2" t="s">
        <v>47</v>
      </c>
      <c r="O226" s="2" t="s">
        <v>1831</v>
      </c>
      <c r="P226" s="288"/>
      <c r="Q226" s="296" t="s">
        <v>1224</v>
      </c>
      <c r="R226" s="389"/>
      <c r="S226" s="387"/>
      <c r="U226" s="2" t="e">
        <f>VLOOKUP('IMPO TERR'!T226,'Matriz datos'!$J$2:$K$10,2,0)</f>
        <v>#N/A</v>
      </c>
      <c r="V226" s="384"/>
      <c r="Z226" s="225"/>
      <c r="AA226" s="321"/>
      <c r="AB226" s="384"/>
      <c r="AC226" s="390"/>
      <c r="AD226" s="2" t="s">
        <v>1489</v>
      </c>
      <c r="AE226" s="2">
        <v>4090180802</v>
      </c>
      <c r="AI226" s="384"/>
      <c r="AJ226" s="383">
        <v>27400000</v>
      </c>
    </row>
    <row r="227" spans="1:36" ht="24.75" customHeight="1">
      <c r="A227" s="187" t="s">
        <v>1832</v>
      </c>
      <c r="B227" s="187">
        <v>180806</v>
      </c>
      <c r="C227" s="230" t="s">
        <v>995</v>
      </c>
      <c r="D227" s="2" t="s">
        <v>58</v>
      </c>
      <c r="E227" s="189">
        <v>46105</v>
      </c>
      <c r="K227" s="2" t="s">
        <v>44</v>
      </c>
      <c r="L227" s="2" t="s">
        <v>45</v>
      </c>
      <c r="M227" s="2" t="s">
        <v>46</v>
      </c>
      <c r="N227" s="2" t="s">
        <v>47</v>
      </c>
      <c r="O227" s="2" t="s">
        <v>1833</v>
      </c>
      <c r="P227" s="288"/>
      <c r="Q227" s="296" t="s">
        <v>49</v>
      </c>
      <c r="R227" s="397" t="s">
        <v>1834</v>
      </c>
      <c r="S227" s="387" t="s">
        <v>1835</v>
      </c>
      <c r="T227" s="14" t="s">
        <v>76</v>
      </c>
      <c r="U227" s="2" t="str">
        <f>VLOOKUP('IMPO TERR'!T227,'Matriz datos'!$J$2:$K$10,2,0)</f>
        <v>AV. PDTE. EDUARDO FREI 8301, QUILICURA</v>
      </c>
      <c r="V227" s="384" t="s">
        <v>1836</v>
      </c>
      <c r="W227" s="66" t="s">
        <v>1837</v>
      </c>
      <c r="Z227" s="369">
        <v>2605151444</v>
      </c>
      <c r="AA227" s="395">
        <v>2605153288</v>
      </c>
      <c r="AB227" s="389"/>
      <c r="AC227" s="390"/>
      <c r="AD227" s="2" t="s">
        <v>1489</v>
      </c>
      <c r="AE227" s="2">
        <v>4090180806</v>
      </c>
      <c r="AI227" s="384"/>
      <c r="AJ227" s="383">
        <v>27070000</v>
      </c>
    </row>
    <row r="228" spans="1:36" ht="24.75" customHeight="1">
      <c r="A228" s="187" t="s">
        <v>1838</v>
      </c>
      <c r="B228" s="187">
        <v>180811</v>
      </c>
      <c r="C228" s="230" t="s">
        <v>995</v>
      </c>
      <c r="D228" s="2" t="s">
        <v>58</v>
      </c>
      <c r="E228" s="189">
        <v>46105</v>
      </c>
      <c r="K228" s="2" t="s">
        <v>60</v>
      </c>
      <c r="L228" s="2" t="s">
        <v>61</v>
      </c>
      <c r="M228" s="2" t="s">
        <v>46</v>
      </c>
      <c r="N228" s="2" t="s">
        <v>47</v>
      </c>
      <c r="O228" s="2" t="s">
        <v>1839</v>
      </c>
      <c r="P228" s="288"/>
      <c r="Q228" s="329" t="s">
        <v>63</v>
      </c>
      <c r="R228" s="217" t="s">
        <v>525</v>
      </c>
      <c r="S228" s="399" t="s">
        <v>526</v>
      </c>
      <c r="T228" s="14" t="s">
        <v>102</v>
      </c>
      <c r="U228" s="2" t="str">
        <f>VLOOKUP('IMPO TERR'!T228,'Matriz datos'!$J$2:$K$10,2,0)</f>
        <v>AV. AMERICO VESPUCIO 0350, QUILICURA</v>
      </c>
      <c r="V228" s="384" t="s">
        <v>1840</v>
      </c>
      <c r="W228" s="332" t="s">
        <v>1841</v>
      </c>
      <c r="X228" s="64" t="s">
        <v>1842</v>
      </c>
      <c r="Z228" s="360">
        <v>2605147809</v>
      </c>
      <c r="AA228" s="225">
        <v>2605151397</v>
      </c>
      <c r="AB228" s="384"/>
      <c r="AC228" s="390"/>
      <c r="AD228" s="22">
        <v>46107</v>
      </c>
      <c r="AE228" s="43">
        <v>4090180811</v>
      </c>
      <c r="AI228" s="384"/>
      <c r="AJ228" s="383">
        <v>6730000</v>
      </c>
    </row>
    <row r="229" spans="1:36" ht="24.75" customHeight="1">
      <c r="A229" s="187" t="s">
        <v>1843</v>
      </c>
      <c r="B229" s="187">
        <v>180831</v>
      </c>
      <c r="C229" s="230" t="s">
        <v>995</v>
      </c>
      <c r="D229" s="2" t="s">
        <v>58</v>
      </c>
      <c r="E229" s="189">
        <v>46106</v>
      </c>
      <c r="K229" s="2" t="s">
        <v>60</v>
      </c>
      <c r="L229" s="2" t="s">
        <v>45</v>
      </c>
      <c r="M229" s="2" t="s">
        <v>46</v>
      </c>
      <c r="N229" s="2" t="s">
        <v>47</v>
      </c>
      <c r="O229" s="2" t="s">
        <v>1844</v>
      </c>
      <c r="P229" s="288"/>
      <c r="Q229" s="329" t="s">
        <v>247</v>
      </c>
      <c r="R229" s="284" t="s">
        <v>1845</v>
      </c>
      <c r="S229" s="399" t="s">
        <v>1846</v>
      </c>
      <c r="T229" s="14" t="s">
        <v>102</v>
      </c>
      <c r="U229" s="2" t="str">
        <f>VLOOKUP('IMPO TERR'!T229,'Matriz datos'!$J$2:$K$10,2,0)</f>
        <v>AV. AMERICO VESPUCIO 0350, QUILICURA</v>
      </c>
      <c r="V229" s="387" t="s">
        <v>1847</v>
      </c>
      <c r="W229" s="382" t="s">
        <v>1848</v>
      </c>
      <c r="AB229" s="384"/>
      <c r="AC229" s="390"/>
      <c r="AD229" s="2" t="s">
        <v>1489</v>
      </c>
      <c r="AE229" s="2">
        <v>4090180831</v>
      </c>
      <c r="AI229" s="384"/>
      <c r="AJ229" s="383">
        <v>14220000</v>
      </c>
    </row>
    <row r="230" spans="1:36" ht="24.75" customHeight="1">
      <c r="A230" s="187" t="s">
        <v>1849</v>
      </c>
      <c r="B230" s="187">
        <v>180835</v>
      </c>
      <c r="C230" s="230" t="s">
        <v>995</v>
      </c>
      <c r="D230" s="2" t="s">
        <v>58</v>
      </c>
      <c r="E230" s="189">
        <v>46106</v>
      </c>
      <c r="K230" s="2" t="s">
        <v>44</v>
      </c>
      <c r="L230" s="2" t="s">
        <v>45</v>
      </c>
      <c r="M230" s="2" t="s">
        <v>46</v>
      </c>
      <c r="N230" s="2" t="s">
        <v>47</v>
      </c>
      <c r="O230" s="2" t="s">
        <v>1850</v>
      </c>
      <c r="P230" s="288"/>
      <c r="Q230" s="329" t="s">
        <v>49</v>
      </c>
      <c r="R230" s="284" t="s">
        <v>1851</v>
      </c>
      <c r="S230" s="399" t="s">
        <v>1852</v>
      </c>
      <c r="T230" s="14" t="s">
        <v>76</v>
      </c>
      <c r="U230" s="2" t="str">
        <f>VLOOKUP('IMPO TERR'!T230,'Matriz datos'!$J$2:$K$10,2,0)</f>
        <v>AV. PDTE. EDUARDO FREI 8301, QUILICURA</v>
      </c>
      <c r="V230" s="384" t="s">
        <v>1853</v>
      </c>
      <c r="W230" s="333" t="s">
        <v>1854</v>
      </c>
      <c r="X230" s="64" t="s">
        <v>1855</v>
      </c>
      <c r="AB230" s="384"/>
      <c r="AC230" s="390"/>
      <c r="AD230" s="2" t="s">
        <v>1489</v>
      </c>
      <c r="AE230" s="2">
        <v>4090180835</v>
      </c>
      <c r="AI230" s="384"/>
      <c r="AJ230" s="383">
        <v>27440000</v>
      </c>
    </row>
    <row r="231" spans="1:36" ht="24.75" customHeight="1">
      <c r="A231" s="187" t="s">
        <v>1856</v>
      </c>
      <c r="B231" s="187">
        <v>180836</v>
      </c>
      <c r="C231" s="230" t="s">
        <v>995</v>
      </c>
      <c r="D231" s="2" t="s">
        <v>58</v>
      </c>
      <c r="E231" s="189">
        <v>46106</v>
      </c>
      <c r="K231" s="2" t="s">
        <v>60</v>
      </c>
      <c r="L231" s="2" t="s">
        <v>45</v>
      </c>
      <c r="M231" s="2" t="s">
        <v>46</v>
      </c>
      <c r="N231" s="2" t="s">
        <v>47</v>
      </c>
      <c r="O231" s="2" t="s">
        <v>1857</v>
      </c>
      <c r="P231" s="288"/>
      <c r="Q231" s="329" t="s">
        <v>1530</v>
      </c>
      <c r="R231" s="284" t="s">
        <v>1858</v>
      </c>
      <c r="S231" s="41" t="s">
        <v>1859</v>
      </c>
      <c r="T231" s="14" t="s">
        <v>102</v>
      </c>
      <c r="U231" s="2" t="str">
        <f>VLOOKUP('IMPO TERR'!T231,'Matriz datos'!$J$2:$K$10,2,0)</f>
        <v>AV. AMERICO VESPUCIO 0350, QUILICURA</v>
      </c>
      <c r="V231" s="384" t="s">
        <v>1860</v>
      </c>
      <c r="W231" s="66" t="s">
        <v>1861</v>
      </c>
      <c r="AB231" s="384"/>
      <c r="AC231" s="390"/>
      <c r="AD231" s="2" t="s">
        <v>1489</v>
      </c>
      <c r="AE231" s="2">
        <v>4090180836</v>
      </c>
      <c r="AI231" s="384"/>
      <c r="AJ231" s="383">
        <v>17330000</v>
      </c>
    </row>
    <row r="232" spans="1:36" ht="24.75" customHeight="1">
      <c r="A232" s="187" t="s">
        <v>1862</v>
      </c>
      <c r="B232" s="187">
        <v>180839</v>
      </c>
      <c r="C232" s="230" t="s">
        <v>995</v>
      </c>
      <c r="D232" s="2" t="s">
        <v>58</v>
      </c>
      <c r="E232" s="189">
        <v>46106</v>
      </c>
      <c r="K232" s="2" t="s">
        <v>44</v>
      </c>
      <c r="L232" s="2" t="s">
        <v>61</v>
      </c>
      <c r="M232" s="2" t="s">
        <v>46</v>
      </c>
      <c r="N232" s="2" t="s">
        <v>47</v>
      </c>
      <c r="O232" s="2" t="s">
        <v>1863</v>
      </c>
      <c r="P232" s="288"/>
      <c r="Q232" s="329" t="s">
        <v>99</v>
      </c>
      <c r="R232" s="284" t="s">
        <v>1864</v>
      </c>
      <c r="S232" s="399" t="s">
        <v>1865</v>
      </c>
      <c r="T232" s="14" t="s">
        <v>1031</v>
      </c>
      <c r="U232" s="2" t="e">
        <f>VLOOKUP('IMPO TERR'!T232,'Matriz datos'!$J$2:$K$10,2,0)</f>
        <v>#N/A</v>
      </c>
      <c r="V232" s="384" t="s">
        <v>1866</v>
      </c>
      <c r="W232" s="66" t="s">
        <v>1867</v>
      </c>
      <c r="AB232" s="384"/>
      <c r="AC232" s="390"/>
      <c r="AD232" s="2" t="s">
        <v>1489</v>
      </c>
      <c r="AE232" s="2">
        <v>4090180839</v>
      </c>
      <c r="AI232" s="384"/>
      <c r="AJ232" s="383">
        <v>27380000</v>
      </c>
    </row>
    <row r="233" spans="1:36" ht="24.75" customHeight="1">
      <c r="A233" s="187" t="s">
        <v>1868</v>
      </c>
      <c r="B233" s="187">
        <v>180845</v>
      </c>
      <c r="C233" s="230" t="s">
        <v>995</v>
      </c>
      <c r="D233" s="2" t="s">
        <v>58</v>
      </c>
      <c r="E233" s="189">
        <v>46107</v>
      </c>
      <c r="K233" s="2" t="s">
        <v>44</v>
      </c>
      <c r="L233" s="2" t="s">
        <v>45</v>
      </c>
      <c r="M233" s="2" t="s">
        <v>46</v>
      </c>
      <c r="N233" s="2" t="s">
        <v>47</v>
      </c>
      <c r="O233" s="2" t="s">
        <v>1869</v>
      </c>
      <c r="P233" s="288"/>
      <c r="Q233" s="329" t="s">
        <v>49</v>
      </c>
      <c r="R233" s="284" t="s">
        <v>1870</v>
      </c>
      <c r="S233" s="399" t="s">
        <v>1871</v>
      </c>
      <c r="T233" s="14" t="s">
        <v>76</v>
      </c>
      <c r="U233" s="2" t="str">
        <f>VLOOKUP('IMPO TERR'!T233,'Matriz datos'!$J$2:$K$10,2,0)</f>
        <v>AV. PDTE. EDUARDO FREI 8301, QUILICURA</v>
      </c>
      <c r="V233" s="384" t="s">
        <v>1872</v>
      </c>
      <c r="W233" s="66" t="s">
        <v>1873</v>
      </c>
      <c r="AB233" s="384"/>
      <c r="AC233" s="390"/>
      <c r="AD233" s="2" t="s">
        <v>1489</v>
      </c>
      <c r="AE233" s="2">
        <v>4090180845</v>
      </c>
      <c r="AI233" s="384"/>
      <c r="AJ233" s="383">
        <v>26930000</v>
      </c>
    </row>
    <row r="234" spans="1:36" ht="24.75" customHeight="1">
      <c r="A234" s="187" t="s">
        <v>1874</v>
      </c>
      <c r="B234" s="187">
        <v>180846</v>
      </c>
      <c r="C234" s="230" t="s">
        <v>995</v>
      </c>
      <c r="D234" s="2" t="s">
        <v>58</v>
      </c>
      <c r="E234" s="189">
        <v>46107</v>
      </c>
      <c r="K234" s="2" t="s">
        <v>44</v>
      </c>
      <c r="L234" s="2" t="s">
        <v>61</v>
      </c>
      <c r="M234" s="2" t="s">
        <v>46</v>
      </c>
      <c r="N234" s="2" t="s">
        <v>47</v>
      </c>
      <c r="O234" s="2" t="s">
        <v>1875</v>
      </c>
      <c r="P234" s="288"/>
      <c r="Q234" s="329" t="s">
        <v>1565</v>
      </c>
      <c r="R234" s="359" t="s">
        <v>1876</v>
      </c>
      <c r="S234" s="399" t="s">
        <v>1877</v>
      </c>
      <c r="T234" s="14" t="s">
        <v>450</v>
      </c>
      <c r="U234" s="2" t="str">
        <f>VLOOKUP('IMPO TERR'!T234,'Matriz datos'!$J$2:$K$10,2,0)</f>
        <v>CORDILLERA 451, QUILICURA</v>
      </c>
      <c r="V234" s="384" t="s">
        <v>1878</v>
      </c>
      <c r="W234" s="66" t="s">
        <v>1879</v>
      </c>
      <c r="AB234" s="384"/>
      <c r="AC234" s="390"/>
      <c r="AD234" s="2" t="s">
        <v>1489</v>
      </c>
      <c r="AE234" s="2">
        <v>4090180846</v>
      </c>
      <c r="AI234" s="384"/>
      <c r="AJ234" s="384"/>
    </row>
    <row r="235" spans="1:36" ht="24.75" customHeight="1">
      <c r="A235" s="187" t="s">
        <v>1880</v>
      </c>
      <c r="B235" s="187">
        <v>180855</v>
      </c>
      <c r="C235" s="230" t="s">
        <v>995</v>
      </c>
      <c r="D235" s="2" t="s">
        <v>58</v>
      </c>
      <c r="E235" s="189">
        <v>46107</v>
      </c>
      <c r="K235" s="2" t="s">
        <v>44</v>
      </c>
      <c r="L235" s="2" t="s">
        <v>45</v>
      </c>
      <c r="M235" s="2" t="s">
        <v>46</v>
      </c>
      <c r="N235" s="2" t="s">
        <v>47</v>
      </c>
      <c r="O235" s="2" t="s">
        <v>1881</v>
      </c>
      <c r="P235" s="288"/>
      <c r="Q235" s="329" t="s">
        <v>49</v>
      </c>
      <c r="R235" s="284" t="s">
        <v>1882</v>
      </c>
      <c r="S235" s="399" t="s">
        <v>1883</v>
      </c>
      <c r="T235" s="14" t="s">
        <v>76</v>
      </c>
      <c r="U235" s="2" t="str">
        <f>VLOOKUP('IMPO TERR'!T235,'Matriz datos'!$J$2:$K$10,2,0)</f>
        <v>AV. PDTE. EDUARDO FREI 8301, QUILICURA</v>
      </c>
      <c r="V235" s="384" t="s">
        <v>1884</v>
      </c>
      <c r="W235" s="76" t="s">
        <v>1885</v>
      </c>
      <c r="AB235" s="384"/>
      <c r="AC235" s="390"/>
      <c r="AD235" s="2" t="s">
        <v>1489</v>
      </c>
      <c r="AE235" s="2">
        <v>4090180855</v>
      </c>
      <c r="AI235" s="384"/>
      <c r="AJ235" s="383">
        <v>26920000</v>
      </c>
    </row>
    <row r="236" spans="1:36" ht="24.75" customHeight="1">
      <c r="A236" s="187" t="s">
        <v>1886</v>
      </c>
      <c r="B236" s="187">
        <v>180856</v>
      </c>
      <c r="C236" s="230" t="s">
        <v>995</v>
      </c>
      <c r="D236" s="2" t="s">
        <v>58</v>
      </c>
      <c r="E236" s="189">
        <v>46107</v>
      </c>
      <c r="K236" s="2" t="s">
        <v>44</v>
      </c>
      <c r="L236" s="2" t="s">
        <v>61</v>
      </c>
      <c r="M236" s="2" t="s">
        <v>46</v>
      </c>
      <c r="N236" s="2" t="s">
        <v>47</v>
      </c>
      <c r="O236" s="2" t="s">
        <v>1887</v>
      </c>
      <c r="P236" s="288"/>
      <c r="Q236" s="329" t="s">
        <v>1224</v>
      </c>
      <c r="R236" s="350" t="s">
        <v>910</v>
      </c>
      <c r="S236" s="399" t="s">
        <v>911</v>
      </c>
      <c r="T236" s="14" t="s">
        <v>76</v>
      </c>
      <c r="U236" s="2" t="str">
        <f>VLOOKUP('IMPO TERR'!T236,'Matriz datos'!$J$2:$K$10,2,0)</f>
        <v>AV. PDTE. EDUARDO FREI 8301, QUILICURA</v>
      </c>
      <c r="V236" s="384"/>
      <c r="Z236" s="321"/>
      <c r="AB236" s="384"/>
      <c r="AC236" s="390"/>
      <c r="AD236" s="2" t="s">
        <v>1489</v>
      </c>
      <c r="AE236" s="2">
        <v>4090180856</v>
      </c>
      <c r="AI236" s="384"/>
      <c r="AJ236" s="383">
        <v>27210000</v>
      </c>
    </row>
    <row r="237" spans="1:36" ht="24.75" customHeight="1">
      <c r="A237" s="187" t="s">
        <v>1888</v>
      </c>
      <c r="B237" s="187">
        <v>180857</v>
      </c>
      <c r="C237" s="230" t="s">
        <v>995</v>
      </c>
      <c r="D237" s="2" t="s">
        <v>58</v>
      </c>
      <c r="E237" s="189">
        <v>46107</v>
      </c>
      <c r="K237" s="2" t="s">
        <v>44</v>
      </c>
      <c r="L237" s="2" t="s">
        <v>280</v>
      </c>
      <c r="M237" s="2" t="s">
        <v>46</v>
      </c>
      <c r="N237" s="2" t="s">
        <v>47</v>
      </c>
      <c r="O237" s="2" t="s">
        <v>1889</v>
      </c>
      <c r="P237" s="288"/>
      <c r="Q237" s="329" t="s">
        <v>282</v>
      </c>
      <c r="R237" s="284" t="s">
        <v>707</v>
      </c>
      <c r="S237" s="399" t="s">
        <v>708</v>
      </c>
      <c r="T237" s="14" t="s">
        <v>76</v>
      </c>
      <c r="U237" s="2" t="str">
        <f>VLOOKUP('IMPO TERR'!T237,'Matriz datos'!$J$2:$K$10,2,0)</f>
        <v>AV. PDTE. EDUARDO FREI 8301, QUILICURA</v>
      </c>
      <c r="V237" s="385" t="s">
        <v>1890</v>
      </c>
      <c r="W237" s="66" t="s">
        <v>1891</v>
      </c>
      <c r="X237" s="13"/>
      <c r="Z237" s="370">
        <v>2605151453</v>
      </c>
      <c r="AA237" s="15">
        <v>2605153333</v>
      </c>
      <c r="AB237" s="384"/>
      <c r="AC237" s="390"/>
      <c r="AD237" s="2" t="s">
        <v>1489</v>
      </c>
      <c r="AE237" s="2">
        <v>4090180857</v>
      </c>
      <c r="AI237" s="384"/>
      <c r="AJ237" s="383">
        <v>30450000</v>
      </c>
    </row>
    <row r="238" spans="1:36" ht="24.75" customHeight="1">
      <c r="A238" s="187" t="s">
        <v>1892</v>
      </c>
      <c r="B238" s="187">
        <v>180858</v>
      </c>
      <c r="C238" s="230" t="s">
        <v>39</v>
      </c>
      <c r="D238" s="377" t="s">
        <v>40</v>
      </c>
      <c r="E238" s="189">
        <v>46107</v>
      </c>
      <c r="K238" s="2" t="s">
        <v>44</v>
      </c>
      <c r="L238" s="2" t="s">
        <v>280</v>
      </c>
      <c r="M238" s="2" t="s">
        <v>46</v>
      </c>
      <c r="N238" s="2" t="s">
        <v>47</v>
      </c>
      <c r="O238" s="2" t="s">
        <v>1893</v>
      </c>
      <c r="P238" s="288" t="s">
        <v>1894</v>
      </c>
      <c r="Q238" s="329" t="s">
        <v>282</v>
      </c>
      <c r="R238" s="284" t="s">
        <v>1895</v>
      </c>
      <c r="S238" s="399" t="s">
        <v>1896</v>
      </c>
      <c r="T238" s="14" t="s">
        <v>76</v>
      </c>
      <c r="U238" s="9" t="str">
        <f>VLOOKUP('IMPO TERR'!T238,'Matriz datos'!$J$2:$K$10,2,0)</f>
        <v>AV. PDTE. EDUARDO FREI 8301, QUILICURA</v>
      </c>
      <c r="V238" s="384" t="s">
        <v>1897</v>
      </c>
      <c r="W238" s="67" t="s">
        <v>1898</v>
      </c>
      <c r="X238" s="43" t="s">
        <v>1899</v>
      </c>
      <c r="Z238" s="372">
        <v>2605150558</v>
      </c>
      <c r="AA238" s="9">
        <v>2605151527</v>
      </c>
      <c r="AB238" s="388">
        <v>46107</v>
      </c>
      <c r="AC238" s="390">
        <v>46108</v>
      </c>
      <c r="AD238" s="2" t="s">
        <v>1489</v>
      </c>
      <c r="AE238" s="2">
        <v>4090180858</v>
      </c>
      <c r="AG238" s="49">
        <v>46109</v>
      </c>
      <c r="AH238" s="49">
        <v>46109</v>
      </c>
      <c r="AI238" s="384"/>
      <c r="AJ238" s="383">
        <v>48930000</v>
      </c>
    </row>
    <row r="239" spans="1:36" ht="24.75" customHeight="1">
      <c r="A239" s="187" t="s">
        <v>1900</v>
      </c>
      <c r="B239" s="187">
        <v>180893</v>
      </c>
      <c r="C239" s="230" t="s">
        <v>935</v>
      </c>
      <c r="D239" s="2" t="s">
        <v>58</v>
      </c>
      <c r="E239" s="189">
        <v>46108</v>
      </c>
      <c r="K239" s="2" t="s">
        <v>44</v>
      </c>
      <c r="L239" s="2" t="s">
        <v>280</v>
      </c>
      <c r="M239" s="2" t="s">
        <v>46</v>
      </c>
      <c r="N239" s="2" t="s">
        <v>47</v>
      </c>
      <c r="O239" s="2" t="s">
        <v>1901</v>
      </c>
      <c r="P239" s="288" t="s">
        <v>1902</v>
      </c>
      <c r="Q239" s="329" t="s">
        <v>509</v>
      </c>
      <c r="R239" s="284" t="s">
        <v>1177</v>
      </c>
      <c r="S239" s="399" t="s">
        <v>1178</v>
      </c>
      <c r="U239" s="2" t="e">
        <f>VLOOKUP('IMPO TERR'!T239,'Matriz datos'!$J$2:$K$10,2,0)</f>
        <v>#N/A</v>
      </c>
      <c r="V239" s="392"/>
      <c r="X239" s="251"/>
      <c r="AB239" s="388">
        <v>46109</v>
      </c>
      <c r="AC239" s="390">
        <v>46109</v>
      </c>
      <c r="AD239" s="2" t="s">
        <v>1489</v>
      </c>
      <c r="AE239" s="2">
        <v>4090180893</v>
      </c>
      <c r="AG239" s="14" t="s">
        <v>58</v>
      </c>
      <c r="AH239" s="14" t="s">
        <v>58</v>
      </c>
      <c r="AI239" s="384"/>
      <c r="AJ239" s="383">
        <v>30520000</v>
      </c>
    </row>
    <row r="240" spans="1:36" ht="24.75" customHeight="1">
      <c r="A240" s="187" t="s">
        <v>1903</v>
      </c>
      <c r="B240" s="187">
        <v>180894</v>
      </c>
      <c r="C240" s="230" t="s">
        <v>995</v>
      </c>
      <c r="D240" s="2" t="s">
        <v>58</v>
      </c>
      <c r="E240" s="189">
        <v>46108</v>
      </c>
      <c r="K240" s="2" t="s">
        <v>44</v>
      </c>
      <c r="L240" s="2" t="s">
        <v>61</v>
      </c>
      <c r="M240" s="2" t="s">
        <v>46</v>
      </c>
      <c r="N240" s="2" t="s">
        <v>47</v>
      </c>
      <c r="O240" s="2" t="s">
        <v>1904</v>
      </c>
      <c r="P240" s="288"/>
      <c r="Q240" s="329" t="s">
        <v>1224</v>
      </c>
      <c r="R240" s="351"/>
      <c r="S240" s="399"/>
      <c r="U240" s="2" t="e">
        <f>VLOOKUP('IMPO TERR'!T240,'Matriz datos'!$J$2:$K$10,2,0)</f>
        <v>#N/A</v>
      </c>
      <c r="V240" s="384"/>
      <c r="AB240" s="384"/>
      <c r="AC240" s="390"/>
      <c r="AD240" s="2" t="s">
        <v>1489</v>
      </c>
      <c r="AE240" s="2">
        <v>4090180894</v>
      </c>
      <c r="AI240" s="384"/>
      <c r="AJ240" s="383">
        <v>27400000</v>
      </c>
    </row>
    <row r="241" spans="1:36" ht="24.75" customHeight="1">
      <c r="A241" s="187" t="s">
        <v>1905</v>
      </c>
      <c r="B241" s="187">
        <v>180895</v>
      </c>
      <c r="C241" s="230" t="s">
        <v>995</v>
      </c>
      <c r="D241" s="2" t="s">
        <v>58</v>
      </c>
      <c r="E241" s="189">
        <v>46108</v>
      </c>
      <c r="K241" s="2" t="s">
        <v>60</v>
      </c>
      <c r="L241" s="2" t="s">
        <v>45</v>
      </c>
      <c r="M241" s="2" t="s">
        <v>46</v>
      </c>
      <c r="N241" s="2" t="s">
        <v>47</v>
      </c>
      <c r="O241" s="2" t="s">
        <v>1906</v>
      </c>
      <c r="P241" s="399"/>
      <c r="Q241" s="330"/>
      <c r="R241" s="351"/>
      <c r="S241" s="399"/>
      <c r="U241" s="2" t="e">
        <f>VLOOKUP('IMPO TERR'!T241,'Matriz datos'!$J$2:$K$10,2,0)</f>
        <v>#N/A</v>
      </c>
      <c r="V241" s="384"/>
      <c r="AB241" s="384"/>
      <c r="AC241" s="390"/>
      <c r="AD241" s="2" t="s">
        <v>1489</v>
      </c>
      <c r="AE241" s="2">
        <v>4090180895</v>
      </c>
      <c r="AI241" s="384"/>
      <c r="AJ241" s="383">
        <v>24090000</v>
      </c>
    </row>
    <row r="242" spans="1:36" ht="24.75" customHeight="1">
      <c r="A242" s="187" t="s">
        <v>1907</v>
      </c>
      <c r="B242" s="187">
        <v>180896</v>
      </c>
      <c r="C242" s="230" t="s">
        <v>995</v>
      </c>
      <c r="D242" s="2" t="s">
        <v>58</v>
      </c>
      <c r="E242" s="189">
        <v>46108</v>
      </c>
      <c r="K242" s="2" t="s">
        <v>44</v>
      </c>
      <c r="L242" s="2" t="s">
        <v>61</v>
      </c>
      <c r="M242" s="2" t="s">
        <v>46</v>
      </c>
      <c r="N242" s="2" t="s">
        <v>47</v>
      </c>
      <c r="O242" s="2" t="s">
        <v>1908</v>
      </c>
      <c r="P242" s="399"/>
      <c r="Q242" s="330" t="s">
        <v>99</v>
      </c>
      <c r="R242" s="351"/>
      <c r="S242" s="399"/>
      <c r="U242" s="2" t="e">
        <f>VLOOKUP('IMPO TERR'!T242,'Matriz datos'!$J$2:$K$10,2,0)</f>
        <v>#N/A</v>
      </c>
      <c r="V242" s="384"/>
      <c r="AB242" s="384"/>
      <c r="AC242" s="390"/>
      <c r="AD242" s="2" t="s">
        <v>1489</v>
      </c>
      <c r="AE242" s="2">
        <v>4090180895</v>
      </c>
      <c r="AI242" s="384"/>
      <c r="AJ242" s="383">
        <v>34090000</v>
      </c>
    </row>
    <row r="243" spans="1:36" ht="24.75" customHeight="1">
      <c r="A243" s="187" t="s">
        <v>1909</v>
      </c>
      <c r="B243" s="187">
        <v>180897</v>
      </c>
      <c r="C243" s="230" t="s">
        <v>995</v>
      </c>
      <c r="D243" s="2" t="s">
        <v>58</v>
      </c>
      <c r="E243" s="189">
        <v>46108</v>
      </c>
      <c r="K243" s="2" t="s">
        <v>44</v>
      </c>
      <c r="L243" s="2" t="s">
        <v>45</v>
      </c>
      <c r="M243" s="2" t="s">
        <v>46</v>
      </c>
      <c r="N243" s="2" t="s">
        <v>47</v>
      </c>
      <c r="O243" s="2" t="s">
        <v>1910</v>
      </c>
      <c r="P243" s="399"/>
      <c r="Q243" s="330" t="s">
        <v>49</v>
      </c>
      <c r="R243" s="358"/>
      <c r="S243" s="399"/>
      <c r="U243" s="2" t="e">
        <f>VLOOKUP('IMPO TERR'!T243,'Matriz datos'!$J$2:$K$10,2,0)</f>
        <v>#N/A</v>
      </c>
      <c r="V243" s="384"/>
      <c r="AB243" s="384"/>
      <c r="AC243" s="390"/>
      <c r="AD243" s="2" t="s">
        <v>1489</v>
      </c>
      <c r="AE243" s="2">
        <v>4090180897</v>
      </c>
      <c r="AI243" s="384"/>
      <c r="AJ243" s="383">
        <v>26030000</v>
      </c>
    </row>
    <row r="244" spans="1:36" ht="24.75" customHeight="1">
      <c r="A244" s="187" t="s">
        <v>1911</v>
      </c>
      <c r="B244" s="187">
        <v>180898</v>
      </c>
      <c r="C244" s="230" t="s">
        <v>995</v>
      </c>
      <c r="D244" s="2" t="s">
        <v>58</v>
      </c>
      <c r="E244" s="189">
        <v>46108</v>
      </c>
      <c r="K244" s="2" t="s">
        <v>60</v>
      </c>
      <c r="L244" s="2" t="s">
        <v>45</v>
      </c>
      <c r="M244" s="2" t="s">
        <v>46</v>
      </c>
      <c r="N244" s="2" t="s">
        <v>47</v>
      </c>
      <c r="O244" s="2" t="s">
        <v>1912</v>
      </c>
      <c r="P244" s="399"/>
      <c r="Q244" s="330" t="s">
        <v>247</v>
      </c>
      <c r="R244" s="384"/>
      <c r="S244" s="399"/>
      <c r="U244" s="2" t="e">
        <f>VLOOKUP('IMPO TERR'!T244,'Matriz datos'!$J$2:$K$10,2,0)</f>
        <v>#N/A</v>
      </c>
      <c r="V244" s="384"/>
      <c r="AB244" s="384"/>
      <c r="AC244" s="390"/>
      <c r="AD244" s="2" t="s">
        <v>1489</v>
      </c>
      <c r="AE244" s="2">
        <v>4090180898</v>
      </c>
      <c r="AI244" s="384"/>
      <c r="AJ244" s="383">
        <v>18370000</v>
      </c>
    </row>
    <row r="245" spans="1:36" ht="24.75" customHeight="1">
      <c r="A245" s="187" t="s">
        <v>1913</v>
      </c>
      <c r="B245" s="187">
        <v>180899</v>
      </c>
      <c r="C245" s="230" t="s">
        <v>995</v>
      </c>
      <c r="D245" s="2" t="s">
        <v>58</v>
      </c>
      <c r="E245" s="189">
        <v>46108</v>
      </c>
      <c r="K245" s="2" t="s">
        <v>60</v>
      </c>
      <c r="L245" s="2" t="s">
        <v>61</v>
      </c>
      <c r="M245" s="2" t="s">
        <v>46</v>
      </c>
      <c r="N245" s="2" t="s">
        <v>47</v>
      </c>
      <c r="P245" s="399"/>
      <c r="R245" s="400"/>
      <c r="S245" s="387"/>
      <c r="U245" s="2" t="e">
        <f>VLOOKUP('IMPO TERR'!T245,'Matriz datos'!$J$2:$K$10,2,0)</f>
        <v>#N/A</v>
      </c>
      <c r="V245" s="384"/>
      <c r="AB245" s="384"/>
      <c r="AC245" s="390"/>
      <c r="AD245" s="2" t="s">
        <v>1489</v>
      </c>
      <c r="AE245" s="2">
        <v>4090180899</v>
      </c>
      <c r="AI245" s="384"/>
      <c r="AJ245" s="383">
        <v>25920000</v>
      </c>
    </row>
    <row r="246" spans="1:36" ht="24.75" customHeight="1">
      <c r="A246" s="187" t="s">
        <v>1914</v>
      </c>
      <c r="B246" s="187">
        <v>180900</v>
      </c>
      <c r="C246" s="230" t="s">
        <v>995</v>
      </c>
      <c r="D246" s="2" t="s">
        <v>58</v>
      </c>
      <c r="E246" s="189">
        <v>46108</v>
      </c>
      <c r="K246" s="2" t="s">
        <v>44</v>
      </c>
      <c r="L246" s="2" t="s">
        <v>61</v>
      </c>
      <c r="M246" s="2" t="s">
        <v>46</v>
      </c>
      <c r="N246" s="2" t="s">
        <v>47</v>
      </c>
      <c r="O246" s="2" t="s">
        <v>1915</v>
      </c>
      <c r="P246" s="399"/>
      <c r="Q246" s="297" t="s">
        <v>1565</v>
      </c>
      <c r="R246" s="389"/>
      <c r="S246" s="387"/>
      <c r="U246" s="2" t="e">
        <f>VLOOKUP('IMPO TERR'!T246,'Matriz datos'!$J$2:$K$10,2,0)</f>
        <v>#N/A</v>
      </c>
      <c r="V246" s="384"/>
      <c r="AB246" s="384"/>
      <c r="AC246" s="390"/>
      <c r="AD246" s="2" t="s">
        <v>1489</v>
      </c>
      <c r="AE246" s="2">
        <v>4090180900</v>
      </c>
      <c r="AI246" s="384"/>
      <c r="AJ246" s="383">
        <v>34620000</v>
      </c>
    </row>
    <row r="247" spans="1:36" ht="24.75" customHeight="1">
      <c r="A247" s="187" t="s">
        <v>1916</v>
      </c>
      <c r="B247" s="187">
        <v>180901</v>
      </c>
      <c r="C247" s="230" t="s">
        <v>995</v>
      </c>
      <c r="D247" s="2" t="s">
        <v>58</v>
      </c>
      <c r="E247" s="189">
        <v>46108</v>
      </c>
      <c r="K247" s="2" t="s">
        <v>60</v>
      </c>
      <c r="L247" s="2" t="s">
        <v>45</v>
      </c>
      <c r="M247" s="2" t="s">
        <v>46</v>
      </c>
      <c r="N247" s="2" t="s">
        <v>47</v>
      </c>
      <c r="O247" s="2" t="s">
        <v>1917</v>
      </c>
      <c r="P247" s="399"/>
      <c r="R247" s="389"/>
      <c r="S247" s="387"/>
      <c r="U247" s="2" t="e">
        <f>VLOOKUP('IMPO TERR'!T247,'Matriz datos'!$J$2:$K$10,2,0)</f>
        <v>#N/A</v>
      </c>
      <c r="V247" s="384"/>
      <c r="AB247" s="384"/>
      <c r="AC247" s="390"/>
      <c r="AD247" s="2" t="s">
        <v>1489</v>
      </c>
      <c r="AE247" s="2">
        <v>4090180901</v>
      </c>
      <c r="AI247" s="384"/>
      <c r="AJ247" s="383">
        <v>20210000</v>
      </c>
    </row>
    <row r="248" spans="1:36" ht="24.75" customHeight="1">
      <c r="A248" s="187" t="s">
        <v>1918</v>
      </c>
      <c r="B248" s="187">
        <v>180914</v>
      </c>
      <c r="C248" s="230" t="s">
        <v>995</v>
      </c>
      <c r="D248" s="2" t="s">
        <v>58</v>
      </c>
      <c r="E248" s="189">
        <v>46108</v>
      </c>
      <c r="K248" s="2" t="s">
        <v>44</v>
      </c>
      <c r="L248" s="2" t="s">
        <v>45</v>
      </c>
      <c r="M248" s="2" t="s">
        <v>46</v>
      </c>
      <c r="N248" s="2" t="s">
        <v>47</v>
      </c>
      <c r="O248" s="2" t="s">
        <v>1919</v>
      </c>
      <c r="P248" s="399"/>
      <c r="Q248" s="297" t="s">
        <v>49</v>
      </c>
      <c r="R248" s="389"/>
      <c r="S248" s="387"/>
      <c r="U248" s="2" t="e">
        <f>VLOOKUP('IMPO TERR'!T248,'Matriz datos'!$J$2:$K$10,2,0)</f>
        <v>#N/A</v>
      </c>
      <c r="V248" s="384"/>
      <c r="AB248" s="384"/>
      <c r="AC248" s="390"/>
      <c r="AD248" s="2" t="s">
        <v>1489</v>
      </c>
      <c r="AE248" s="2">
        <v>4090180914</v>
      </c>
      <c r="AI248" s="384"/>
      <c r="AJ248" s="383">
        <v>25410000</v>
      </c>
    </row>
    <row r="249" spans="1:36" ht="24.75" customHeight="1">
      <c r="A249" s="187" t="s">
        <v>1920</v>
      </c>
      <c r="B249" s="187">
        <v>180915</v>
      </c>
      <c r="C249" s="230" t="s">
        <v>995</v>
      </c>
      <c r="D249" s="2" t="s">
        <v>58</v>
      </c>
      <c r="E249" s="189">
        <v>46108</v>
      </c>
      <c r="K249" s="2" t="s">
        <v>60</v>
      </c>
      <c r="L249" s="2" t="s">
        <v>45</v>
      </c>
      <c r="M249" s="2" t="s">
        <v>46</v>
      </c>
      <c r="N249" s="2" t="s">
        <v>47</v>
      </c>
      <c r="O249" s="2" t="s">
        <v>1921</v>
      </c>
      <c r="P249" s="399"/>
      <c r="Q249" s="297" t="s">
        <v>247</v>
      </c>
      <c r="R249" s="389"/>
      <c r="S249" s="387"/>
      <c r="U249" s="2" t="e">
        <f>VLOOKUP('IMPO TERR'!T249,'Matriz datos'!$J$2:$K$10,2,0)</f>
        <v>#N/A</v>
      </c>
      <c r="V249" s="384"/>
      <c r="AB249" s="384"/>
      <c r="AC249" s="390"/>
      <c r="AD249" s="2" t="s">
        <v>1489</v>
      </c>
      <c r="AE249" s="2">
        <v>4090180915</v>
      </c>
      <c r="AI249" s="384"/>
      <c r="AJ249" s="383">
        <v>16930000</v>
      </c>
    </row>
    <row r="250" spans="1:36" ht="24.75" customHeight="1">
      <c r="A250" s="187" t="s">
        <v>1922</v>
      </c>
      <c r="B250" s="187">
        <v>180916</v>
      </c>
      <c r="C250" s="230" t="s">
        <v>995</v>
      </c>
      <c r="D250" s="2" t="s">
        <v>58</v>
      </c>
      <c r="E250" s="189">
        <v>46108</v>
      </c>
      <c r="K250" s="2" t="s">
        <v>44</v>
      </c>
      <c r="L250" s="2" t="s">
        <v>45</v>
      </c>
      <c r="M250" s="2" t="s">
        <v>46</v>
      </c>
      <c r="N250" s="2" t="s">
        <v>47</v>
      </c>
      <c r="O250" s="2" t="s">
        <v>1923</v>
      </c>
      <c r="P250" s="399"/>
      <c r="Q250" s="297" t="s">
        <v>49</v>
      </c>
      <c r="R250" s="389"/>
      <c r="S250" s="387"/>
      <c r="U250" s="2" t="e">
        <f>VLOOKUP('IMPO TERR'!T250,'Matriz datos'!$J$2:$K$10,2,0)</f>
        <v>#N/A</v>
      </c>
      <c r="V250" s="384"/>
      <c r="AB250" s="384"/>
      <c r="AC250" s="390"/>
      <c r="AD250" s="2" t="s">
        <v>1489</v>
      </c>
      <c r="AE250" s="2">
        <v>4090180916</v>
      </c>
      <c r="AI250" s="384"/>
      <c r="AJ250" s="383">
        <v>26830000</v>
      </c>
    </row>
    <row r="251" spans="1:36" ht="24.75" customHeight="1">
      <c r="A251" s="187" t="s">
        <v>1924</v>
      </c>
      <c r="B251" s="187">
        <v>180921</v>
      </c>
      <c r="C251" s="230" t="s">
        <v>995</v>
      </c>
      <c r="D251" s="2" t="s">
        <v>58</v>
      </c>
      <c r="E251" s="189">
        <v>46108</v>
      </c>
      <c r="K251" s="2" t="s">
        <v>60</v>
      </c>
      <c r="L251" s="2" t="s">
        <v>61</v>
      </c>
      <c r="M251" s="2" t="s">
        <v>46</v>
      </c>
      <c r="N251" s="2" t="s">
        <v>47</v>
      </c>
      <c r="O251" s="2" t="s">
        <v>1925</v>
      </c>
      <c r="P251" s="399"/>
      <c r="Q251" s="297" t="s">
        <v>1565</v>
      </c>
      <c r="R251" s="389"/>
      <c r="S251" s="387"/>
      <c r="U251" s="2" t="e">
        <f>VLOOKUP('IMPO TERR'!T251,'Matriz datos'!$J$2:$K$10,2,0)</f>
        <v>#N/A</v>
      </c>
      <c r="V251" s="384"/>
      <c r="AB251" s="384"/>
      <c r="AC251" s="390"/>
      <c r="AD251" s="2" t="s">
        <v>1489</v>
      </c>
      <c r="AE251" s="2">
        <v>4090180921</v>
      </c>
      <c r="AI251" s="384"/>
      <c r="AJ251" s="383">
        <v>27890000</v>
      </c>
    </row>
    <row r="252" spans="1:36" ht="24.75" customHeight="1">
      <c r="A252" s="187" t="s">
        <v>1926</v>
      </c>
      <c r="B252" s="187">
        <v>180923</v>
      </c>
      <c r="C252" s="230" t="s">
        <v>995</v>
      </c>
      <c r="D252" s="2" t="s">
        <v>58</v>
      </c>
      <c r="E252" s="189">
        <v>46108</v>
      </c>
      <c r="K252" s="2" t="s">
        <v>44</v>
      </c>
      <c r="L252" s="2" t="s">
        <v>61</v>
      </c>
      <c r="M252" s="2" t="s">
        <v>46</v>
      </c>
      <c r="N252" s="2" t="s">
        <v>47</v>
      </c>
      <c r="O252" s="2" t="s">
        <v>1927</v>
      </c>
      <c r="P252" s="399"/>
      <c r="Q252" s="297" t="s">
        <v>99</v>
      </c>
      <c r="R252" s="389"/>
      <c r="S252" s="387"/>
      <c r="U252" s="2" t="e">
        <f>VLOOKUP('IMPO TERR'!T252,'Matriz datos'!$J$2:$K$10,2,0)</f>
        <v>#N/A</v>
      </c>
      <c r="V252" s="384"/>
      <c r="AB252" s="384"/>
      <c r="AC252" s="390"/>
      <c r="AD252" s="2" t="s">
        <v>1489</v>
      </c>
      <c r="AE252" s="2">
        <v>4090180923</v>
      </c>
      <c r="AI252" s="384"/>
      <c r="AJ252" s="383">
        <v>34720000</v>
      </c>
    </row>
    <row r="253" spans="1:36" ht="24.75" customHeight="1">
      <c r="A253" s="187" t="s">
        <v>1928</v>
      </c>
      <c r="B253" s="187">
        <v>180931</v>
      </c>
      <c r="C253" s="230" t="s">
        <v>995</v>
      </c>
      <c r="D253" s="2" t="s">
        <v>58</v>
      </c>
      <c r="E253" s="189">
        <v>46109</v>
      </c>
      <c r="P253" s="399"/>
      <c r="R253" s="389"/>
      <c r="S253" s="387"/>
      <c r="U253" s="2" t="e">
        <f>VLOOKUP('IMPO TERR'!T253,'Matriz datos'!$J$2:$K$10,2,0)</f>
        <v>#N/A</v>
      </c>
      <c r="V253" s="384"/>
      <c r="AB253" s="384"/>
      <c r="AC253" s="390"/>
      <c r="AD253" s="2" t="s">
        <v>1489</v>
      </c>
      <c r="AE253" s="2">
        <v>4090180931</v>
      </c>
      <c r="AI253" s="384"/>
      <c r="AJ253" s="383">
        <v>26310000</v>
      </c>
    </row>
    <row r="254" spans="1:36" ht="24.75" customHeight="1">
      <c r="P254" s="399"/>
      <c r="R254" s="389"/>
      <c r="S254" s="387"/>
      <c r="U254" s="2" t="e">
        <f>VLOOKUP('IMPO TERR'!T254,'Matriz datos'!$J$2:$K$10,2,0)</f>
        <v>#N/A</v>
      </c>
      <c r="V254" s="384"/>
      <c r="AB254" s="384"/>
      <c r="AC254" s="390"/>
      <c r="AD254" s="2" t="s">
        <v>1489</v>
      </c>
      <c r="AI254" s="384"/>
      <c r="AJ254" s="384"/>
    </row>
    <row r="255" spans="1:36" ht="24.75" customHeight="1">
      <c r="P255" s="399"/>
      <c r="R255" s="389"/>
      <c r="S255" s="387"/>
      <c r="U255" s="2" t="e">
        <f>VLOOKUP('IMPO TERR'!T255,'Matriz datos'!$J$2:$K$10,2,0)</f>
        <v>#N/A</v>
      </c>
      <c r="V255" s="384"/>
      <c r="AB255" s="384"/>
      <c r="AC255" s="390"/>
      <c r="AD255" s="2" t="s">
        <v>1489</v>
      </c>
      <c r="AI255" s="384"/>
      <c r="AJ255" s="384"/>
    </row>
    <row r="256" spans="1:36" ht="24.75" customHeight="1">
      <c r="P256" s="399"/>
      <c r="R256" s="389"/>
      <c r="S256" s="387"/>
      <c r="U256" s="2" t="e">
        <f>VLOOKUP('IMPO TERR'!T256,'Matriz datos'!$J$2:$K$10,2,0)</f>
        <v>#N/A</v>
      </c>
      <c r="V256" s="384"/>
      <c r="AB256" s="384"/>
      <c r="AC256" s="390"/>
      <c r="AD256" s="2" t="s">
        <v>1489</v>
      </c>
      <c r="AI256" s="384"/>
      <c r="AJ256" s="384"/>
    </row>
    <row r="257" spans="19:30" ht="24.75" customHeight="1">
      <c r="S257" s="387"/>
      <c r="V257" s="384"/>
      <c r="AB257" s="384"/>
      <c r="AC257" s="390"/>
      <c r="AD257" s="2" t="s">
        <v>1489</v>
      </c>
    </row>
    <row r="258" spans="19:30" ht="24.75" customHeight="1">
      <c r="S258" s="387"/>
      <c r="V258" s="384"/>
      <c r="AB258" s="384"/>
      <c r="AC258" s="390"/>
      <c r="AD258" s="2" t="s">
        <v>1489</v>
      </c>
    </row>
  </sheetData>
  <autoFilter ref="A1:AL225" xr:uid="{B4B03264-199A-4886-857D-303C27604CC4}"/>
  <conditionalFormatting sqref="C1:C1048576">
    <cfRule type="containsText" dxfId="44" priority="14" operator="containsText" text="EN TRANSITO">
      <formula>NOT(ISERROR(SEARCH("EN TRANSITO",C1)))</formula>
    </cfRule>
    <cfRule type="containsText" dxfId="43" priority="15" operator="containsText" text="DESPACHADO">
      <formula>NOT(ISERROR(SEARCH("DESPACHADO",C1)))</formula>
    </cfRule>
    <cfRule type="containsText" dxfId="42" priority="16" operator="containsText" text="LIBERADO">
      <formula>NOT(ISERROR(SEARCH("LIBERADO",C1)))</formula>
    </cfRule>
    <cfRule type="containsText" dxfId="41" priority="17" operator="containsText" text="EN ALMACEN">
      <formula>NOT(ISERROR(SEARCH("EN ALMACEN",C1)))</formula>
    </cfRule>
  </conditionalFormatting>
  <conditionalFormatting sqref="C33">
    <cfRule type="containsText" dxfId="40" priority="1" operator="containsText" text="ARRIBADA EN PUERTO">
      <formula>NOT(ISERROR(SEARCH("ARRIBADA EN PUERTO",C33)))</formula>
    </cfRule>
  </conditionalFormatting>
  <conditionalFormatting sqref="C43">
    <cfRule type="containsText" dxfId="39" priority="13" operator="containsText" text="ARRIBADA EN PUERTO">
      <formula>NOT(ISERROR(SEARCH("ARRIBADA EN PUERTO",C43)))</formula>
    </cfRule>
  </conditionalFormatting>
  <conditionalFormatting sqref="D1:D1048576 AC134:AC141 AC44:AC59 AC62:AC64 AC66:AC68 AC70:AC103 AC106:AC111 AC113:AC120 AC122:AC123 AC125:AC129 AC131 AC143 AC145:AC149 AC151:AC184 AC186:AC203 AC207:AC209 AC211:AC215 AC217:AC1048576">
    <cfRule type="containsText" dxfId="38" priority="12" operator="containsText" text="PENDIENTE">
      <formula>NOT(ISERROR(SEARCH("PENDIENTE",D1)))</formula>
    </cfRule>
  </conditionalFormatting>
  <conditionalFormatting sqref="D1:D1048576">
    <cfRule type="containsText" dxfId="37" priority="11" operator="containsText" text="EMITIDA">
      <formula>NOT(ISERROR(SEARCH("EMITIDA",D1)))</formula>
    </cfRule>
  </conditionalFormatting>
  <conditionalFormatting sqref="E1:E58 E60:E1048576">
    <cfRule type="containsBlanks" dxfId="36" priority="9">
      <formula>LEN(TRIM(E1))=0</formula>
    </cfRule>
  </conditionalFormatting>
  <conditionalFormatting sqref="AB1:AB32 AB34 AB36:AB57 AB60:AB61 AB63:AB66 AB68:AB76 AB78:AB96 AB98 AB100:AB103 AB105:AB108 AB111 AB113 AB115:AB116 AB118:AB121 AB123:AB125 AB128 AB131:AB134 AC135 AB136:AB142 AB144 AB146:AB147 AB149 AB151:AB154 AB156:AB157 AB159:AB161 AB163:AB168 AB170:AB178 AB181:AB185 AB187:AB201 AB203:AB204 AB207:AB218 AB220:AB1048576">
    <cfRule type="containsText" dxfId="35" priority="2" operator="containsText" text="PENDIENTE">
      <formula>NOT(ISERROR(SEARCH("PENDIENTE",AB1)))</formula>
    </cfRule>
  </conditionalFormatting>
  <conditionalFormatting sqref="AC1:AC42">
    <cfRule type="containsText" dxfId="34" priority="3" operator="containsText" text="PENDIENTE">
      <formula>NOT(ISERROR(SEARCH("PENDIENTE",AC1)))</formula>
    </cfRule>
  </conditionalFormatting>
  <conditionalFormatting sqref="AG1:AG10 AG12:AG29 AG31:AG32 AG35:AG39 AG42:AG54 AH56 AG57 AG59 AG61:AG62 AG64:AG69 AG71:AG73 AG75:AG83 AG85 AG88:AG90 AG92:AG93 AG95:AG101 AG103:AG106 AG109:AG112 AG114:AG118 AG120 AG122:AG123 AG125:AG127 AG129 AG131 AG133:AG134 AG136:AG137 AG139:AG153 AG158:AG160 AG162:AG169 AG172:AG173 AG176:AG180 AG182:AG183 AG185:AG189 AG191 AG193:AG197 AG199:AG201 AG203:AG205 AG207:AG211 AG214:AG1048576">
    <cfRule type="containsText" dxfId="33" priority="4" operator="containsText" text="PENDIENTE">
      <formula>NOT(ISERROR(SEARCH("PENDIENTE",AG1)))</formula>
    </cfRule>
  </conditionalFormatting>
  <conditionalFormatting sqref="AH1:AH36 AH38 AH40:AH51 AH53:AH61 AH64:AH72 AH75 AH79:AH84 AH88:AH101 AH103:AH112 AH114 AH116:AH121 AH123:AH127 AH130:AH131 AH133 AH135:AH140 AH142:AH143 AH145 AH147:AH148 AH150:AH154 AH156:AH160 AH162:AH169 AH171:AH182 AH184 AH186:AH189 AH191:AH201 AH203:AH204 AH206:AH210 AH212:AH1048576">
    <cfRule type="containsText" dxfId="32" priority="5" operator="containsText" text="PENDIENTE">
      <formula>NOT(ISERROR(SEARCH("PENDIENTE",AH1)))</formula>
    </cfRule>
  </conditionalFormatting>
  <dataValidations count="4">
    <dataValidation type="list" allowBlank="1" showInputMessage="1" showErrorMessage="1" sqref="K2:K73" xr:uid="{D1BD1D09-B747-4B08-82C5-94745BB3340D}">
      <formula1>TIPO_CARGA</formula1>
    </dataValidation>
    <dataValidation type="list" allowBlank="1" showInputMessage="1" showErrorMessage="1" sqref="M2:M89" xr:uid="{F463F530-7026-4C5B-8F7F-DF9B6A96DD7C}">
      <formula1>TIPO_OPERACION</formula1>
    </dataValidation>
    <dataValidation type="list" allowBlank="1" showInputMessage="1" showErrorMessage="1" sqref="T2:T68" xr:uid="{A2F74B1D-3FE7-4A15-B789-EE1F9572126A}">
      <formula1>cliente</formula1>
    </dataValidation>
    <dataValidation type="list" allowBlank="1" showInputMessage="1" showErrorMessage="1" sqref="C2:C146 C148:C253" xr:uid="{671492A2-47A1-460C-80A9-4A68E2F5AC77}">
      <formula1>CARGA</formula1>
    </dataValidation>
  </dataValidations>
  <hyperlinks>
    <hyperlink ref="D17" r:id="rId1" xr:uid="{18E6E345-A92A-41E0-BFA8-B09C6FE85F89}"/>
    <hyperlink ref="D2" r:id="rId2" xr:uid="{9FADC01C-D246-4315-B06E-D0AD4BEB1C25}"/>
    <hyperlink ref="D22" r:id="rId3" xr:uid="{734E29CE-095B-440F-9BE3-2E6CB7E06101}"/>
    <hyperlink ref="D37" r:id="rId4" xr:uid="{9E0476D6-C2FE-4FAF-9DCE-6ED63F177D8E}"/>
    <hyperlink ref="D12" r:id="rId5" xr:uid="{5828493F-CB51-409D-A3C9-575A39F88F68}"/>
    <hyperlink ref="D48" r:id="rId6" xr:uid="{717B07B2-E5E4-42F3-9882-A78E52A1E64D}"/>
    <hyperlink ref="D46" r:id="rId7" xr:uid="{D65613CF-5B08-45D6-9CDF-B478E14CA18C}"/>
    <hyperlink ref="D54" r:id="rId8" xr:uid="{022E7499-4883-42A0-A3D6-6FFD8C3158BB}"/>
    <hyperlink ref="D26" r:id="rId9" xr:uid="{7E12693C-5297-4CA3-A157-78B9065E2042}"/>
    <hyperlink ref="D32" r:id="rId10" xr:uid="{0C62787C-2CB8-466A-8418-A8C43A5642EC}"/>
    <hyperlink ref="D51" r:id="rId11" xr:uid="{C3C4A867-7A63-4181-A4EA-E05A05497A98}"/>
    <hyperlink ref="D44" r:id="rId12" xr:uid="{290929B5-5B7F-4C6E-857E-90784CFD9398}"/>
    <hyperlink ref="D50" r:id="rId13" xr:uid="{9C2E8051-53A4-47AE-BC0A-11048134885E}"/>
    <hyperlink ref="D35" r:id="rId14" xr:uid="{696D2D2D-EAD8-4C5A-BD79-8F61690D90E9}"/>
    <hyperlink ref="D34" r:id="rId15" xr:uid="{0C6793BB-6C87-4872-BCA2-4A2487E00525}"/>
    <hyperlink ref="D55" r:id="rId16" xr:uid="{2642C1D4-387F-4E60-AD10-B103F8ABBE0D}"/>
    <hyperlink ref="D57" r:id="rId17" xr:uid="{6FDAAF4C-0919-410E-8B0D-132672A26DB6}"/>
    <hyperlink ref="D41" r:id="rId18" xr:uid="{EC59FFE4-93C4-412E-9163-08140BD6C6B2}"/>
    <hyperlink ref="D11" r:id="rId19" xr:uid="{D0065B95-6A33-4AEB-9122-A06814399521}"/>
    <hyperlink ref="D39" r:id="rId20" xr:uid="{C2B6ABE4-2D33-48D3-AE91-DDFEACB9AC28}"/>
    <hyperlink ref="D53" r:id="rId21" xr:uid="{3EAAA9CE-4243-4538-8766-6265CC64ABCA}"/>
    <hyperlink ref="D59" r:id="rId22" xr:uid="{AC14AA7D-F3AD-4124-A238-D6A0D4E5BCF8}"/>
    <hyperlink ref="D58" r:id="rId23" xr:uid="{E7CB86C1-DD01-4FCB-BCA0-1C2235688A5C}"/>
    <hyperlink ref="D30" r:id="rId24" xr:uid="{B7CDC0FC-11C2-4227-B722-C077B222A7F3}"/>
    <hyperlink ref="D23" r:id="rId25" xr:uid="{584CFFBC-00E3-4CD9-A51E-9B9DF67373DD}"/>
    <hyperlink ref="D33" r:id="rId26" xr:uid="{A7889838-BE92-4DE5-8CF8-E7BA61802A41}"/>
    <hyperlink ref="D79" r:id="rId27" xr:uid="{1801E254-97ED-4FDF-BC46-EB4BEDB5FC05}"/>
    <hyperlink ref="D80" r:id="rId28" xr:uid="{A245E5F3-8B30-4012-BB0A-8202E2EF7F91}"/>
    <hyperlink ref="D75" r:id="rId29" xr:uid="{15B08023-46C5-43E6-A5F8-2E64BABE387B}"/>
    <hyperlink ref="D43" r:id="rId30" xr:uid="{29059917-02AA-42A7-AB94-14BBC8C5027B}"/>
    <hyperlink ref="D76" r:id="rId31" xr:uid="{B89B8D95-984E-4890-A470-F625C79F2295}"/>
    <hyperlink ref="D85" r:id="rId32" xr:uid="{8B092639-EBF6-4261-9F1F-B59B3F856C63}"/>
    <hyperlink ref="D56" r:id="rId33" xr:uid="{43FF5F3F-6D1B-452F-BBD2-F829FEA32882}"/>
    <hyperlink ref="D84" r:id="rId34" xr:uid="{983D81EF-9EF9-4BCE-8367-91C77CA32D56}"/>
    <hyperlink ref="AE2" r:id="rId35" display="4090179930" xr:uid="{8930EA32-2DB6-4003-A422-57D1DD69C713}"/>
    <hyperlink ref="AE3" r:id="rId36" display="4090179947" xr:uid="{C2C776D6-C9A8-4954-BC49-541C88667221}"/>
    <hyperlink ref="AE4" r:id="rId37" display="4090179972" xr:uid="{B2555356-C8FD-4F62-B11E-296137ABCA21}"/>
    <hyperlink ref="AE5" r:id="rId38" display="4090180001" xr:uid="{69B161D8-C173-47D6-84DF-78083F7DE115}"/>
    <hyperlink ref="AE9" r:id="rId39" display="4090180057" xr:uid="{FA7CC50C-5E4E-4767-9E41-DFFADDEC7B3D}"/>
    <hyperlink ref="AE10" r:id="rId40" display="4090180059" xr:uid="{373520F7-470B-40BC-A5BC-D5D31EA5F68A}"/>
    <hyperlink ref="AE11" r:id="rId41" display="4090180066" xr:uid="{B199BCD7-999D-4581-9F59-28B17808CA86}"/>
    <hyperlink ref="AE12" r:id="rId42" display="4090180067" xr:uid="{1F8A462B-171C-4BA2-BD41-F2EDF407DED5}"/>
    <hyperlink ref="AE13" r:id="rId43" display="4090180070" xr:uid="{8BFBC5B3-281F-4BB2-8A05-14F274D2F4B0}"/>
    <hyperlink ref="AE14" r:id="rId44" display="4090180072" xr:uid="{1B3BBF75-822C-4255-B0BF-BB1E4DEF5CB1}"/>
    <hyperlink ref="AE15" r:id="rId45" display="4090180073" xr:uid="{1CB56625-F89D-4458-A990-90FBB2D5D474}"/>
    <hyperlink ref="AE16" r:id="rId46" display="4090180074" xr:uid="{0D17A1AD-E1F1-433D-B11A-DAA9C404F13A}"/>
    <hyperlink ref="AE17" r:id="rId47" display="4090180075" xr:uid="{27787B12-0C3C-44AC-940E-7606AB714B4C}"/>
    <hyperlink ref="AE18" r:id="rId48" display="4090180109" xr:uid="{73FC1381-B80C-4113-97F5-798C7897F36D}"/>
    <hyperlink ref="AE19" r:id="rId49" display="4090180110" xr:uid="{A27DD4EB-0F5C-4FF6-80D7-40EA539BCBBC}"/>
    <hyperlink ref="AE20" r:id="rId50" display="4090180112" xr:uid="{885564B3-9CFE-4F69-B06B-213CB9C92B1F}"/>
    <hyperlink ref="AE21" r:id="rId51" display="4090180114" xr:uid="{645300AA-0FF3-4998-BA0E-96FF48961E92}"/>
    <hyperlink ref="AE22" r:id="rId52" display="4090180115" xr:uid="{8362DA7D-8488-498E-B89A-AD4D787074A6}"/>
    <hyperlink ref="AE23" r:id="rId53" display="4090180133" xr:uid="{4B0000A1-FE48-4E02-8621-6FFF93A06776}"/>
    <hyperlink ref="AE24" r:id="rId54" display="4090180136" xr:uid="{2F72F3E4-EA48-4F38-8700-14C0D839290E}"/>
    <hyperlink ref="AE25" r:id="rId55" display="4090180137" xr:uid="{2AE64D88-AEC4-4C48-A80D-FE61839A4B47}"/>
    <hyperlink ref="AE26" r:id="rId56" display="4090180139" xr:uid="{9AD7934F-4793-4722-A016-83ECDA89325F}"/>
    <hyperlink ref="AE27" r:id="rId57" display="4090180145" xr:uid="{6229A0B9-61C4-42AD-B2A9-58D80DF1D136}"/>
    <hyperlink ref="AE28" r:id="rId58" display="4090180146" xr:uid="{CE6F043E-F282-4261-A502-FB612CC59ECE}"/>
    <hyperlink ref="AE29" r:id="rId59" display="4090180147" xr:uid="{7F637BD2-AA02-44C2-8B36-AE27C287F006}"/>
    <hyperlink ref="AE30" r:id="rId60" display="4090180152" xr:uid="{7DA3AD15-A336-48C8-8C41-E903E0FEAC0E}"/>
    <hyperlink ref="AE31" r:id="rId61" display="4090180153" xr:uid="{19B4E9B4-36CC-4BA0-8CCB-6D3BAE4DA3DB}"/>
    <hyperlink ref="AE32" r:id="rId62" display="4090180154" xr:uid="{99169E9F-1C45-4A18-830F-6B2A7FA10B61}"/>
    <hyperlink ref="AE33" r:id="rId63" display="4090180178" xr:uid="{B1376EB0-831D-423C-86A6-4AA0D83890FA}"/>
    <hyperlink ref="AE34" r:id="rId64" display="4090180180" xr:uid="{12E0CF3B-7EDA-455D-A99E-3C040EFD75D0}"/>
    <hyperlink ref="AE35" r:id="rId65" display="4090180181" xr:uid="{294BC336-0510-416A-BEFD-CDDDF8157C76}"/>
    <hyperlink ref="AE36" r:id="rId66" display="4090180183" xr:uid="{C8CD6CB2-170B-4E53-B870-36AC472FC35C}"/>
    <hyperlink ref="AE37" r:id="rId67" display="4090180184" xr:uid="{A22861AA-954F-422D-B45C-8130470DAF2F}"/>
    <hyperlink ref="AE38" r:id="rId68" display="4090180186" xr:uid="{EF25CA9F-D073-4ED3-A2B4-26C578DB63F8}"/>
    <hyperlink ref="AE39" r:id="rId69" display="4090180188" xr:uid="{404417C7-4FA1-4D03-B592-8135D29917E9}"/>
    <hyperlink ref="AE40" r:id="rId70" display="4090180190" xr:uid="{28B352EF-A283-410C-BBE1-037CDE1A7834}"/>
    <hyperlink ref="AE41" r:id="rId71" display="4090180192" xr:uid="{57521FCC-0EB7-4E2A-B7D0-CE58E9689993}"/>
    <hyperlink ref="AE42" r:id="rId72" display="4090180193" xr:uid="{E5ADBCDB-D2B4-44A2-B22A-6C564BA7BC78}"/>
    <hyperlink ref="AE43" r:id="rId73" display="4090180195" xr:uid="{05CD15ED-80E6-4275-92E0-0970192296BD}"/>
    <hyperlink ref="AE44" r:id="rId74" display="4090180196" xr:uid="{C3D05E78-37FE-4361-B91C-45DA3192F571}"/>
    <hyperlink ref="AE45" r:id="rId75" display="4090180198" xr:uid="{7AF51E6D-1CF7-48C2-B8FD-090E72111DD6}"/>
    <hyperlink ref="AE46" r:id="rId76" display="4090180199" xr:uid="{C7315F78-CC08-4AC4-B87B-EFF3DBE35B57}"/>
    <hyperlink ref="AE47" r:id="rId77" display="4090180201" xr:uid="{B038472F-FE60-4562-BD4D-639ADD8E9713}"/>
    <hyperlink ref="AE48" r:id="rId78" display="4090180202" xr:uid="{30EFE396-CBCC-45D8-BA7F-3BC296825A44}"/>
    <hyperlink ref="AE49" r:id="rId79" display="4090180213" xr:uid="{4F668229-009C-4246-9ABA-6AC7DB640972}"/>
    <hyperlink ref="AE50" r:id="rId80" display="4090180226" xr:uid="{BBBE7A0E-26FD-4931-8F3E-8DE8A57A338A}"/>
    <hyperlink ref="AE51" r:id="rId81" display="4090180228" xr:uid="{4F1618A6-B9C7-4492-A813-AA84E9A2F0B3}"/>
    <hyperlink ref="AE53" r:id="rId82" display="4090180242" xr:uid="{8434F620-183B-4ADE-9B3E-2B2A4385F8A3}"/>
    <hyperlink ref="AE54" r:id="rId83" display="4090180249" xr:uid="{5A8A65D5-5DA9-4D4E-8F8C-97036D8D4701}"/>
    <hyperlink ref="AE55" r:id="rId84" display="4090180257" xr:uid="{7E86B25E-ACF4-4683-A1E4-49551CD81D45}"/>
    <hyperlink ref="AE57" r:id="rId85" display="4090180263" xr:uid="{3657C55F-FD7B-49A4-AC3E-B15BBA99C856}"/>
    <hyperlink ref="AE6" r:id="rId86" display="4090180023" xr:uid="{E74AAF63-9813-4148-9DB3-189D7C647F76}"/>
    <hyperlink ref="AE7" r:id="rId87" display="4090180040" xr:uid="{F9A2FBA4-7FBE-4D05-8E5E-48B42C781863}"/>
    <hyperlink ref="AE8" r:id="rId88" display="4090180056" xr:uid="{29CC7CEF-9A3A-470A-916D-7113EB17F849}"/>
    <hyperlink ref="AF2" r:id="rId89" display="06/03/2026 17:25" xr:uid="{B8D899CC-EE25-4439-B6ED-6BC1FFF9D00C}"/>
    <hyperlink ref="AF3" r:id="rId90" display="04/03/2026 13:17" xr:uid="{098BDA95-513E-47A1-965B-981FDD0E579E}"/>
    <hyperlink ref="AF4" r:id="rId91" display="04/03/2026 15:40" xr:uid="{6893D9EF-05D9-4A1A-87E2-434217E0D0CD}"/>
    <hyperlink ref="AF5" r:id="rId92" display="06/03/2026" xr:uid="{2B96B0CE-85A6-436C-82D7-58C5F149152F}"/>
    <hyperlink ref="AF6" r:id="rId93" display="04/03/2026" xr:uid="{3E01BBB4-9E45-4254-972A-91FBCB90E9CC}"/>
    <hyperlink ref="AF7" r:id="rId94" display="03/03/2026" xr:uid="{30CD46D7-8EE2-4CE5-9536-8742BF3F0AFF}"/>
    <hyperlink ref="AF8" r:id="rId95" display="06/03/2026" xr:uid="{FD77DE1F-3292-4422-9B4E-6EF57D437B10}"/>
    <hyperlink ref="AF9" r:id="rId96" display="03/03/2026" xr:uid="{3E4D81F1-25EF-4723-BA90-268DA69412B5}"/>
    <hyperlink ref="AF10" r:id="rId97" display="06/03/2026" xr:uid="{C0CE373D-8B3E-4A56-B94B-C7EAEEC26470}"/>
    <hyperlink ref="AF13" r:id="rId98" display="04/03/2026" xr:uid="{45679808-198A-4D6A-A15E-BAA2FD3F9C38}"/>
    <hyperlink ref="AF14" r:id="rId99" display="04/03/2026" xr:uid="{59E79E3C-D863-4CA0-9F12-9E03B29A55EE}"/>
    <hyperlink ref="AF15" r:id="rId100" display="04/03/2026" xr:uid="{ED4C1DE8-6FCC-4916-9104-2F4DED578629}"/>
    <hyperlink ref="AF16" r:id="rId101" display="06/03/2026" xr:uid="{578850AF-3E3C-4D79-88E9-C9B7F8B7269C}"/>
    <hyperlink ref="AF19" r:id="rId102" display="06/03/2026" xr:uid="{71678E1E-B1D0-4D70-A8C1-3B58C1279D31}"/>
    <hyperlink ref="AF20" r:id="rId103" display="06/03/2026" xr:uid="{A826E5C3-2D76-4C71-9C8A-0452D399AABE}"/>
    <hyperlink ref="AF24" r:id="rId104" display="06/03/2026" xr:uid="{643898AA-4D73-40D9-BB58-F5A3E5718EE0}"/>
    <hyperlink ref="AF25" r:id="rId105" display="04/03/2026" xr:uid="{CB562403-7448-4BC5-95B4-6572B542EE3C}"/>
    <hyperlink ref="AF27" r:id="rId106" display="07/03/2026" xr:uid="{5BFA836D-AD1B-4D34-AC17-B9190D69049A}"/>
    <hyperlink ref="AF28" r:id="rId107" display="05/03/2026" xr:uid="{2A926FE1-A8E8-4521-87EF-4D9E5C387A68}"/>
    <hyperlink ref="AF29" r:id="rId108" display="04/03/2026" xr:uid="{AD293F16-4739-4766-A493-7B3430D227D1}"/>
    <hyperlink ref="AF38" r:id="rId109" display="06/03/2026" xr:uid="{05477BB3-8ED4-450B-8EF0-9016152E18B4}"/>
    <hyperlink ref="AF42" r:id="rId110" display="06/03/2026" xr:uid="{5995A39B-CA13-46AC-9F63-FC6D43CC51BC}"/>
    <hyperlink ref="AF45" r:id="rId111" display="05/03/2026" xr:uid="{23E05DA3-B29E-435F-BC6C-C5FEEEE3F76E}"/>
    <hyperlink ref="AF47" r:id="rId112" display="05/03/2026" xr:uid="{977C35D5-F31E-4645-8B91-37B2093E7517}"/>
    <hyperlink ref="AF49" r:id="rId113" display="06/03/2026" xr:uid="{1695B1EE-1118-4916-84F4-FC61CCD057C6}"/>
    <hyperlink ref="AE56" r:id="rId114" display="4090180261" xr:uid="{69B3FC5F-E247-461F-A433-0233498EFF5C}"/>
    <hyperlink ref="AE52" r:id="rId115" display="4090180230" xr:uid="{5BC566B8-43EB-41C0-9709-C18CC1D943D4}"/>
    <hyperlink ref="AF12" r:id="rId116" display="09/03/2026" xr:uid="{CB6F0284-F444-412B-9D22-C99F3BAE9193}"/>
    <hyperlink ref="AF46" r:id="rId117" display="09/03/2026" xr:uid="{7F1A2F28-DAEB-401C-8DEA-4500B452047B}"/>
    <hyperlink ref="AF48" r:id="rId118" display="09/03/2026" xr:uid="{EEAE1BC8-89A6-4E38-AE39-8929D8D0B155}"/>
    <hyperlink ref="AF50" r:id="rId119" display="09/03/2026" xr:uid="{B8896067-8877-4BBA-88FE-0D7CB53BDCF4}"/>
    <hyperlink ref="AF51" r:id="rId120" display="09/03/2026" xr:uid="{3A06AE19-CA35-4563-9E15-2374B89ED708}"/>
    <hyperlink ref="AF54" r:id="rId121" display="09/03/2026" xr:uid="{D9D82FD8-FBA4-401D-8A4F-B2AB1A7B0DDF}"/>
    <hyperlink ref="AF17" r:id="rId122" display="06/03/2026" xr:uid="{4059AB58-EA68-4B58-A181-F00AE4A2F773}"/>
    <hyperlink ref="AF21" r:id="rId123" display="06/03/2026" xr:uid="{191E2346-422F-4312-A3E4-54435E2E408C}"/>
    <hyperlink ref="AF22" r:id="rId124" display="09/03/2026" xr:uid="{4A205AC9-DE4E-4F39-9836-F65B1F85FCF6}"/>
    <hyperlink ref="AF37" r:id="rId125" display="09/03/2026" xr:uid="{ACC04394-A8D1-4CC5-9B92-B023C3730368}"/>
    <hyperlink ref="AF44" r:id="rId126" display="09/03/2026" xr:uid="{2424338C-3D91-48D0-9287-565DA6E1B296}"/>
    <hyperlink ref="AF53" r:id="rId127" display="09/03/2026" xr:uid="{0EFCDCD5-9A77-49F4-B7A9-C2C4A43655BE}"/>
    <hyperlink ref="AF55" r:id="rId128" display="09/03/2026" xr:uid="{FC9689CE-4B23-444E-A21C-C37B83C085A0}"/>
    <hyperlink ref="AF18" r:id="rId129" display="06/03/2026" xr:uid="{58101D93-9877-4E7C-9A60-922950891ECB}"/>
    <hyperlink ref="AF23" r:id="rId130" display="09/03/2026" xr:uid="{85AA2C09-66FD-4E81-86C3-CE776F367FAD}"/>
    <hyperlink ref="AF26" r:id="rId131" display="09/03/2026" xr:uid="{D8AA01B5-938C-4946-A230-16D60A9AF677}"/>
    <hyperlink ref="AF31" r:id="rId132" display="07/03/2026" xr:uid="{4E023B93-D386-49A3-BA6D-DABD2D72E54E}"/>
    <hyperlink ref="AF32" r:id="rId133" display="09/03/2026" xr:uid="{C74285FE-F249-4D40-AF7C-36A1E9FA0F49}"/>
    <hyperlink ref="AE58" r:id="rId134" display="4090180265" xr:uid="{24FE41A8-00ED-4C37-A525-D8486C8B1B74}"/>
    <hyperlink ref="AE63" r:id="rId135" display="4090180290" xr:uid="{46D20AF8-9775-4DAD-96E1-07D29974C3B2}"/>
    <hyperlink ref="AE65" r:id="rId136" display="4090180292" xr:uid="{4BCF86EA-058B-4C7B-A86A-A3D83AA8261B}"/>
    <hyperlink ref="AE59" r:id="rId137" display="4090180284" xr:uid="{A8BEB75C-CE2E-4151-9684-B2C99954E92A}"/>
    <hyperlink ref="AF11" r:id="rId138" display="09/03/2026" xr:uid="{9A8A954B-47BC-4F77-8AEA-F4A0DF08DCAE}"/>
    <hyperlink ref="AF35" r:id="rId139" display="10/03/2026" xr:uid="{48DE3500-1834-497F-9F1E-0EF99259BD1C}"/>
    <hyperlink ref="AF39" r:id="rId140" display="10/03/2026" xr:uid="{B2BBD44D-8102-476E-87F2-57D502F2E143}"/>
    <hyperlink ref="AF30" r:id="rId141" display="10/03/2026" xr:uid="{C499CDB4-ECC1-4304-9789-662CBF886C08}"/>
    <hyperlink ref="AF33" r:id="rId142" display="10/03/2026" xr:uid="{A444E740-B9AC-4EF4-B70F-D4193E45D9D2}"/>
    <hyperlink ref="AF34" r:id="rId143" display="09/03/2026" xr:uid="{C0ACD0E6-2681-4030-B632-F68316844D18}"/>
    <hyperlink ref="AF41" r:id="rId144" display="09/03/2026" xr:uid="{E0B3E835-2399-4824-824F-FE2EDFFD6DEB}"/>
    <hyperlink ref="AF43" r:id="rId145" display="10/03/2026" xr:uid="{A1CCB845-6F5D-4DDD-BC48-2ABFECB59EB6}"/>
    <hyperlink ref="AF79" r:id="rId146" display="11/03/2026" xr:uid="{45C7B58A-FD6A-44DE-A616-DD5A664D0537}"/>
    <hyperlink ref="AF80" r:id="rId147" display="10/03/2026" xr:uid="{FFEC7FA0-E1DD-4BD2-B6CA-520F953693F0}"/>
    <hyperlink ref="AF57" r:id="rId148" display="10/03/2026" xr:uid="{064BBC9E-77B9-45ED-B1F3-51075591B424}"/>
    <hyperlink ref="AE80" r:id="rId149" display="4090180338" xr:uid="{D7930A5C-71AA-4BBA-AE0F-F3034FCF232D}"/>
    <hyperlink ref="AE79" r:id="rId150" display="4090180334" xr:uid="{770A3172-C7D5-480B-9A9C-7C3D5204514B}"/>
    <hyperlink ref="AE73" r:id="rId151" display="4090180320" xr:uid="{C0C63C2D-D7AE-42DA-80B1-187FFD0D9C47}"/>
    <hyperlink ref="AE72" r:id="rId152" display="4090180319" xr:uid="{9664B1D2-2B65-4584-A18D-4AB0ACA0ED1D}"/>
    <hyperlink ref="AE71" r:id="rId153" display="4090180318" xr:uid="{C07423CC-E69E-41F1-B886-F7FA43FB7700}"/>
    <hyperlink ref="AE68" r:id="rId154" display="4090180312" xr:uid="{666858A7-8D61-4614-8668-9B039B141F67}"/>
    <hyperlink ref="AE67" r:id="rId155" display="4090180311" xr:uid="{52DEA386-0078-4EC3-A4C7-2586260F6FCB}"/>
    <hyperlink ref="AE66" r:id="rId156" display="4090180293" xr:uid="{412AA502-01A4-4602-96C3-C4D6CE3BA41A}"/>
    <hyperlink ref="AE64" r:id="rId157" display="4090180291" xr:uid="{DFFC3635-9BB2-4639-9F1D-55BC010E6335}"/>
    <hyperlink ref="AE62" r:id="rId158" display="4090180289" xr:uid="{57B04081-13EE-4AAD-B3FE-D7FB8ACC12A4}"/>
    <hyperlink ref="AE61" r:id="rId159" display="4090180288" xr:uid="{01C65B50-2B0C-4060-A3DD-AB59614E90F9}"/>
    <hyperlink ref="AE60" r:id="rId160" display="4090180286" xr:uid="{C2FA0250-7DA4-4EFA-A018-5D61A40BB5B2}"/>
    <hyperlink ref="AE75" r:id="rId161" display="4090180329" xr:uid="{C45B0691-CCF2-4098-A5B1-79C38AF7BB9E}"/>
    <hyperlink ref="AF56" r:id="rId162" display="11/03/2026" xr:uid="{2A632AF9-EA13-415F-8D96-F567A3EF394E}"/>
    <hyperlink ref="AF58" r:id="rId163" display="11/03/2026" xr:uid="{1BAFE017-3B45-47A1-A5C1-429BCD282742}"/>
    <hyperlink ref="AF59" r:id="rId164" display="11/03/2026" xr:uid="{6F064C8E-651F-4544-975C-7F855B858711}"/>
    <hyperlink ref="AF75" r:id="rId165" display="11/03/2026" xr:uid="{C3214585-8622-4BA6-9959-748FFF960CC5}"/>
    <hyperlink ref="AE76" r:id="rId166" display="4090180331" xr:uid="{BFF1695B-C1F4-44CE-98A8-1ABC2774A505}"/>
    <hyperlink ref="AE81" r:id="rId167" display="4090180339" xr:uid="{0F02EC50-404F-406D-AB35-7FC37797E33F}"/>
    <hyperlink ref="AE69" r:id="rId168" display="4090180313" xr:uid="{F3840030-4D25-440B-AB3B-31355806BFF3}"/>
    <hyperlink ref="AE77" r:id="rId169" display="4090180332" xr:uid="{29124C39-C757-4F91-B8E0-8BCBEFBCB9C4}"/>
    <hyperlink ref="AE78" r:id="rId170" display="4090180333" xr:uid="{66DE26D8-CE15-4EA4-9DEE-1E1838378D58}"/>
    <hyperlink ref="AE82" r:id="rId171" display="4090180340" xr:uid="{FA175C87-BCBC-4DB4-A69B-9CDB6680AAD7}"/>
    <hyperlink ref="AE83" r:id="rId172" display="4090180341" xr:uid="{C12EB6B7-0579-4C30-BBCC-C6FA5C21E406}"/>
    <hyperlink ref="AE84" r:id="rId173" display="4090180356" xr:uid="{A8A8C313-0BAB-4B39-A301-2925FB48F9D1}"/>
    <hyperlink ref="AE85" r:id="rId174" display="4090180357" xr:uid="{3C5459DD-05B9-463B-ADD7-75049C501213}"/>
    <hyperlink ref="AE91" r:id="rId175" display="4090180366" xr:uid="{4F5D2669-F2FA-49DF-B0FC-FDBD8C116973}"/>
    <hyperlink ref="AF85" r:id="rId176" display="12/03/2026" xr:uid="{90EC2EFF-017D-4EDA-B702-6A5A6BEF3073}"/>
    <hyperlink ref="AF84" r:id="rId177" display="12/03/2026" xr:uid="{BBADCC07-B04F-4FD6-8F4C-CE46AA5DD8D8}"/>
    <hyperlink ref="AF76" r:id="rId178" display="12/03/2026" xr:uid="{32850A03-8BC5-496F-B3BF-DF813143EF10}"/>
    <hyperlink ref="AE87" r:id="rId179" display="4090180359" xr:uid="{98A0CE9F-B214-4ADA-B064-0E293750BAD9}"/>
    <hyperlink ref="AE92" r:id="rId180" display="4090180369" xr:uid="{16B8E9BB-2639-49A9-B955-0D6F1AB83B8D}"/>
    <hyperlink ref="AE74" r:id="rId181" display="4090180328" xr:uid="{E09340C9-9ED0-4E47-8E0C-49306336684A}"/>
    <hyperlink ref="AE70" r:id="rId182" display="4090180314" xr:uid="{618D55FC-60A6-4060-9DCD-3145B8633B3C}"/>
    <hyperlink ref="AE88" r:id="rId183" display="4090180360" xr:uid="{D3530AB1-14FB-48B4-941E-007E1385EC56}"/>
    <hyperlink ref="AE90" r:id="rId184" display="4090180365" xr:uid="{FC25A46F-4CD5-4281-BD84-4ECE6829B4B8}"/>
    <hyperlink ref="AE94" r:id="rId185" display="4090180385" xr:uid="{DB12148C-FFA7-40CD-8E8C-A52ABE3FEB99}"/>
    <hyperlink ref="AE100" r:id="rId186" display="4090180407" xr:uid="{D5ED98D1-5ED4-4BD7-B088-841E095DC1A3}"/>
    <hyperlink ref="AE99" r:id="rId187" display="4090180405" xr:uid="{8E928C9B-6947-4EBA-9809-BB0FC33836EA}"/>
    <hyperlink ref="AE103" r:id="rId188" display="4090180410" xr:uid="{7EDDDB60-F767-440A-8C50-2F0203D7FF31}"/>
    <hyperlink ref="AE95" r:id="rId189" display="4090180400" xr:uid="{8170E5FA-0235-459B-A473-87431B2970FA}"/>
    <hyperlink ref="AE96" r:id="rId190" display="4090180401" xr:uid="{74E5B42E-31CC-4267-8726-7D0366595552}"/>
    <hyperlink ref="AE102" r:id="rId191" display="4090180409" xr:uid="{9FAC91F4-F9CC-424E-A812-13F019C2CC01}"/>
    <hyperlink ref="AE107" r:id="rId192" display="4090180418" xr:uid="{D7AD21BA-D705-4DDC-A30D-ACD47DC4119F}"/>
    <hyperlink ref="AE108" r:id="rId193" display="4090180419" xr:uid="{3A0B0492-6C2F-4FED-BC39-922DB2823B97}"/>
    <hyperlink ref="D60" r:id="rId194" xr:uid="{45A3ED28-A6D1-4942-8E79-05280BFCA93E}"/>
    <hyperlink ref="AE105" r:id="rId195" display="4090180412" xr:uid="{760D9F20-8774-4A94-B374-12EC4DB14823}"/>
    <hyperlink ref="AF70" r:id="rId196" display="13/03/2026" xr:uid="{6A5A8101-AC8E-40F1-AA76-C8897C486692}"/>
    <hyperlink ref="AF74" r:id="rId197" display="13/03/2026" xr:uid="{FAFC76C2-9AEC-43A3-AB09-40A53B010DB2}"/>
    <hyperlink ref="AE112" r:id="rId198" display="4090180436" xr:uid="{41829FEA-7950-4C9E-9752-BF10DD1C0E39}"/>
    <hyperlink ref="D70" r:id="rId199" xr:uid="{E18E3F71-6073-4C03-B3C4-52CB86C74FDF}"/>
    <hyperlink ref="D74" r:id="rId200" xr:uid="{CF2A854F-854F-48F2-A222-A86E2EF2246E}"/>
    <hyperlink ref="AE93" r:id="rId201" display="4090180370" xr:uid="{F0BCBF22-6E2B-4727-804C-557AEE1E5B73}"/>
    <hyperlink ref="AE86" r:id="rId202" display="4090180358" xr:uid="{726A5CE3-B538-49A7-83B0-9E1DB53513D4}"/>
    <hyperlink ref="AE89" r:id="rId203" display="4090180361" xr:uid="{BCCF4ABE-06DA-4BA8-9706-2FD1D4767FB9}"/>
    <hyperlink ref="AE115" r:id="rId204" display="4090180450" xr:uid="{A7C166B9-2D9F-4E36-AB13-59110490CCF8}"/>
    <hyperlink ref="D64" r:id="rId205" xr:uid="{4CCA8836-AD6B-4B68-8234-D59D51148A7C}"/>
    <hyperlink ref="D69" r:id="rId206" xr:uid="{3284E04F-7BD6-4D1F-9C9C-2BDCC33DC8BB}"/>
    <hyperlink ref="D82" r:id="rId207" xr:uid="{CB6F0637-BF6A-46E0-B8B7-5933F8C1109F}"/>
    <hyperlink ref="D83" r:id="rId208" xr:uid="{330551D6-BABA-490D-B211-02864D87E078}"/>
    <hyperlink ref="D36" r:id="rId209" xr:uid="{1CE2E147-A24F-4751-92FC-C5AF87B98EFC}"/>
    <hyperlink ref="D77" r:id="rId210" xr:uid="{5C4D379A-0495-4FF6-BA11-C4D00D3A037D}"/>
    <hyperlink ref="D78" r:id="rId211" xr:uid="{6A3EA3FF-5E14-4B23-9CAA-BBCCD8A946B9}"/>
    <hyperlink ref="AE106" r:id="rId212" display="4090180413" xr:uid="{8505BF1D-2759-4501-9D23-1DA33AF38378}"/>
    <hyperlink ref="AE119" r:id="rId213" display="4090180462" xr:uid="{7C9E799A-D682-4931-B077-8498D6CA3FCE}"/>
    <hyperlink ref="AE123" r:id="rId214" display="4090180472" xr:uid="{F7D4172D-60B7-404D-BD6D-F7AB2E458EB6}"/>
    <hyperlink ref="AE125" r:id="rId215" display="4090180481" xr:uid="{9002B628-DB19-4517-8A93-FF7F0F1CB8B8}"/>
    <hyperlink ref="AE97" r:id="rId216" display="4090180402" xr:uid="{5B8CE14E-57A3-43DB-9692-F05FFAAD43E3}"/>
    <hyperlink ref="AE101" r:id="rId217" display="4090180408" xr:uid="{A950EED5-9306-440A-9FEE-C48F52AF4E97}"/>
    <hyperlink ref="AE104" r:id="rId218" display="4090180411" xr:uid="{C92752A9-1151-492E-BAE5-BC71E195B905}"/>
    <hyperlink ref="AE114" r:id="rId219" display="4090180441" xr:uid="{065316C2-687C-4A03-8FFE-6211568B4820}"/>
    <hyperlink ref="AE121" r:id="rId220" display="4090180465" xr:uid="{93640BBF-C62E-469C-8356-BF2AEB6D82DC}"/>
    <hyperlink ref="D67" r:id="rId221" xr:uid="{F5FCA351-0106-47EA-94A8-3AC35414E6AC}"/>
    <hyperlink ref="AF119" r:id="rId222" display="16/03/2026" xr:uid="{6287A2C0-AC97-4971-A177-99644D43495D}"/>
    <hyperlink ref="AF91" r:id="rId223" display="16/03/2026" xr:uid="{3AE47101-6838-4EEE-993E-4EF6BFF07C28}"/>
    <hyperlink ref="AF88" r:id="rId224" display="16/03/2026" xr:uid="{1F59CFAE-F600-4FB0-85CA-F83D93FD2212}"/>
    <hyperlink ref="AF81" r:id="rId225" display="16/03/2026" xr:uid="{D45BA6AE-E451-42FC-8399-37A0F2CA6541}"/>
    <hyperlink ref="AF89" r:id="rId226" display="16/03/2026" xr:uid="{CA2BAD43-93AA-4C01-8239-2D4FC9F868AA}"/>
    <hyperlink ref="AF72" r:id="rId227" display="16/03/2026" xr:uid="{ADB71DE5-D1A4-4798-B571-C043F6699F12}"/>
    <hyperlink ref="AF71" r:id="rId228" display="16/03/2026" xr:uid="{7F89A1D8-1304-43C0-9BB3-937374C4B509}"/>
    <hyperlink ref="AF68" r:id="rId229" display="16/03/2026" xr:uid="{B59AB19B-504B-4ED3-80EA-B898566FDEAF}"/>
    <hyperlink ref="AF73" r:id="rId230" display="16/03/2026" xr:uid="{77373BED-2CCA-4458-8AF8-CB598BDA7BC9}"/>
    <hyperlink ref="AF65" r:id="rId231" display="16/03/2026" xr:uid="{23DB3436-3C22-4EA8-A6BF-17180926BF73}"/>
    <hyperlink ref="AF40" r:id="rId232" display="16/03/2026" xr:uid="{23278731-187E-4FCF-A944-77EBAF16CE61}"/>
    <hyperlink ref="AF102" r:id="rId233" display="16/03/2026" xr:uid="{2389859E-E0DC-4122-B5C8-F56F7AAFF675}"/>
    <hyperlink ref="AF87" r:id="rId234" display="16/03/2026" xr:uid="{CD1767BE-4B09-46DA-B64A-4EDA873256D0}"/>
    <hyperlink ref="AF115" r:id="rId235" display="16/03/2026" xr:uid="{40FE2A3B-B98F-419C-8968-CBE9B97E5A2D}"/>
    <hyperlink ref="AF100" r:id="rId236" display="16/03/2026" xr:uid="{18B6D7ED-A648-4FB2-B76E-FD8D3C9FDF43}"/>
    <hyperlink ref="AF66" r:id="rId237" display="16/03/2026" xr:uid="{BB110D5A-A802-4CC3-94F7-115CBBD1FACB}"/>
    <hyperlink ref="D52" r:id="rId238" xr:uid="{A332130F-31DF-43B3-8CB9-E76F9DF2041A}"/>
    <hyperlink ref="AE113" r:id="rId239" display="4090180438" xr:uid="{A482AE41-5F49-491B-B6F2-D9889448A4DD}"/>
    <hyperlink ref="AE117" r:id="rId240" display="4090180457" xr:uid="{D4B66D82-3E40-4B99-975F-9E2578DF2FDE}"/>
    <hyperlink ref="AE118" r:id="rId241" display="4090180458" xr:uid="{BA83565B-58BC-4726-B190-1EAB85886D82}"/>
    <hyperlink ref="AE132" r:id="rId242" display="4090180512" xr:uid="{CD7B2779-0C6E-437C-AD3A-8D6FE802FBAD}"/>
    <hyperlink ref="AE111" r:id="rId243" display="4090180433" xr:uid="{2A5A19F6-4F0E-446D-913B-56C8123DA2A0}"/>
    <hyperlink ref="AE98" r:id="rId244" display="4090180403" xr:uid="{22AD88EC-1FA9-4D93-A330-98A8EE3F1574}"/>
    <hyperlink ref="AF113" r:id="rId245" display="16/03/2026" xr:uid="{868BB5A1-500D-4DDE-A57E-B6F0A23969B3}"/>
    <hyperlink ref="AF118" r:id="rId246" display="16/03/2026" xr:uid="{9621350B-D8FB-41C9-9606-CDC1868D6F00}"/>
    <hyperlink ref="AE127" r:id="rId247" display="4090180497" xr:uid="{B9086E84-63BD-44CD-9898-6984312FC65E}"/>
    <hyperlink ref="AE131" r:id="rId248" display="4090180503" xr:uid="{82F965BF-18F1-49BD-9C14-A6A352A108C8}"/>
    <hyperlink ref="D100" r:id="rId249" xr:uid="{06231A7E-5C2A-4D50-ABE4-0B045B579390}"/>
    <hyperlink ref="D65" r:id="rId250" xr:uid="{BBB8E9DC-CC31-41EC-BCD4-2E814428B995}"/>
    <hyperlink ref="D66" r:id="rId251" xr:uid="{C03B6019-1CBF-4053-8CF4-0C826B277685}"/>
    <hyperlink ref="AE122" r:id="rId252" display="4090180466" xr:uid="{184EC9B4-3A3F-4ED1-A7C8-94BDEBCD246C}"/>
    <hyperlink ref="D40" r:id="rId253" xr:uid="{CFDDD191-5F22-4117-AEA9-EE2EBFC50DE3}"/>
    <hyperlink ref="D72" r:id="rId254" xr:uid="{754AFAAB-BF32-46E4-9AA1-29C9658CC055}"/>
    <hyperlink ref="D68" r:id="rId255" xr:uid="{2876E30C-DF05-4454-802A-699B089CB0A6}"/>
    <hyperlink ref="D89" r:id="rId256" xr:uid="{F3FB58A2-A1C6-47DC-9C65-B4CDFC351ADE}"/>
    <hyperlink ref="D119" r:id="rId257" xr:uid="{B47F321E-D760-4E07-BD29-1E8B6ACE3092}"/>
    <hyperlink ref="D91" r:id="rId258" xr:uid="{12F51D04-1227-44C2-B794-25773DA924E6}"/>
    <hyperlink ref="D113" r:id="rId259" xr:uid="{CDC285C3-96CA-4BC0-934F-1E80CBC115B7}"/>
    <hyperlink ref="D63" r:id="rId260" xr:uid="{631EE4A6-9B56-44D7-B5E2-294E0D82BBC4}"/>
    <hyperlink ref="D115" r:id="rId261" xr:uid="{5F585F8C-DBBF-4513-8EF6-0605E263E72E}"/>
    <hyperlink ref="D118" r:id="rId262" xr:uid="{6A300A67-294C-4169-BC4B-5BBCF44BC8E2}"/>
    <hyperlink ref="D87" r:id="rId263" xr:uid="{3CD24F75-785F-4601-B7B8-2765017D71BC}"/>
    <hyperlink ref="D95" r:id="rId264" xr:uid="{7C11E180-E656-4257-81A1-3FAEE39D7987}"/>
    <hyperlink ref="D105" r:id="rId265" xr:uid="{CC031507-AEC7-4845-B01A-E1ED4DF7C677}"/>
    <hyperlink ref="D106" r:id="rId266" xr:uid="{DEE4D7EB-E645-4114-8C62-BC2FB1B6DE95}"/>
    <hyperlink ref="D117" r:id="rId267" xr:uid="{F7A6E6D7-62C7-4340-ADF2-4A07CEC2AD86}"/>
    <hyperlink ref="D130" r:id="rId268" xr:uid="{770F5554-C595-4C4A-B732-82761886B7E6}"/>
    <hyperlink ref="D98" r:id="rId269" xr:uid="{590F91C3-0017-481A-8FC9-95EE3D15876A}"/>
    <hyperlink ref="AE116" r:id="rId270" display="4090180456" xr:uid="{4C77B609-909C-491B-B086-921AA612546D}"/>
    <hyperlink ref="AE120" r:id="rId271" display="4090180464" xr:uid="{B9B47C6C-3E09-4543-BC83-C8F0E46191C0}"/>
    <hyperlink ref="AE130" r:id="rId272" display="4090180502" xr:uid="{5F82BB26-AF72-4DCC-9FB6-EFC16B1492A4}"/>
    <hyperlink ref="AE134" r:id="rId273" display="4090180523" xr:uid="{14DC7757-5748-4B75-AF22-608FE0E36A35}"/>
    <hyperlink ref="AE138" r:id="rId274" display="4090180541" xr:uid="{35CD202C-2E30-4E1C-8D22-6AB2700959FE}"/>
    <hyperlink ref="AE139" r:id="rId275" display="4090180544" xr:uid="{B1439AE6-4980-4BEB-85BD-D966AA234BD0}"/>
    <hyperlink ref="AE143" r:id="rId276" display="4090180550" xr:uid="{17AE8F44-53C9-4F31-B01B-AA75B3DF2842}"/>
    <hyperlink ref="AE147" r:id="rId277" display="4090180561" xr:uid="{55284297-A888-442E-94DC-B0E49D354796}"/>
    <hyperlink ref="AF104" r:id="rId278" display="17/03/2026" xr:uid="{2FA7851F-0018-4766-A2F0-2530CF2ECA56}"/>
    <hyperlink ref="AF132" r:id="rId279" display="17/03/2026" xr:uid="{AB67FD49-B070-4279-B657-9C7EFD0C59A9}"/>
    <hyperlink ref="AF138" r:id="rId280" display="17/03/2026" xr:uid="{500FE960-BD8F-4156-8E47-3ED1F979D54F}"/>
    <hyperlink ref="AF98" r:id="rId281" display="17/03/2026" xr:uid="{F43534A0-E40E-456C-AD8D-5884245C812B}"/>
    <hyperlink ref="AF117" r:id="rId282" display="17/03/2026" xr:uid="{A7F4A25D-2C26-4944-80E4-E0B42306864C}"/>
    <hyperlink ref="AF101" r:id="rId283" display="17/03/2026" xr:uid="{43A96B41-E90E-40AD-ABDD-EAC34ADAC975}"/>
    <hyperlink ref="AF105" r:id="rId284" display="17/03/2026" xr:uid="{441ADB19-F69E-4BFB-89F4-BFC67C66A064}"/>
    <hyperlink ref="AF96" r:id="rId285" display="17/03/2026" xr:uid="{025AC0C5-07F7-4720-9431-C11DB7C1F9D1}"/>
    <hyperlink ref="AF106" r:id="rId286" display="17/03/2026" xr:uid="{344ECBAD-EC66-493A-A4D8-6A7C74EBADF2}"/>
    <hyperlink ref="AF95" r:id="rId287" display="17/03/2026" xr:uid="{BB4F122C-363E-4AA9-8CC7-829171526881}"/>
    <hyperlink ref="AF63" r:id="rId288" display="17/03/2026" xr:uid="{124A6268-F398-468A-ABD1-355033F90B40}"/>
    <hyperlink ref="D103" r:id="rId289" xr:uid="{997F3806-F1FB-4FA4-AF91-55FB25E40121}"/>
    <hyperlink ref="D120" r:id="rId290" xr:uid="{187DF95D-4F0A-4F26-B53C-AEADCF50CB6A}"/>
    <hyperlink ref="D96" r:id="rId291" xr:uid="{4CDFBCDB-2A01-4BB3-9213-EFC5E4F1F20D}"/>
    <hyperlink ref="D147" r:id="rId292" xr:uid="{DFBEBA92-6B91-4E35-BAD9-B3EAC5956B10}"/>
    <hyperlink ref="D122" r:id="rId293" xr:uid="{9FBD9834-9066-4A01-A8F7-7E28057F73E3}"/>
    <hyperlink ref="AE126" r:id="rId294" display="4090180496" xr:uid="{2FEEDF9C-746F-4C48-AEE9-1BDDC9E78F27}"/>
    <hyperlink ref="AE129" r:id="rId295" display="4090180500" xr:uid="{3CB7A9BF-5BF2-474B-8BB9-EAC3808AA687}"/>
    <hyperlink ref="AE133" r:id="rId296" display="4090180522" xr:uid="{630A6D80-0A80-4EA7-BDAB-2B0D5969CB1E}"/>
    <hyperlink ref="AE135" r:id="rId297" display="4090180525" xr:uid="{7410FD1B-4E29-4192-8382-9403C4B5D442}"/>
    <hyperlink ref="AE137" r:id="rId298" display="4090180536" xr:uid="{0A57B440-1643-4AAA-9180-499DF5417AB2}"/>
    <hyperlink ref="AE140" r:id="rId299" display="4090180545" xr:uid="{50C0D451-AE38-4A9E-93BA-86F498ABE42B}"/>
    <hyperlink ref="AE136" r:id="rId300" display="4090180526" xr:uid="{5CD6AAB4-92CB-4AE9-979E-8E1067E72D60}"/>
    <hyperlink ref="AF99" r:id="rId301" display="18/03/2026" xr:uid="{7543FA8D-6387-47C0-981C-32480DF57A5D}"/>
    <hyperlink ref="AF103" r:id="rId302" display="18/03/2026" xr:uid="{B3711256-2C23-40BC-B797-003E21017E73}"/>
    <hyperlink ref="AF120" r:id="rId303" display="18/03/2026" xr:uid="{FEAFB266-D09E-4C85-A91A-3161C309C5CB}"/>
    <hyperlink ref="AF121" r:id="rId304" display="18/03/2026" xr:uid="{F073A69E-4537-4276-89D1-B55AD6ED7656}"/>
    <hyperlink ref="AF122" r:id="rId305" display="18/03/2026" xr:uid="{B10E2F76-C63F-4F4C-8F8E-CDF0882F15AA}"/>
    <hyperlink ref="AF128" r:id="rId306" display="18/03/2026" xr:uid="{8238593E-5D3E-4D07-B72C-D014C94F393F}"/>
    <hyperlink ref="AF129" r:id="rId307" display="18/03/2026" xr:uid="{D7CF655C-446A-4308-9DE0-649C2568E63E}"/>
    <hyperlink ref="AF130" r:id="rId308" display="18/03/2026" xr:uid="{3E1AFE28-6CE3-4BDC-BBBD-ED17944D5776}"/>
    <hyperlink ref="AF147" r:id="rId309" display="18/03/2026" xr:uid="{7B0ED7CA-384F-4DEE-9F1F-305BED8CB732}"/>
    <hyperlink ref="AF36" r:id="rId310" display="14/03/2026" xr:uid="{D0AC7A57-2533-4292-9D63-64FED91FCED6}"/>
    <hyperlink ref="AF52" r:id="rId311" display="14/03/2026" xr:uid="{433FF916-D7E2-4D25-ADC1-E694F695FBC8}"/>
    <hyperlink ref="AF60" r:id="rId312" display="12/03/2026" xr:uid="{D29546F5-2B23-4E7F-96DB-5520A198A7AB}"/>
    <hyperlink ref="AF62" r:id="rId313" display="14/03/2026" xr:uid="{D66A2F46-CC6E-407C-AD56-4E2946AF8A60}"/>
    <hyperlink ref="AF64" r:id="rId314" display="14/03/2026" xr:uid="{49D40ADD-DB35-46A5-AD87-9C4805A3E2E9}"/>
    <hyperlink ref="AF67" r:id="rId315" display="14/03/2026" xr:uid="{35D8E70A-FC7B-4D91-874F-51686F1545E1}"/>
    <hyperlink ref="AF69" r:id="rId316" display="14/03/2026" xr:uid="{A829B59E-4BE9-4AFC-A95D-89A8F13FB4BC}"/>
    <hyperlink ref="AF78" r:id="rId317" display="14/03/2026" xr:uid="{6C807597-BC27-4F71-B04A-B708A1A60D66}"/>
    <hyperlink ref="AF77" r:id="rId318" display="14/03/2026" xr:uid="{F28FFE70-2114-4FAF-B9A3-FB63B27BC3F3}"/>
    <hyperlink ref="AF82" r:id="rId319" display="14/03/2026" xr:uid="{434E3328-C91A-4DE7-902F-9C77925B0A9B}"/>
    <hyperlink ref="AF83" r:id="rId320" display="14/03/2026" xr:uid="{C75BBC5F-9CAF-47F4-B8C1-A9BB5C3C8C8B}"/>
    <hyperlink ref="AE141" r:id="rId321" display="4090180547" xr:uid="{A5F94813-21E0-48CB-A139-96E1D66F37DA}"/>
    <hyperlink ref="AE144" r:id="rId322" display="4090180551" xr:uid="{9EBC6F94-0DC4-479B-9704-61F326B9A26B}"/>
    <hyperlink ref="AE148" r:id="rId323" display="4090180565" xr:uid="{F0667B22-9439-4201-BB12-0E46EEFE2C10}"/>
    <hyperlink ref="AE154" r:id="rId324" display="4090180586" xr:uid="{35BB4B58-02B5-4FB9-ACE2-B0499C1947C6}"/>
    <hyperlink ref="D86" r:id="rId325" xr:uid="{1A944FBF-CB86-4C58-951A-5401FFFE162E}"/>
    <hyperlink ref="D101" r:id="rId326" xr:uid="{583BD637-A065-4DEC-B3BB-F16997B9D8A0}"/>
    <hyperlink ref="D125" r:id="rId327" xr:uid="{2358C61F-0FC1-456C-91CD-D0F78B2A8C4C}"/>
    <hyperlink ref="D93" r:id="rId328" xr:uid="{56132F39-4C8A-4EED-A431-2FC9539087F9}"/>
    <hyperlink ref="D128" r:id="rId329" xr:uid="{542346A3-8A90-4D52-A90E-DCCAB31BE96A}"/>
    <hyperlink ref="X2" r:id="rId330" xr:uid="{A37D98FA-828F-477E-9E6E-35250AD795B5}"/>
    <hyperlink ref="X3" r:id="rId331" xr:uid="{739DC3B9-6674-4C9E-BEC8-878875AAD827}"/>
    <hyperlink ref="X4" r:id="rId332" xr:uid="{FADA0B2F-86CF-468D-88AD-97D41567D4C8}"/>
    <hyperlink ref="X5" r:id="rId333" xr:uid="{54684E66-443B-41EE-B409-98FCBACE9675}"/>
    <hyperlink ref="X6" r:id="rId334" xr:uid="{8D36E7CE-306F-47C5-BA1E-07B81ADF05F6}"/>
    <hyperlink ref="X7" r:id="rId335" xr:uid="{EEAEC9F4-24EA-467E-88FC-0F64EEF4ED0B}"/>
    <hyperlink ref="X8" r:id="rId336" xr:uid="{661DB5DB-1C3F-46EC-9F32-31462F6E7D2F}"/>
    <hyperlink ref="X9" r:id="rId337" xr:uid="{00869ABA-C245-46A3-BCA2-42980F67C116}"/>
    <hyperlink ref="X10" r:id="rId338" xr:uid="{3F86955A-94BF-4C90-931E-2A926D1A8103}"/>
    <hyperlink ref="X11" r:id="rId339" xr:uid="{F24E9838-F2D4-46CD-8466-AB93F4DEDDA3}"/>
    <hyperlink ref="X12" r:id="rId340" xr:uid="{DD96533E-0A1A-4D85-9780-5F6099EC3EA5}"/>
    <hyperlink ref="X13" r:id="rId341" xr:uid="{CAD9207E-1A7D-45A7-8A7D-04E9F5EAAF85}"/>
    <hyperlink ref="X14" r:id="rId342" xr:uid="{9FB9D3C8-4279-4DE9-8041-C6117F1AE77B}"/>
    <hyperlink ref="X15" r:id="rId343" xr:uid="{02AA38EF-68D1-4610-B808-C45514761A48}"/>
    <hyperlink ref="X16" r:id="rId344" xr:uid="{E2D05D64-A75D-4B7F-9E6A-CA8E6E87F86A}"/>
    <hyperlink ref="X17" r:id="rId345" xr:uid="{A5D46D74-844E-4262-B3D9-BCF21BE186F9}"/>
    <hyperlink ref="X18" r:id="rId346" xr:uid="{499A8D40-05FF-45AB-BAB7-78DA44A3C704}"/>
    <hyperlink ref="X19" r:id="rId347" xr:uid="{93181C66-6CA5-4815-B007-E8F02B0FC889}"/>
    <hyperlink ref="X20" r:id="rId348" xr:uid="{A7A7DE24-9529-4AF5-A585-781E97D9C165}"/>
    <hyperlink ref="X21" r:id="rId349" xr:uid="{FBE21837-D5C9-46A1-8953-6CA258A25B2A}"/>
    <hyperlink ref="X22" r:id="rId350" xr:uid="{8B8DA30C-AD2F-4EF4-B7CE-C5DED6281296}"/>
    <hyperlink ref="X23" r:id="rId351" xr:uid="{21BE383D-1E76-4F81-9D1D-2AFED7FA5155}"/>
    <hyperlink ref="X24" r:id="rId352" xr:uid="{E7282BED-4398-49F2-A756-EF55241A36AB}"/>
    <hyperlink ref="X25" r:id="rId353" xr:uid="{88DCCC99-C8FA-44C2-A1AA-D32D20DE84A4}"/>
    <hyperlink ref="X26" r:id="rId354" xr:uid="{519DBA0C-2D45-412A-BDB5-D922AAC19561}"/>
    <hyperlink ref="X27" r:id="rId355" xr:uid="{7BCBE221-480C-4767-8983-06E0DEA73C1A}"/>
    <hyperlink ref="X28" r:id="rId356" xr:uid="{EF75B902-8C53-4B80-9C11-63E23839BDAA}"/>
    <hyperlink ref="X29" r:id="rId357" xr:uid="{3A57BD17-8E21-4C80-88DF-53BA92498DBE}"/>
    <hyperlink ref="X30" r:id="rId358" xr:uid="{F2D8F034-A58E-4440-B315-EBBB2444E931}"/>
    <hyperlink ref="X31" r:id="rId359" xr:uid="{4409F084-5811-4574-B5C0-D84410283212}"/>
    <hyperlink ref="X32" r:id="rId360" xr:uid="{16474189-1566-439D-BD50-8B3C5974760E}"/>
    <hyperlink ref="X33" r:id="rId361" xr:uid="{084A504F-45C6-45C7-AECA-53E0640837D6}"/>
    <hyperlink ref="X34" r:id="rId362" xr:uid="{B8841277-D2C2-4D56-9003-364F907950F6}"/>
    <hyperlink ref="X35" r:id="rId363" xr:uid="{8ED896F1-1837-409F-A068-E2BA29F5DAE9}"/>
    <hyperlink ref="X36" r:id="rId364" xr:uid="{10EFF9B3-BB3E-472B-83D5-A5E47B13D39A}"/>
    <hyperlink ref="X37" r:id="rId365" xr:uid="{F5823DD2-AA95-40AE-B3F4-851C69194FDE}"/>
    <hyperlink ref="X38" r:id="rId366" xr:uid="{0F10D807-FB5D-44A2-A6BA-2A43155EDC36}"/>
    <hyperlink ref="X39" r:id="rId367" xr:uid="{D26D3CD5-34D4-453A-860B-B3B21944664F}"/>
    <hyperlink ref="X40" r:id="rId368" xr:uid="{53EDAB7E-A664-4B11-A4E8-74C9054DB494}"/>
    <hyperlink ref="X41" r:id="rId369" xr:uid="{F22C87F1-9E64-4550-94C8-4A06E86B9625}"/>
    <hyperlink ref="X42" r:id="rId370" xr:uid="{9BAFCDFB-A101-4755-BD59-7DA9B352527E}"/>
    <hyperlink ref="X43" r:id="rId371" xr:uid="{A0A8CF1D-9031-426C-A8EE-153FD0590AA3}"/>
    <hyperlink ref="X44" r:id="rId372" xr:uid="{EC5840FC-DC99-4F49-B2D5-90EBF03A987F}"/>
    <hyperlink ref="X45" r:id="rId373" xr:uid="{85FAAECF-BD15-4A4E-8629-5DDD3790C6D8}"/>
    <hyperlink ref="X46" r:id="rId374" xr:uid="{B200F259-056D-4E6F-A843-4BACCFF37EB6}"/>
    <hyperlink ref="X47" r:id="rId375" xr:uid="{7D381B66-0733-486B-8D7B-92EF03BD42D5}"/>
    <hyperlink ref="X48" r:id="rId376" xr:uid="{14C269A0-8708-409F-84C9-67354F3EBF74}"/>
    <hyperlink ref="X49" r:id="rId377" xr:uid="{6A895238-9258-4C34-BEBA-209A6166EA84}"/>
    <hyperlink ref="X50" r:id="rId378" xr:uid="{B1E9AE59-D25B-4724-9D2B-45F52ECA0883}"/>
    <hyperlink ref="X51" r:id="rId379" xr:uid="{021172A5-8D39-46D8-8D71-AA4F55C3BA4E}"/>
    <hyperlink ref="X52" r:id="rId380" xr:uid="{83F2CF18-64D9-4BB8-92CF-6A1E38BB61E4}"/>
    <hyperlink ref="X53" r:id="rId381" xr:uid="{D1F81DB5-BBAA-41AF-AFCD-3441FC271E85}"/>
    <hyperlink ref="X54" r:id="rId382" xr:uid="{B36FE1CA-3DA6-4D1D-BD2F-289B3FBF52DD}"/>
    <hyperlink ref="X55" r:id="rId383" xr:uid="{141F0228-AB06-4FAA-AA24-21372F23193F}"/>
    <hyperlink ref="X56" r:id="rId384" xr:uid="{E2F20172-C6D8-42D7-BC35-837CDB5F79F1}"/>
    <hyperlink ref="X57" r:id="rId385" xr:uid="{8F84D433-9773-4958-9D46-E6C4F0079BDA}"/>
    <hyperlink ref="X58" r:id="rId386" xr:uid="{69FECBAA-946C-407A-A971-3ADBC7F428E1}"/>
    <hyperlink ref="X59" r:id="rId387" xr:uid="{9532004E-AF9D-4177-8834-60EE5FD22FD8}"/>
    <hyperlink ref="X60" r:id="rId388" xr:uid="{4BE5929D-C251-4C51-9CDE-295DE9C52B6C}"/>
    <hyperlink ref="X61" r:id="rId389" xr:uid="{649A9DFD-8032-4C9A-9819-6A4564D548CB}"/>
    <hyperlink ref="X62" r:id="rId390" xr:uid="{E1907C3F-1EE6-4130-A36B-531B3C631FDB}"/>
    <hyperlink ref="X63" r:id="rId391" xr:uid="{581ECE78-B1C1-4D89-86DF-9B2DEE72F10D}"/>
    <hyperlink ref="X64" r:id="rId392" xr:uid="{9E64DD8F-BFB9-4993-BC04-9AD3E678823F}"/>
    <hyperlink ref="X65" r:id="rId393" xr:uid="{D31F43F7-984C-402D-974A-B00AFCAF025E}"/>
    <hyperlink ref="X66" r:id="rId394" xr:uid="{EC54B5A1-9712-4974-9307-058A3C6DD6E7}"/>
    <hyperlink ref="X67" r:id="rId395" xr:uid="{7734D6CF-DF4E-4695-86C7-F343AB17BC18}"/>
    <hyperlink ref="X68" r:id="rId396" xr:uid="{97B83635-AE3E-4967-8565-F724B3E0E63F}"/>
    <hyperlink ref="X69" r:id="rId397" xr:uid="{91B15131-26C2-4182-B4DE-3437B617C9F1}"/>
    <hyperlink ref="X70" r:id="rId398" xr:uid="{CC5FC5C3-5C2F-4DE0-8CD8-3A5F49580E1F}"/>
    <hyperlink ref="X71" r:id="rId399" xr:uid="{740DD26D-21C0-4E95-BB30-33437E3F03BD}"/>
    <hyperlink ref="X72" r:id="rId400" xr:uid="{9CBBFCD7-B296-4E4F-8ADC-0EAE7493712D}"/>
    <hyperlink ref="X73" r:id="rId401" xr:uid="{77A1F5B4-62A9-46F0-9BA2-0FB817D3174E}"/>
    <hyperlink ref="X74" r:id="rId402" xr:uid="{D526B7E8-90DE-4E9F-9555-84A068F5811C}"/>
    <hyperlink ref="X75" r:id="rId403" xr:uid="{72DA2439-C8DE-4925-AB37-484F031C8904}"/>
    <hyperlink ref="X76" r:id="rId404" xr:uid="{B518BC42-2A5E-412A-86E9-1BEE4A4F4ECE}"/>
    <hyperlink ref="X77" r:id="rId405" xr:uid="{281E1E03-5DCA-4429-A374-994C8AACAAA5}"/>
    <hyperlink ref="X78" r:id="rId406" xr:uid="{FC48635B-C9CE-4264-899E-E7D6BBAAAF37}"/>
    <hyperlink ref="X79" r:id="rId407" xr:uid="{AEA3B994-572A-45AB-98BB-83CEFD2FE148}"/>
    <hyperlink ref="X80" r:id="rId408" xr:uid="{90D5ACDC-6A5F-47B1-82F1-2271D8C2F16D}"/>
    <hyperlink ref="X81" r:id="rId409" xr:uid="{28B24D36-75B8-4B9C-9623-22D0CD5BDDF2}"/>
    <hyperlink ref="X82" r:id="rId410" xr:uid="{CE4BD2E9-3430-481B-B91C-0AF60CC2EB2B}"/>
    <hyperlink ref="X83" r:id="rId411" xr:uid="{DBB32664-F88F-4720-832E-9751AF2A6004}"/>
    <hyperlink ref="X84" r:id="rId412" xr:uid="{517700BD-5DF3-4F51-ACA8-2183D2FE3279}"/>
    <hyperlink ref="X85" r:id="rId413" xr:uid="{40863DD0-0B2B-44B9-B7A0-1BF8AF7F5ECE}"/>
    <hyperlink ref="X86" r:id="rId414" xr:uid="{EE03A44F-5DAA-45EF-940D-75720DCF6D20}"/>
    <hyperlink ref="X87" r:id="rId415" xr:uid="{5B00C082-A5A0-4604-B69F-2CF236A6E774}"/>
    <hyperlink ref="X88" r:id="rId416" xr:uid="{016B5072-F2ED-4659-B4DC-30FDEB2E720C}"/>
    <hyperlink ref="X89" r:id="rId417" xr:uid="{595C6BEA-CAE4-469C-9099-B77F8D9DCC69}"/>
    <hyperlink ref="X90" r:id="rId418" xr:uid="{1ACC604C-439A-47B5-A32A-6175A24CB623}"/>
    <hyperlink ref="X91" r:id="rId419" xr:uid="{A0828D39-B946-4BD6-ABD2-73A3D741472E}"/>
    <hyperlink ref="X92" r:id="rId420" xr:uid="{5A7E339F-EB3D-4953-879C-79C1771FE16E}"/>
    <hyperlink ref="X93" r:id="rId421" xr:uid="{38899AB6-DEA1-4823-8B29-F76252243E18}"/>
    <hyperlink ref="X94" r:id="rId422" xr:uid="{2A34E14B-0E65-411D-BA18-32F5E6791F73}"/>
    <hyperlink ref="X95" r:id="rId423" xr:uid="{F088D288-0BE5-416E-8016-6EAFF4AB0E06}"/>
    <hyperlink ref="X96" r:id="rId424" xr:uid="{ECF81E7D-8BD3-4C62-84DC-99DB384FEC51}"/>
    <hyperlink ref="X97" r:id="rId425" xr:uid="{4AD2A111-CDF2-420C-98D7-DCE6E738617C}"/>
    <hyperlink ref="X98" r:id="rId426" xr:uid="{84784849-4B43-40FF-BA81-74243CA9C058}"/>
    <hyperlink ref="X99" r:id="rId427" xr:uid="{84D75F21-AB16-4D59-A4FA-0F437DB02979}"/>
    <hyperlink ref="X100" r:id="rId428" xr:uid="{C633B6D7-0644-44C9-A555-2018DC305827}"/>
    <hyperlink ref="X101" r:id="rId429" xr:uid="{B6524B5F-6ED5-43A7-9D7A-729FB0A4ECEC}"/>
    <hyperlink ref="X103" r:id="rId430" xr:uid="{755C205C-135C-4019-B0D7-9AC714218E8B}"/>
    <hyperlink ref="X104" r:id="rId431" xr:uid="{EBB3BEFA-5955-4927-8FF7-85A29005DBAB}"/>
    <hyperlink ref="X105" r:id="rId432" xr:uid="{C567F13B-0AFD-4EC7-99A2-47D14CD33783}"/>
    <hyperlink ref="X106" r:id="rId433" xr:uid="{54A5C46B-814F-43AD-BCAD-456061CEC1DB}"/>
    <hyperlink ref="X107" r:id="rId434" xr:uid="{07B7F2AA-047F-4C0D-8DC5-FE0FDC33CB9A}"/>
    <hyperlink ref="X108" r:id="rId435" xr:uid="{A5F88F44-39CF-475B-A959-86D689A2B202}"/>
    <hyperlink ref="X111" r:id="rId436" xr:uid="{113485E3-54D3-452E-9289-A2A2228363DE}"/>
    <hyperlink ref="X112" r:id="rId437" xr:uid="{B7837028-D341-4319-B4B9-2A7AB5E61CE1}"/>
    <hyperlink ref="X113" r:id="rId438" xr:uid="{C3528AD7-281B-49AB-9D57-51B1B734E3E9}"/>
    <hyperlink ref="X114" r:id="rId439" xr:uid="{CA620146-FA63-457A-8F57-508CE25EDD12}"/>
    <hyperlink ref="X115" r:id="rId440" xr:uid="{1AF9FA67-EFCA-4192-B88A-848AD53E7404}"/>
    <hyperlink ref="X116" r:id="rId441" xr:uid="{0A10B791-8E06-44E2-AA1C-9E05DC689E0F}"/>
    <hyperlink ref="X117" r:id="rId442" xr:uid="{BE376E39-9776-43C0-A604-945BB00B81FF}"/>
    <hyperlink ref="X118" r:id="rId443" xr:uid="{58EC3F0B-BB39-4B2A-B2D4-AE3812146B13}"/>
    <hyperlink ref="X119" r:id="rId444" xr:uid="{F3CAA459-46CC-401E-9474-CB6122A7FC05}"/>
    <hyperlink ref="X121" r:id="rId445" xr:uid="{1C40802B-4FA7-411D-A9CC-15E07DFB85AC}"/>
    <hyperlink ref="X122" r:id="rId446" xr:uid="{0EDBE10A-B6A2-4F74-9467-0856BDB60D9F}"/>
    <hyperlink ref="X123" r:id="rId447" xr:uid="{EDE3A6A4-20C5-46FA-93E8-AC89C7B73C56}"/>
    <hyperlink ref="X125" r:id="rId448" xr:uid="{55BD0E8B-CF0C-4738-9DEE-106D937C454E}"/>
    <hyperlink ref="X126" r:id="rId449" xr:uid="{E91E8B30-BE06-4296-8B59-F39888245573}"/>
    <hyperlink ref="X127" r:id="rId450" xr:uid="{F78A396D-D1C8-4BDA-96D2-28875B298F20}"/>
    <hyperlink ref="X128" r:id="rId451" xr:uid="{2B198D55-27F3-404C-A2BD-7D36EC1E6B68}"/>
    <hyperlink ref="X129" r:id="rId452" xr:uid="{7B0D713F-C9CA-4C6B-AFCD-1D170604BCFE}"/>
    <hyperlink ref="X130" r:id="rId453" xr:uid="{B1372B42-4650-48DF-A853-A591AFD26D89}"/>
    <hyperlink ref="X131" r:id="rId454" xr:uid="{1A37D085-7176-4215-B952-3ADBACD94573}"/>
    <hyperlink ref="X132" r:id="rId455" xr:uid="{28AA6FC7-E84F-42DD-A169-5F514D89AE9D}"/>
    <hyperlink ref="X133" r:id="rId456" xr:uid="{90E50DC8-9A78-4242-887F-5ECC3E040D95}"/>
    <hyperlink ref="X134" r:id="rId457" xr:uid="{236C6734-6C46-4651-ABC3-1F44C743F319}"/>
    <hyperlink ref="X135" r:id="rId458" xr:uid="{75277305-5D4D-4D73-8D96-76B1F3B6C91F}"/>
    <hyperlink ref="X136" r:id="rId459" xr:uid="{97A73558-81C2-4DA3-8240-1F1C8A1FAA22}"/>
    <hyperlink ref="X137" r:id="rId460" xr:uid="{067C86CB-78B4-45CE-9518-89A2BC66DEF5}"/>
    <hyperlink ref="X138" r:id="rId461" xr:uid="{F0A7D4EF-1B09-4BE3-815F-56A950AE3D58}"/>
    <hyperlink ref="X139" r:id="rId462" xr:uid="{FD214E4E-61A6-46B4-A762-27F444836776}"/>
    <hyperlink ref="X140" r:id="rId463" xr:uid="{8FAD0793-47FC-46EA-9E3A-FD1D0F170EB3}"/>
    <hyperlink ref="X141" r:id="rId464" xr:uid="{84521189-0582-462D-9874-D6974B543825}"/>
    <hyperlink ref="X142" r:id="rId465" xr:uid="{375B3635-82FC-4686-9E90-6367E30E84E8}"/>
    <hyperlink ref="X143" r:id="rId466" xr:uid="{825AF28B-85F7-4296-9DF0-C93A4DAC9F17}"/>
    <hyperlink ref="X144" r:id="rId467" xr:uid="{9931F7A6-DD17-46FF-8379-40DBBCDB1885}"/>
    <hyperlink ref="X146" r:id="rId468" xr:uid="{A7AFE788-3F78-42E7-B75F-84419DF30410}"/>
    <hyperlink ref="X147" r:id="rId469" xr:uid="{33029517-1264-4028-9CDE-F672DD54A49B}"/>
    <hyperlink ref="Z2" r:id="rId470" display="2605113227" xr:uid="{37878809-4BE2-4CEA-9670-CCE2D50C21CF}"/>
    <hyperlink ref="Z3" r:id="rId471" display="2605101385" xr:uid="{9CA65E32-302A-4D0F-ABA9-86A498363899}"/>
    <hyperlink ref="Z4" r:id="rId472" display="2605106362" xr:uid="{D69E8A3C-723E-487F-A20F-6E8517473E4B}"/>
    <hyperlink ref="Z5" r:id="rId473" display="260595504" xr:uid="{4EA0489F-C224-44EF-81B9-C411CAF3A061}"/>
    <hyperlink ref="Z6" r:id="rId474" display="260598254" xr:uid="{42BCA4AB-E10F-432A-84FB-608E4A7090A1}"/>
    <hyperlink ref="Z7" r:id="rId475" display="2605101685" xr:uid="{36CED6A6-66E3-4548-8FEC-50A44683EF9E}"/>
    <hyperlink ref="Z8" r:id="rId476" display="2605101914" xr:uid="{1C56DE97-E12D-4891-B48B-7E647789B0A9}"/>
    <hyperlink ref="Z9" r:id="rId477" display="2605100691" xr:uid="{3F03A67C-AAB5-4854-BA90-29B9725DC42B}"/>
    <hyperlink ref="Z10" r:id="rId478" display="2605101437" xr:uid="{98FC7D5F-C329-4013-9DA5-A73ABB343A46}"/>
    <hyperlink ref="Z11" r:id="rId479" display="2605106858" xr:uid="{535FD2F2-18F4-4DB8-8587-07BE1F6E6870}"/>
    <hyperlink ref="Z12" r:id="rId480" display="2605100503" xr:uid="{6C7A722A-9836-434A-B9F1-3AAAEFD924B8}"/>
    <hyperlink ref="Z13" r:id="rId481" display="2605106749" xr:uid="{8BA6B686-78B5-4A79-B25A-0803A4A062AA}"/>
    <hyperlink ref="Z14" r:id="rId482" display="2605104506" xr:uid="{995FE047-98A3-4CB6-83CF-BC2294DB9B57}"/>
    <hyperlink ref="Z15" r:id="rId483" display="2605103079" xr:uid="{6CDFE777-8D23-4A47-B67F-AE637037911E}"/>
    <hyperlink ref="Z16" r:id="rId484" display="2605103668" xr:uid="{E0F1D0C6-E863-41EB-A0CC-9C94CBC8327A}"/>
    <hyperlink ref="Z17" r:id="rId485" display="2605102035" xr:uid="{A89067F8-ABBA-44E0-A8A5-249A562948CE}"/>
    <hyperlink ref="Z18" r:id="rId486" display="2605103273" xr:uid="{20967B67-7100-4A99-8D58-0DBBE135D1C5}"/>
    <hyperlink ref="Z19" r:id="rId487" display="2605107269" xr:uid="{37CECAAA-FA53-4254-B531-11BDC0798F00}"/>
    <hyperlink ref="Z20" r:id="rId488" display="2605107217" xr:uid="{F1E76471-DF12-4010-A1BE-EC99A5500606}"/>
    <hyperlink ref="Z21" r:id="rId489" display="2605107322" xr:uid="{06171252-8736-4D40-8870-8A20A342831D}"/>
    <hyperlink ref="Z22" r:id="rId490" display="2605103977" xr:uid="{35492195-9715-4A22-8ABF-20EC9E0A95CC}"/>
    <hyperlink ref="Z23" r:id="rId491" display="2605108712" xr:uid="{55824D62-A6D3-4A8C-980D-915858D92FEF}"/>
    <hyperlink ref="Z24" r:id="rId492" display="2605109923" xr:uid="{70D2C508-40D6-4904-BBFA-2F66AEC8A60A}"/>
    <hyperlink ref="Z25" r:id="rId493" display="2605106196" xr:uid="{A976AC88-2664-42A7-A275-3F99B835BB21}"/>
    <hyperlink ref="Z26" r:id="rId494" display="2605109152" xr:uid="{DCFE08EF-3818-4B1B-ACA7-3A9BF1004099}"/>
    <hyperlink ref="Z27" r:id="rId495" display="2605109255" xr:uid="{373CB602-D7F9-48DB-BD0B-72A79EEB3490}"/>
    <hyperlink ref="Z28" r:id="rId496" display="2605109265" xr:uid="{18F1EDB3-439B-410C-983C-CD5E2B4652C1}"/>
    <hyperlink ref="Z29" r:id="rId497" display="2605105649" xr:uid="{0C6FDD71-6098-413E-90C5-6BD4AFA49E9D}"/>
    <hyperlink ref="Z30" r:id="rId498" display="2605109941" xr:uid="{919F6B10-CFF2-48EE-B298-0AE6535235F9}"/>
    <hyperlink ref="Z31" r:id="rId499" display="2605105906" xr:uid="{83D608BA-58FA-4A8F-BE88-4F0FF7C73EAB}"/>
    <hyperlink ref="Z32" r:id="rId500" display="2605109424" xr:uid="{FE4ED6A3-A452-4388-B7FB-655173282847}"/>
    <hyperlink ref="Z33" r:id="rId501" display="2605111544" xr:uid="{E3FDDD80-DC46-4D36-AC0A-197A9F770EB8}"/>
    <hyperlink ref="Z34" r:id="rId502" display="2605108064" xr:uid="{54726BF9-B5F4-4FFF-B245-13B2A13FC922}"/>
    <hyperlink ref="Z35" r:id="rId503" display="2605109685" xr:uid="{77D095E6-24BD-4C10-B07A-87DBCFDE5A1A}"/>
    <hyperlink ref="Z36" r:id="rId504" display="2605109639" xr:uid="{F2039F0F-A03D-4DDB-B602-C2F50C68C632}"/>
    <hyperlink ref="Z37" r:id="rId505" display="2605111953" xr:uid="{27385CB2-30BF-40CF-9DF7-0CD70AC85F5D}"/>
    <hyperlink ref="Z38" r:id="rId506" display="2605110760" xr:uid="{B523F06E-367D-4EFE-90B0-9F4C0DD3DD3F}"/>
    <hyperlink ref="Z39" r:id="rId507" display="2605108147" xr:uid="{9E41D041-C906-4ED4-812C-B0E173D57550}"/>
    <hyperlink ref="Z40" r:id="rId508" display="2605109742" xr:uid="{CF764A5F-FCFA-40E3-BECE-5D0B036BEEC9}"/>
    <hyperlink ref="Z41" r:id="rId509" display="2605108514" xr:uid="{AB372FC0-8D78-4D6A-87B4-5C71B366F5A8}"/>
    <hyperlink ref="Z42" r:id="rId510" display="2605109732" xr:uid="{0056D379-98EC-45F2-9C30-ACA6EAF23763}"/>
    <hyperlink ref="Z43" r:id="rId511" display="2605113276" xr:uid="{71183C9A-7FBF-4C3B-A858-AC9AB53D223A}"/>
    <hyperlink ref="Z44" r:id="rId512" display="2605113362" xr:uid="{A671E9EA-E356-4E20-81D4-D4BB27191D4B}"/>
    <hyperlink ref="Z45" r:id="rId513" display="2605108328" xr:uid="{EAA8FDDD-20A0-44F9-BBDB-D5526B407BA0}"/>
    <hyperlink ref="Z46" r:id="rId514" display="2605109779" xr:uid="{539B1137-DA1E-4DD5-B49F-402AEE0CFABA}"/>
    <hyperlink ref="Z47" r:id="rId515" display="2605108680" xr:uid="{AA4579A2-5A9B-41BB-A4DF-9466083C436B}"/>
    <hyperlink ref="Z48" r:id="rId516" display="2605113395" xr:uid="{F84D0ADE-21F0-414E-A131-1EAFED0A9310}"/>
    <hyperlink ref="Z49" r:id="rId517" display="2605110890" xr:uid="{DE03EEFD-88E3-4F4B-9E47-2103829F9BD7}"/>
    <hyperlink ref="Z50" r:id="rId518" display="2605113776" xr:uid="{CAC55D2D-1313-4960-9E81-358BC8AEE793}"/>
    <hyperlink ref="Z51" r:id="rId519" display="2605113989" xr:uid="{3557E8A6-66BD-4D22-A01C-A44D6A336013}"/>
    <hyperlink ref="Z52" r:id="rId520" display="2605114628" xr:uid="{68CB166B-E73C-4B27-95CB-627312834F6F}"/>
    <hyperlink ref="Z53" r:id="rId521" display="2605111955" xr:uid="{36D9F9E7-68C7-4336-AE54-342AC97376DB}"/>
    <hyperlink ref="Z54" r:id="rId522" display="2605111677" xr:uid="{599C91F0-DCFA-4974-A1FD-C89603B21BB3}"/>
    <hyperlink ref="Z55" r:id="rId523" display="2605113022" xr:uid="{969D4B2A-EEE2-4E1A-BDD4-7F33FA16B4A0}"/>
    <hyperlink ref="Z56" r:id="rId524" display="2605114146" xr:uid="{A3C5C122-52C5-44C4-A255-44F9AD4FF79D}"/>
    <hyperlink ref="Z57" r:id="rId525" display="2605112925" xr:uid="{4B2A46B6-B686-491D-9E24-48A39B6B97A7}"/>
    <hyperlink ref="Z58" r:id="rId526" display="2605115963" xr:uid="{C6BB98D0-6E29-4287-BBC1-B873B51EA561}"/>
    <hyperlink ref="Z59" r:id="rId527" display="2605116837" xr:uid="{FCDF2277-58D5-4C8F-9A3B-CA25818170E8}"/>
    <hyperlink ref="Z60" r:id="rId528" display="2605115511" xr:uid="{EA6FFD50-6010-4426-8CAD-6BDBCA904BA0}"/>
    <hyperlink ref="Z61" r:id="rId529" display="2605117066" xr:uid="{B60E536E-A63B-4840-A653-F10731CA3BF6}"/>
    <hyperlink ref="Z62" r:id="rId530" display="2605118034" xr:uid="{B0B18881-C57F-400D-932C-6424161E7404}"/>
    <hyperlink ref="Z63" r:id="rId531" display="2605115713" xr:uid="{3C4EBE1F-5D96-406E-AFF3-54ADE3DBD1DB}"/>
    <hyperlink ref="Z64" r:id="rId532" display="2605117336" xr:uid="{26CC92CA-7A78-4B55-AA2E-164D06EBAD3E}"/>
    <hyperlink ref="Z65" r:id="rId533" display="2605116674" xr:uid="{D525FB61-F18F-41F7-A408-5CE8BD84C44D}"/>
    <hyperlink ref="Z66" r:id="rId534" display="2605116951" xr:uid="{575AC27A-8AE8-4909-8546-72A8FEC102FE}"/>
    <hyperlink ref="Z67" r:id="rId535" display="2605119647" xr:uid="{9A5430D5-DDB4-4838-BD7A-D4E06050BFA8}"/>
    <hyperlink ref="Z68" r:id="rId536" display="2605118330" xr:uid="{49435B93-F2EA-4C3A-B89D-428C98DCC0DD}"/>
    <hyperlink ref="Z69" r:id="rId537" display="2605117369" xr:uid="{9C61F70B-8488-47BE-9912-6F644FA45E3F}"/>
    <hyperlink ref="Z70" r:id="rId538" display="2605116934" xr:uid="{FDC0F0DF-26E0-49D9-B2CF-87A2B4DCCA04}"/>
    <hyperlink ref="Z71" r:id="rId539" display="2605117104" xr:uid="{81B9F97F-E74B-49F5-A840-3D39F120D6E2}"/>
    <hyperlink ref="Z72" r:id="rId540" display="2605119861" xr:uid="{B863585A-8412-4076-AABB-CC90315A8783}"/>
    <hyperlink ref="Z73" r:id="rId541" display="2605118527" xr:uid="{8348E5D0-FDC3-46F7-A976-D35843523110}"/>
    <hyperlink ref="Z74" r:id="rId542" display="2605121781" xr:uid="{A4D4D362-3042-46A4-BC1C-788BB243447B}"/>
    <hyperlink ref="Z75" r:id="rId543" display="2605118861" xr:uid="{AE756F31-38C1-43CF-9ACF-8D986F367181}"/>
    <hyperlink ref="Z76" r:id="rId544" display="2605119244" xr:uid="{99AB8419-86A0-45DC-BA9D-F046F5DDF8F8}"/>
    <hyperlink ref="Z77" r:id="rId545" display="2605119955" xr:uid="{52CF65F7-BC47-4DD3-A989-AE2BA62AF2F8}"/>
    <hyperlink ref="Z78" r:id="rId546" display="2605120001" xr:uid="{74FD7EDC-80A9-4E4A-9C0C-D4360C163302}"/>
    <hyperlink ref="Z79" r:id="rId547" display="2605118942" xr:uid="{3AF91398-853C-44EE-BEFD-1253AD3B06EB}"/>
    <hyperlink ref="Z80" r:id="rId548" display="2605118967" xr:uid="{92C47E9D-7843-4B2C-9EC8-C0D2A0690128}"/>
    <hyperlink ref="Z81" r:id="rId549" display="2605120555" xr:uid="{C7D21204-C6D8-41FE-8F50-628C5EF033F5}"/>
    <hyperlink ref="Z82" r:id="rId550" display="2605120568" xr:uid="{478B35A0-6634-4E33-914E-132D83309DDF}"/>
    <hyperlink ref="Z83" r:id="rId551" display="2605120044" xr:uid="{1E9103F6-4DA8-4FE9-BFC5-AAD0EA7B9258}"/>
    <hyperlink ref="Z84" r:id="rId552" display="2605120769" xr:uid="{3BDC4253-681C-4FA8-8519-35FA3688EFC2}"/>
    <hyperlink ref="Z85" r:id="rId553" display="2605121478" xr:uid="{C99FCC7D-36DB-499D-97B0-A3D7D75375D1}"/>
    <hyperlink ref="Z86" r:id="rId554" display="2605125296" xr:uid="{37DD1D3F-E36D-448D-9E4A-372642813DED}"/>
    <hyperlink ref="Z87" r:id="rId555" display="2605122382" xr:uid="{8F743678-FC79-4EDA-9676-62227A149694}"/>
    <hyperlink ref="Z88" r:id="rId556" display="2605122451" xr:uid="{FEC88511-7279-4929-B95F-298C4D8AA4EE}"/>
    <hyperlink ref="Z89" r:id="rId557" display="2605125301" xr:uid="{DBC52964-F872-4DA2-9763-78A3957CA2DF}"/>
    <hyperlink ref="Z90" r:id="rId558" display="2605123608" xr:uid="{218B6DE1-E5E8-4863-8B9D-8A457AD31BA4}"/>
    <hyperlink ref="Z91" r:id="rId559" display="2605121569" xr:uid="{7E4732EE-75D0-4952-B3A0-955E0AFCC3BC}"/>
    <hyperlink ref="Z92" r:id="rId560" display="2605123199" xr:uid="{9A53B200-CD35-46C9-88D5-E2B71F901D56}"/>
    <hyperlink ref="Z93" r:id="rId561" display="2605125312" xr:uid="{646DCA29-F5AD-4336-A915-A31EC504945C}"/>
    <hyperlink ref="Z94" r:id="rId562" display="2605123531" xr:uid="{2899E084-0E5C-44B5-9881-561C907B3E47}"/>
    <hyperlink ref="Z95" r:id="rId563" display="2605124864" xr:uid="{634B757A-547D-4E49-BDE7-7EB818CF76F6}"/>
    <hyperlink ref="Z96" r:id="rId564" display="2605124553" xr:uid="{BF8557C5-3188-47EC-8CCC-88AD127E35A0}"/>
    <hyperlink ref="Z97" r:id="rId565" display="2605127196" xr:uid="{C4454144-7732-415B-A41F-6F0D5FDE32FB}"/>
    <hyperlink ref="Z98" r:id="rId566" display="2605123208" xr:uid="{6D547A2C-2F5F-4759-8DD3-4D5BB8658F62}"/>
    <hyperlink ref="Z99" r:id="rId567" display="2605125079" xr:uid="{AD22FA28-409F-4875-821B-2EA9BCDBB611}"/>
    <hyperlink ref="Z100" r:id="rId568" display="2605124012" xr:uid="{5020E147-77FB-4163-BC70-43A65250A583}"/>
    <hyperlink ref="Z101" r:id="rId569" display="2605127558" xr:uid="{9BB23C1D-E64B-44B8-81AA-87E4CB192A34}"/>
    <hyperlink ref="Z102" r:id="rId570" display="2605124992" xr:uid="{38EDBDD8-8333-47AE-A661-304917F77EBC}"/>
    <hyperlink ref="Z103" r:id="rId571" display="2605125152" xr:uid="{9FDC6BF6-5F79-4C47-8A7C-D5F016B89028}"/>
    <hyperlink ref="Z104" r:id="rId572" display="2605127560" xr:uid="{BE28C070-0ED2-44FC-B3B6-A778130D47CD}"/>
    <hyperlink ref="Z105" r:id="rId573" display="2605126039" xr:uid="{3E8267F7-12EC-49E5-A7FA-6D45B580F067}"/>
    <hyperlink ref="Z106" r:id="rId574" display="2605125430" xr:uid="{0327EDCE-85E1-4F82-A746-C395C33A99F5}"/>
    <hyperlink ref="Z107" r:id="rId575" display="2605125143" xr:uid="{86F8CAF6-A3DD-4096-AE20-EE0DD20F14EC}"/>
    <hyperlink ref="Z108" r:id="rId576" display="2605126060" xr:uid="{715ABB42-9C6A-47AA-9F7E-D3899975A543}"/>
    <hyperlink ref="Z111" r:id="rId577" display="2605126161" xr:uid="{D661F960-3D89-40EC-B4C4-F4A163D8DAAF}"/>
    <hyperlink ref="Z112" r:id="rId578" display="2605126884" xr:uid="{5F3364DE-6E21-4AF7-BE37-F6EC0745643A}"/>
    <hyperlink ref="Z113" r:id="rId579" display="2605127561" xr:uid="{567B6496-DDE0-40E0-9305-2BC3DF527FF0}"/>
    <hyperlink ref="Z114" r:id="rId580" display="2605127669" xr:uid="{29FD446C-0F7F-419B-A63D-A7E9290DC194}"/>
    <hyperlink ref="Z115" r:id="rId581" display="2605126627" xr:uid="{C826512C-6C2C-48C9-8DD9-937AFD26B676}"/>
    <hyperlink ref="Z117" r:id="rId582" display="2605127563" xr:uid="{5642C038-5895-45F5-A762-A40D0774532C}"/>
    <hyperlink ref="Z119" r:id="rId583" display="2605126952" xr:uid="{75804E0E-5DAD-438B-BAAA-ED6D67CC398A}"/>
    <hyperlink ref="Z121" r:id="rId584" display="2605127649" xr:uid="{507EAF9D-9C6A-4C58-B269-7F538F9E429B}"/>
    <hyperlink ref="Z123" r:id="rId585" display="2605127293" xr:uid="{50DDE4E2-FC8C-485B-8163-CF37E96B3F91}"/>
    <hyperlink ref="Z125" r:id="rId586" display="2605127654" xr:uid="{1F0C34DF-22A1-4203-BE00-F4AEF568BA8D}"/>
    <hyperlink ref="Z110" r:id="rId587" display="2605129274" xr:uid="{AF7D5557-D226-4E44-A7F4-1F3726AED1E6}"/>
    <hyperlink ref="Z116" r:id="rId588" display="2605130145" xr:uid="{66C7F34C-B585-4FEF-A21E-DF62AD50EB23}"/>
    <hyperlink ref="Z118" r:id="rId589" display="2605128458" xr:uid="{46972F01-AE76-483D-B43D-B8FABFE55CD2}"/>
    <hyperlink ref="Z122" r:id="rId590" display="2605129781" xr:uid="{859B08BE-4ED3-4D8E-AF22-63B58E3E98D3}"/>
    <hyperlink ref="Z131" r:id="rId591" display="2605128897" xr:uid="{A5FA1B3E-C511-4D3A-A902-4D27E16CBD60}"/>
    <hyperlink ref="Z132" r:id="rId592" display="2605127727" xr:uid="{A3C7963D-A687-48CD-8F6A-81FE81B30F27}"/>
    <hyperlink ref="Z127" r:id="rId593" display="2605128791" xr:uid="{A1741A68-EA38-4E63-A8B5-C0E34ACEFACD}"/>
    <hyperlink ref="Z130" r:id="rId594" display="2605130464" xr:uid="{ABD01CCD-A6DA-47F9-AC51-0B41B19089FC}"/>
    <hyperlink ref="Z124" r:id="rId595" display="2605132151" xr:uid="{DD876728-4C83-4E3E-8D20-D204660B7F24}"/>
    <hyperlink ref="Z134" r:id="rId596" display="2605131592" xr:uid="{7594FB60-1750-451D-B7BB-65F2B4D00E70}"/>
    <hyperlink ref="Z138" r:id="rId597" display="2605132075" xr:uid="{1DCCD32B-C782-4198-9C64-7996B6C27BF7}"/>
    <hyperlink ref="Z139" r:id="rId598" display="2605131931" xr:uid="{972E8051-5070-454A-AFBB-417F47F2AC5A}"/>
    <hyperlink ref="Z143" r:id="rId599" display="2605132366" xr:uid="{A4BC775C-F270-4841-A177-68BE84347DD6}"/>
    <hyperlink ref="Z147" r:id="rId600" display="2605132703" xr:uid="{DDEB90A3-3957-4C6C-9E48-AC51DE1D98C4}"/>
    <hyperlink ref="Z126" r:id="rId601" display="2605133116" xr:uid="{D7181C86-5C5E-4FE6-A032-7F085B972A19}"/>
    <hyperlink ref="Z128" r:id="rId602" display="2605133220" xr:uid="{C2F4384D-73B1-4799-BEC2-EA1D9ED3BFFD}"/>
    <hyperlink ref="Z129" r:id="rId603" display="2605133269" xr:uid="{DEB927F1-8807-451B-B039-51F19E296F36}"/>
    <hyperlink ref="Z133" r:id="rId604" display="2605133281" xr:uid="{6AAB3055-881C-4DE4-9DCF-1A191732D7F8}"/>
    <hyperlink ref="Z135" r:id="rId605" display="2605133290" xr:uid="{7B19463F-CD01-4E79-AAEF-698E8B7A6455}"/>
    <hyperlink ref="Z136" r:id="rId606" display="2605133769" xr:uid="{E99AB2DA-5305-4427-BD6A-18B9182F3576}"/>
    <hyperlink ref="Z137" r:id="rId607" display="2605133969" xr:uid="{587C5156-A9FE-4064-9413-68EF673F0F3F}"/>
    <hyperlink ref="Z140" r:id="rId608" display="2605134191" xr:uid="{1FAA92E8-2A1B-492E-B6AB-88484D9492CF}"/>
    <hyperlink ref="Z142" r:id="rId609" display="2605134947" xr:uid="{DEDEAE26-7F29-4B73-9381-8F44CE9DC72D}"/>
    <hyperlink ref="Z144" r:id="rId610" display="2605135130" xr:uid="{19D2F95E-E633-4233-B4BF-BBD49820E552}"/>
    <hyperlink ref="Z141" r:id="rId611" display="2605134439" xr:uid="{A56E2C61-7FA2-4936-AF92-6F26448A21D7}"/>
    <hyperlink ref="Z146" r:id="rId612" display="2605135364" xr:uid="{9A0EDC6F-7743-4023-8943-F5BE89C46C45}"/>
    <hyperlink ref="Z148" r:id="rId613" display="2605135551" xr:uid="{47D39ACC-40A1-4F52-AF9C-7F80E10CD70C}"/>
    <hyperlink ref="Z150" r:id="rId614" display="2605135368" xr:uid="{F9C50796-41D8-4354-862E-79885E7CA906}"/>
    <hyperlink ref="Z154" r:id="rId615" display="2605135501" xr:uid="{58201C64-61F5-4422-875E-4396D6484830}"/>
    <hyperlink ref="AA2" r:id="rId616" display="2605114532" xr:uid="{5E9F875A-571C-4CDC-808D-0C54EF500FC9}"/>
    <hyperlink ref="AA3" r:id="rId617" display="2605109992" xr:uid="{27290C8B-528F-45CD-8893-3A7808434BEF}"/>
    <hyperlink ref="AA4" r:id="rId618" display="2605107634" xr:uid="{36409430-0A9F-4CFB-ACBA-7B60217A6D16}"/>
    <hyperlink ref="AA5" r:id="rId619" display="260597318" xr:uid="{BF78BBFD-1723-4D21-8DD6-711F87896BA8}"/>
    <hyperlink ref="AA6" r:id="rId620" display="260599583" xr:uid="{CA7AD475-7030-4D5D-9091-E1184D068485}"/>
    <hyperlink ref="AA7" r:id="rId621" display="2605107573" xr:uid="{3792657F-F4EA-42BD-8F84-2493B55B8829}"/>
    <hyperlink ref="AA8" r:id="rId622" display="2605102768" xr:uid="{ADE0B62C-0396-46E2-8A74-8E280C2A5D85}"/>
    <hyperlink ref="AA9" r:id="rId623" display="2605101997" xr:uid="{EB6108FA-B132-475F-8000-9D0BD224114D}"/>
    <hyperlink ref="AA10" r:id="rId624" display="2605101999" xr:uid="{52DDF46F-12D1-4206-A07F-3FDFBD563C67}"/>
    <hyperlink ref="AA11" r:id="rId625" display="2605107743" xr:uid="{D09A17CD-0C55-46CA-8101-FC20B7295905}"/>
    <hyperlink ref="AA12" r:id="rId626" display="2605102001" xr:uid="{DAF93E0B-31D6-4FE5-A589-DF10D7BACF15}"/>
    <hyperlink ref="AA13" r:id="rId627" display="2605107710" xr:uid="{6E67878A-3EB6-4EA4-86F6-10E95E293089}"/>
    <hyperlink ref="AA14" r:id="rId628" display="2605105058" xr:uid="{4E166FDB-D71A-4B7F-9843-56A3CBE39699}"/>
    <hyperlink ref="AA15" r:id="rId629" display="2605105078" xr:uid="{6D0ADE60-7270-4BB4-B68B-374D5AABBE25}"/>
    <hyperlink ref="AA16" r:id="rId630" display="2605105134" xr:uid="{658DFD22-699A-4B97-959C-0CC02D723796}"/>
    <hyperlink ref="AA17" r:id="rId631" display="2605102626" xr:uid="{147EBBDF-9EE1-493A-A5C3-AEF276B5868C}"/>
    <hyperlink ref="AA18" r:id="rId632" display="2605104792" xr:uid="{1CB93104-008E-4931-9958-41381DE392E9}"/>
    <hyperlink ref="AA19" r:id="rId633" display="2605110378" xr:uid="{082019AF-BE12-4653-AD08-0472598527EA}"/>
    <hyperlink ref="AA20" r:id="rId634" display="2605110317" xr:uid="{C86B4E9D-6884-46D7-82B6-38DDDBCDE0B5}"/>
    <hyperlink ref="AA21" r:id="rId635" display="2605110277" xr:uid="{F13827D1-9E6F-4133-8524-5340080DACA0}"/>
    <hyperlink ref="AA22" r:id="rId636" display="2605104765" xr:uid="{BD86C558-9198-491A-B206-82FB83D67EF0}"/>
    <hyperlink ref="AA23" r:id="rId637" display="2605110144" xr:uid="{BC8ECAA3-330D-4472-8EA2-31693A92221A}"/>
    <hyperlink ref="AA24" r:id="rId638" display="2605112548" xr:uid="{F51976E2-82E2-4241-9B59-ADA4C5C0E130}"/>
    <hyperlink ref="AA25" r:id="rId639" display="2605107984" xr:uid="{B35CF970-C2BA-4592-AA17-E99AAF3904DC}"/>
    <hyperlink ref="AA26" r:id="rId640" display="2605110090" xr:uid="{A4FE9EAA-2B66-4447-B357-8B1CAC4C8183}"/>
    <hyperlink ref="AA27" r:id="rId641" display="2605110037" xr:uid="{73D161EA-A3B5-472F-B4CF-F8F9EF9F47F5}"/>
    <hyperlink ref="AA28" r:id="rId642" display="2605110562" xr:uid="{B323DE97-C215-4BC5-B4AB-B7D380236012}"/>
    <hyperlink ref="AA29" r:id="rId643" display="2605107389" xr:uid="{8E5E86BB-EF3E-487C-BC0A-2FB753BFCF3B}"/>
    <hyperlink ref="AA30" r:id="rId644" display="2605112533" xr:uid="{0CD5D181-5C2B-461C-A244-205449E22465}"/>
    <hyperlink ref="AA31" r:id="rId645" display="2605107383" xr:uid="{4E7B6E45-EA1F-4DCE-BEBF-6DA0DA23B69F}"/>
    <hyperlink ref="AA32" r:id="rId646" display="2605110377" xr:uid="{45CEAF94-2575-4AF7-8E82-93F3B1086950}"/>
    <hyperlink ref="AA33" r:id="rId647" display="2605112433" xr:uid="{EBC85AAC-41C7-4DFF-96C5-CAB40E84923A}"/>
    <hyperlink ref="AA34" r:id="rId648" display="2605109863" xr:uid="{1C79DE77-150D-4E4B-B1BF-E991EC230615}"/>
    <hyperlink ref="AA35" r:id="rId649" display="2605110139" xr:uid="{8511D1B3-96AD-4901-A237-62F684C8C37C}"/>
    <hyperlink ref="AA37" r:id="rId650" display="2605112430" xr:uid="{E4FCB099-982F-4E2B-9ACE-0D730A57040E}"/>
    <hyperlink ref="AA38" r:id="rId651" display="2605112514" xr:uid="{76234855-84C4-4EF5-A0FB-86ACC9BA6DA4}"/>
    <hyperlink ref="AA39" r:id="rId652" display="2605109858" xr:uid="{E08DAEC4-246D-401B-A7A8-6C6D323ADE00}"/>
    <hyperlink ref="AA41" r:id="rId653" display="2605109851" xr:uid="{96D4D59C-7F84-4514-BCC9-7350952FEB4A}"/>
    <hyperlink ref="AA42" r:id="rId654" display="2605110161" xr:uid="{2CE5AF1D-D2C1-4866-9127-6A4C5D6D679F}"/>
    <hyperlink ref="AA43" r:id="rId655" display="2605114534" xr:uid="{E47ED0FE-0F3F-46F0-B857-49606D86E043}"/>
    <hyperlink ref="AA44" r:id="rId656" display="2605114515" xr:uid="{02D87396-7569-48F2-9516-E1D3508BDAB5}"/>
    <hyperlink ref="AA45" r:id="rId657" display="2605109841" xr:uid="{2BE2DB46-2D4A-47A7-B359-AD83D437EB23}"/>
    <hyperlink ref="AA46" r:id="rId658" display="2605112451" xr:uid="{1C576623-616A-495A-B7CE-DC09FA00F58A}"/>
    <hyperlink ref="AA47" r:id="rId659" display="2605110346" xr:uid="{28648F99-8B2F-4D12-95D2-B7692CEEA4AA}"/>
    <hyperlink ref="AA48" r:id="rId660" display="2605114518" xr:uid="{7FA91DA5-4522-4354-82B7-92DA6E3A22DC}"/>
    <hyperlink ref="AA49" r:id="rId661" display="2605112505" xr:uid="{CF4EDCE2-8DAB-459F-9AC0-BB58FFE58765}"/>
    <hyperlink ref="AA50" r:id="rId662" display="2605114358" xr:uid="{A975C91C-F55E-416D-ACDD-645D2E7D0312}"/>
    <hyperlink ref="AA51" r:id="rId663" display="2605114359" xr:uid="{4FCBB6B8-1CF0-4D66-B278-0BECE2148C28}"/>
    <hyperlink ref="AA53" r:id="rId664" display="2605112639" xr:uid="{BD2C0113-C8DE-49FD-85D1-AC4628460076}"/>
    <hyperlink ref="AA54" r:id="rId665" display="2605112425" xr:uid="{1C095F64-24E6-4ED5-96E3-36752FA1C8E5}"/>
    <hyperlink ref="AA55" r:id="rId666" display="2605114351" xr:uid="{3A2ACA10-09B3-4A0B-99EA-594E0C6952AC}"/>
    <hyperlink ref="AA56" r:id="rId667" display="2605117769" xr:uid="{FBAB360F-CF89-40C0-B81C-A1DD74CE1617}"/>
    <hyperlink ref="AA57" r:id="rId668" display="2605114353" xr:uid="{3A9A015C-5841-4D4C-AA96-FB29B6164C79}"/>
    <hyperlink ref="AA59" r:id="rId669" display="2605117897" xr:uid="{8EDDED61-C24D-4586-B322-15F1AD23AF7C}"/>
    <hyperlink ref="AA60" r:id="rId670" display="2605123254" xr:uid="{BED5B080-E496-42A3-847B-5A1DFFB8522D}"/>
    <hyperlink ref="AA70" r:id="rId671" display="2605125477" xr:uid="{998D3EDF-16B1-432F-B1E9-A92BB3637B70}"/>
    <hyperlink ref="AA74" r:id="rId672" display="2605125611" xr:uid="{E3D24557-ED96-4834-B8FA-A0FD67D3E737}"/>
    <hyperlink ref="AA75" r:id="rId673" display="2605120536" xr:uid="{6B6E020D-16F5-4DBE-933F-1EE4E849E655}"/>
    <hyperlink ref="AA76" r:id="rId674" display="2605120402" xr:uid="{BFA932B3-C202-4937-9EB9-F77E39347915}"/>
    <hyperlink ref="AA79" r:id="rId675" display="2605120305" xr:uid="{58376413-32C1-4E1B-8AF2-A96F4A2873CC}"/>
    <hyperlink ref="AA80" r:id="rId676" display="2605120420" xr:uid="{1C7CA13F-E1D9-4757-AFF9-91729D723D63}"/>
    <hyperlink ref="AA84" r:id="rId677" display="2605122963" xr:uid="{4A560FC0-F652-4E26-A55E-7C5DA4CEB860}"/>
    <hyperlink ref="AA85" r:id="rId678" display="2605122911" xr:uid="{91AE2F8C-CBD3-4AE5-B992-5C18AC4B544D}"/>
    <hyperlink ref="AA67" r:id="rId679" display="2605120411" xr:uid="{D69AF760-D37C-41C2-A9B1-1CAF8D69C542}"/>
    <hyperlink ref="AA69" r:id="rId680" display="2605122815" xr:uid="{865D79D7-535B-4986-89C5-53EBA12839C6}"/>
    <hyperlink ref="AA100" r:id="rId681" display="2605125449" xr:uid="{28803808-FD73-4F0A-945D-A0041B1C5FB8}"/>
    <hyperlink ref="AA36" r:id="rId682" display="2605110120" xr:uid="{26B435C9-6FD9-40F0-BD18-43FA1F1119F5}"/>
    <hyperlink ref="AA52" r:id="rId683" display="2605117796" xr:uid="{5A3829B3-59A0-42E5-82F6-89899BD320D1}"/>
    <hyperlink ref="AA64" r:id="rId684" display="2605120518" xr:uid="{1B3F8F0E-FA2D-40F0-9322-C04F69016158}"/>
    <hyperlink ref="AA65" r:id="rId685" display="2605117725" xr:uid="{9E3A1525-2486-4AA5-A60C-13E67C0AB565}"/>
    <hyperlink ref="AA71" r:id="rId686" display="2605118333" xr:uid="{5B9CBE44-7912-4B85-BF3B-4F15923F87FB}"/>
    <hyperlink ref="AA73" r:id="rId687" display="2605120479" xr:uid="{DCF24296-0E1B-4445-81EA-42DF16493D26}"/>
    <hyperlink ref="AA77" r:id="rId688" display="2605121038" xr:uid="{59B04431-580B-4207-BC54-9C89F630A7EA}"/>
    <hyperlink ref="AA78" r:id="rId689" display="2605121013" xr:uid="{390A0912-8F24-430E-A465-3DFCE7778D84}"/>
    <hyperlink ref="AA81" r:id="rId690" display="2605122751" xr:uid="{FD73C13E-4A34-4200-9FCF-B406038D2FDF}"/>
    <hyperlink ref="AA82" r:id="rId691" display="2605122896" xr:uid="{0AFBD427-DF2C-4FD6-8312-F19CB0DBE2D2}"/>
    <hyperlink ref="AA83" r:id="rId692" display="2605122843" xr:uid="{9192866A-834E-40E4-9826-F5B69BEC4835}"/>
    <hyperlink ref="AA88" r:id="rId693" display="2605125662" xr:uid="{75FEAB98-93CA-4257-A4EC-1FD601325377}"/>
    <hyperlink ref="Y3" r:id="rId694" xr:uid="{B2AAECBC-862C-45F9-8451-851C68856407}"/>
    <hyperlink ref="Y4" r:id="rId695" xr:uid="{01D48D59-F6D3-4A39-A17C-AD778F0CA26D}"/>
    <hyperlink ref="Y5" r:id="rId696" xr:uid="{4D1A6C90-34FC-4768-ADFD-4E72B995F503}"/>
    <hyperlink ref="Y6" r:id="rId697" xr:uid="{9C4C280F-D7EB-4251-82EB-6DE00E3FBB54}"/>
    <hyperlink ref="Y7" r:id="rId698" xr:uid="{DD57BFD7-6CE0-40DE-9A33-F88E56F00432}"/>
    <hyperlink ref="Y8" r:id="rId699" xr:uid="{2824B83D-34A8-4B91-8827-117EF8DE3C93}"/>
    <hyperlink ref="Y9" r:id="rId700" xr:uid="{DDB5EBEF-84F2-44C0-9BD2-F197C9BC2831}"/>
    <hyperlink ref="Y10" r:id="rId701" xr:uid="{98FA24AF-86D5-4DBD-AA18-5009AAC0D021}"/>
    <hyperlink ref="Y11" r:id="rId702" xr:uid="{1CE5CB07-5817-4D9E-BC5C-49BCC9F6ACAA}"/>
    <hyperlink ref="Y12" r:id="rId703" xr:uid="{3412A0C2-50C1-497F-9D5F-460DF84BAD8C}"/>
    <hyperlink ref="Y13" r:id="rId704" xr:uid="{852A1B33-561E-4AE6-8001-C5BD9558D742}"/>
    <hyperlink ref="Y14" r:id="rId705" xr:uid="{73E194AC-40A3-4D6D-BAFF-9F03149D278A}"/>
    <hyperlink ref="Y15" r:id="rId706" xr:uid="{37DD185D-7D93-4022-9618-F9E19B20FDC8}"/>
    <hyperlink ref="Y16" r:id="rId707" xr:uid="{06D322B4-C19C-4051-AC5A-53981E6156A9}"/>
    <hyperlink ref="Y17" r:id="rId708" xr:uid="{E59107ED-4414-43F9-8D5C-444D64CD7590}"/>
    <hyperlink ref="Y18" r:id="rId709" xr:uid="{A94B1F1A-6F66-4875-A1D2-6E1D41FDBF5D}"/>
    <hyperlink ref="Y19" r:id="rId710" xr:uid="{ADD39A66-8C2C-45B1-B184-A2B9321AADD7}"/>
    <hyperlink ref="Y20" r:id="rId711" xr:uid="{DFC0F666-E14E-4060-BA5D-9778A4E66CB5}"/>
    <hyperlink ref="Y21" r:id="rId712" xr:uid="{FEB4C0F9-EBC5-4D8D-ABD8-9CA76558D8FA}"/>
    <hyperlink ref="Y22" r:id="rId713" xr:uid="{1F10B392-99C6-4850-91C4-279B22B0EA4B}"/>
    <hyperlink ref="Y23" r:id="rId714" xr:uid="{3EC88C6D-6725-4EF9-8877-A437CDC60E47}"/>
    <hyperlink ref="Y24" r:id="rId715" xr:uid="{151D90DA-FE27-4D3E-A7D4-D0475EB3639C}"/>
    <hyperlink ref="Y25" r:id="rId716" xr:uid="{72B362FB-12A8-4EFD-A229-636F440F441A}"/>
    <hyperlink ref="Y26" r:id="rId717" xr:uid="{927EBE51-B2EC-451A-8777-99C57FB17D60}"/>
    <hyperlink ref="Y27" r:id="rId718" xr:uid="{75970E8E-EC37-4FE2-95F6-F8835B90284B}"/>
    <hyperlink ref="AF86" r:id="rId719" display="19/03/2026" xr:uid="{4EB2A940-AA74-4E26-B66A-554B1F912E86}"/>
    <hyperlink ref="AF92" r:id="rId720" display="19/03/2026" xr:uid="{E2F5E3F6-21C7-4F0F-9F81-563AEABD10E9}"/>
    <hyperlink ref="AF93" r:id="rId721" display="19/03/2026" xr:uid="{6F5E4201-DB16-4703-BA48-CD68572478DC}"/>
    <hyperlink ref="AF125" r:id="rId722" display="19/03/2026" xr:uid="{ACD13D38-14DF-43AF-AF6B-64253852AD14}"/>
    <hyperlink ref="Y28" r:id="rId723" xr:uid="{7A4899CC-8BDA-4591-9629-5ED2B5AB52D4}"/>
    <hyperlink ref="Y29" r:id="rId724" xr:uid="{CDBC043F-8DC6-4CB8-AC1F-2209710AE82F}"/>
    <hyperlink ref="Y30" r:id="rId725" xr:uid="{C483247B-86B9-4C97-ABBB-005F79EB7DBA}"/>
    <hyperlink ref="Y33" r:id="rId726" xr:uid="{E5BE0E3E-D126-46B3-986C-95FC7D421531}"/>
    <hyperlink ref="Y34" r:id="rId727" xr:uid="{22864210-E8F8-401B-A330-A65CAF64F70A}"/>
    <hyperlink ref="Y35" r:id="rId728" xr:uid="{CB28061A-F87F-4ADE-BAC1-3694EA416225}"/>
    <hyperlink ref="Y36" r:id="rId729" xr:uid="{4FD9CA71-4DF7-4C32-BE06-58D1B3A02287}"/>
    <hyperlink ref="Y37" r:id="rId730" xr:uid="{8F791267-8FA5-44AD-9F80-7459085C2B29}"/>
    <hyperlink ref="Y38" r:id="rId731" xr:uid="{1C5B1C47-550B-406D-8792-450EECDA8461}"/>
    <hyperlink ref="Y39" r:id="rId732" xr:uid="{C49C05D5-A68B-45BD-97BB-641732211892}"/>
    <hyperlink ref="Y40" r:id="rId733" xr:uid="{603A32BB-A9AE-45F8-96AD-5C11A69EB152}"/>
    <hyperlink ref="Y41" r:id="rId734" xr:uid="{3BA3C6EE-88DB-45E5-8A7C-E8164B06B0D9}"/>
    <hyperlink ref="Y42" r:id="rId735" xr:uid="{5D50ACFE-C90B-4EAB-837B-3E0C9C43E0D6}"/>
    <hyperlink ref="Y43" r:id="rId736" xr:uid="{03D467D2-4D45-4924-A092-9994CCA70846}"/>
    <hyperlink ref="Y44" r:id="rId737" xr:uid="{027CAD88-3A4D-42EB-B7E8-584ABC04FAE2}"/>
    <hyperlink ref="Y45" r:id="rId738" xr:uid="{6E50E789-ED31-4249-A045-2EFD451B36B2}"/>
    <hyperlink ref="Y46" r:id="rId739" xr:uid="{A534B11C-3091-49DD-A56E-76552309E8C1}"/>
    <hyperlink ref="X120" r:id="rId740" xr:uid="{03A41A78-E71B-4FC4-9D1A-62E90D35D07F}"/>
    <hyperlink ref="Z120" r:id="rId741" display="2605130467" xr:uid="{F32E78C4-8EF4-4B1F-AB3E-B62ECA0CAA60}"/>
    <hyperlink ref="X150" r:id="rId742" xr:uid="{BEAC8F7E-2F5A-4DDE-B93F-EA940F36E9BB}"/>
    <hyperlink ref="X151" r:id="rId743" xr:uid="{40299DA9-33ED-4372-B05E-10F8E44471B8}"/>
    <hyperlink ref="X153" r:id="rId744" xr:uid="{2C0A6F25-F6CC-4710-A018-2D8CD61D802C}"/>
    <hyperlink ref="AE150" r:id="rId745" display="4090180582" xr:uid="{03676988-83AA-4865-80B2-D10BBF6751B4}"/>
    <hyperlink ref="AE151" r:id="rId746" display="4090180583" xr:uid="{61B4782D-EBF1-4412-93FC-DC137E6E5BFF}"/>
    <hyperlink ref="AE153" r:id="rId747" display="4090180585" xr:uid="{6AEC2293-73CB-45C1-95F8-43A0DE6C9541}"/>
    <hyperlink ref="AE155" r:id="rId748" display="4090180587" xr:uid="{E23AFD06-85B9-4F4C-9ED9-0DC86346A3BC}"/>
    <hyperlink ref="AE145" r:id="rId749" display="4090180552" xr:uid="{515AC717-13C1-4743-8FB8-3C4712DA44B2}"/>
    <hyperlink ref="AE146" r:id="rId750" display="4090180553" xr:uid="{D384AB57-4840-4D96-B942-850BD0B87F12}"/>
    <hyperlink ref="AE164" r:id="rId751" display="4090180624" xr:uid="{5DF8A080-C0E1-4BB5-8065-A94922679D26}"/>
    <hyperlink ref="D102" r:id="rId752" xr:uid="{D55D8FE3-63B8-4CDB-9924-0EFDAA399987}"/>
    <hyperlink ref="X145" r:id="rId753" xr:uid="{1B10788F-D20F-4440-A67B-A8246B861626}"/>
    <hyperlink ref="X148" r:id="rId754" xr:uid="{954B13E5-9D46-4215-BE5C-025AF2991CA4}"/>
    <hyperlink ref="X154" r:id="rId755" xr:uid="{6A516AE4-8087-4771-8381-49F661E4566E}"/>
    <hyperlink ref="X155" r:id="rId756" xr:uid="{413E83BF-1A66-48C6-9382-8087A65AB3CB}"/>
    <hyperlink ref="X157" r:id="rId757" xr:uid="{B531BC44-86CB-491E-96EE-F1E79BC6E13C}"/>
    <hyperlink ref="X158" r:id="rId758" xr:uid="{A3D98B51-3540-4246-8CF6-248EC1DEB17E}"/>
    <hyperlink ref="X162" r:id="rId759" xr:uid="{D0AA9C33-3760-4162-91F3-3C65BCD744A0}"/>
    <hyperlink ref="X164" r:id="rId760" xr:uid="{CA87327F-485D-4896-AB7D-FA9E7094684A}"/>
    <hyperlink ref="Z166" r:id="rId761" display="2605137759" xr:uid="{3D9C0064-A996-4C2E-9AF5-321D005A17E1}"/>
    <hyperlink ref="Z164" r:id="rId762" display="2605137029" xr:uid="{EBD2C879-9384-4B7C-8741-9692CA5E6E66}"/>
    <hyperlink ref="Z162" r:id="rId763" display="2605136855" xr:uid="{A6179C30-364D-42D5-A440-425F5F51C629}"/>
    <hyperlink ref="Z161" r:id="rId764" display="2605137664" xr:uid="{22EB7B01-875E-4D46-B0D3-8D9FC90568A3}"/>
    <hyperlink ref="Z158" r:id="rId765" display="2605136589" xr:uid="{397EE1D1-DD66-4B3D-8E17-35E5D4A0C600}"/>
    <hyperlink ref="Z157" r:id="rId766" display="2605136552" xr:uid="{DE537A61-E283-4895-82BA-41395A001EC0}"/>
    <hyperlink ref="Z155" r:id="rId767" display="2605136336" xr:uid="{17D995A5-6E20-4827-8535-5307D26C1A9A}"/>
    <hyperlink ref="Z153" r:id="rId768" display="2605136938" xr:uid="{86F7CF5E-AAF3-4188-940B-62CBA55D0E67}"/>
    <hyperlink ref="Z151" r:id="rId769" display="2605136178" xr:uid="{78D98A93-FD0D-4C7A-90BC-08C21A067246}"/>
    <hyperlink ref="Z145" r:id="rId770" display="2605137738" xr:uid="{B59A597E-1F6E-4582-B87C-00857487FF90}"/>
    <hyperlink ref="AE128" r:id="rId771" display="4090180498" xr:uid="{18817B5B-1EC0-4423-8C68-A239DB2E49E3}"/>
    <hyperlink ref="AE157" r:id="rId772" display="4090180596" xr:uid="{4A013638-06E3-4E76-A825-F0946E7B1655}"/>
    <hyperlink ref="D144" r:id="rId773" xr:uid="{173F6192-6C41-45DC-ACEA-7EF44721C1DE}"/>
    <hyperlink ref="D141" r:id="rId774" xr:uid="{08DCE910-1773-4CCB-B049-A6FE5D1CF415}"/>
    <hyperlink ref="AE163" r:id="rId775" display="4090180623" xr:uid="{9E0A51DF-10D8-42AA-9FEA-F96C5E45B72A}"/>
    <hyperlink ref="AE166" r:id="rId776" display="4090180637" xr:uid="{C5A237A4-5D53-42F6-928D-A7A1DD89C13A}"/>
    <hyperlink ref="AE167" r:id="rId777" display="4090180642" xr:uid="{6E7A9245-A58E-4D90-93F0-BCFB60BDBC1A}"/>
    <hyperlink ref="AE170" r:id="rId778" display="4090180646" xr:uid="{D68700DA-EF36-4CA5-8A35-C1464DFABB62}"/>
    <hyperlink ref="D139" r:id="rId779" xr:uid="{1ECE1044-3DF7-449F-89BF-83B5338A67E5}"/>
    <hyperlink ref="D90" r:id="rId780" xr:uid="{777F893C-38AD-424A-BA82-F70981E260B3}"/>
    <hyperlink ref="D137" r:id="rId781" xr:uid="{771695DA-840D-44A0-8FCF-CF011C7779C4}"/>
    <hyperlink ref="D136" r:id="rId782" xr:uid="{EF26CD59-3072-488B-8AC3-C8C864267D45}"/>
    <hyperlink ref="AE142" r:id="rId783" display="4090180549" xr:uid="{D128082D-D21D-46CC-998F-862FE2A8758F}"/>
    <hyperlink ref="D135" r:id="rId784" xr:uid="{6F5F370A-8EC7-484C-BBBB-073A505BA883}"/>
    <hyperlink ref="D140" r:id="rId785" xr:uid="{CA2849BD-930E-4DB7-B256-26219BB0425E}"/>
    <hyperlink ref="D129" r:id="rId786" xr:uid="{C8E2F5CA-89E9-4C36-92E9-AE7326C82031}"/>
    <hyperlink ref="X163" r:id="rId787" xr:uid="{27DD6C09-6256-4054-8BAB-D95583FD9F37}"/>
    <hyperlink ref="X166" r:id="rId788" xr:uid="{DCFB9B4D-9FCD-4349-B189-A6F1DE80D1A1}"/>
    <hyperlink ref="X167" r:id="rId789" xr:uid="{6A9B2953-A41C-4732-8E44-550CBCF01628}"/>
    <hyperlink ref="X170" r:id="rId790" xr:uid="{3C460D99-02DD-4E76-B08D-C04D3A665712}"/>
    <hyperlink ref="D126" r:id="rId791" xr:uid="{4018A622-02BD-4BA6-AB59-2313F9EBBA9F}"/>
    <hyperlink ref="D143" r:id="rId792" xr:uid="{9A34EF29-6FD9-490D-8FAA-9097F072B3B9}"/>
    <hyperlink ref="D157" r:id="rId793" xr:uid="{D90F4282-7DA9-46E7-ACBB-FA1F19DD7D6E}"/>
    <hyperlink ref="D142" r:id="rId794" xr:uid="{2F5A4779-E85B-45C8-92D3-FBCF0EA4454C}"/>
    <hyperlink ref="D94" r:id="rId795" xr:uid="{787DF408-9887-4C03-B97E-E1889D170E8D}"/>
    <hyperlink ref="Z175" r:id="rId796" display="2605139459" xr:uid="{5319B859-A085-45A5-81EC-D3A2DF3E7E2B}"/>
    <hyperlink ref="Z170" r:id="rId797" display="2605139277" xr:uid="{25D4E073-A91C-4FBC-81EB-449BFF4884DC}"/>
    <hyperlink ref="Z167" r:id="rId798" display="2605138559" xr:uid="{B7788164-33EE-48EA-8DBD-0E8467F076DA}"/>
    <hyperlink ref="Z165" r:id="rId799" display="2605139970" xr:uid="{81A39C9E-529A-4D30-9F90-2318C4FE34A8}"/>
    <hyperlink ref="Z163" r:id="rId800" display="2605139070" xr:uid="{18AB1533-209F-4F6C-AE4B-D57F3053266A}"/>
    <hyperlink ref="Z149" r:id="rId801" display="2605140089" xr:uid="{E2AFEAFF-4327-497B-84DE-A94A04CD4DC2}"/>
    <hyperlink ref="AA147" r:id="rId802" display="2605133196" xr:uid="{D272CF36-DCC5-4247-B59F-7FEF23166C1D}"/>
    <hyperlink ref="AA138" r:id="rId803" display="2605133179" xr:uid="{E1246EDA-07D6-4CFE-A735-F8697006FACA}"/>
    <hyperlink ref="AA132" r:id="rId804" display="2605130670" xr:uid="{8C0510A0-35C4-4CE7-99C1-B29E4485D3DA}"/>
    <hyperlink ref="AA130" r:id="rId805" display="2605130648" xr:uid="{BA091B35-1495-47F3-AACB-FBA0F0EFA584}"/>
    <hyperlink ref="AA119" r:id="rId806" display="2605127639" xr:uid="{89293673-7D22-428F-AA4D-460942A939A4}"/>
    <hyperlink ref="AA118" r:id="rId807" display="2605130635" xr:uid="{CBF47814-94EF-46D2-B496-1AAA04C77BB4}"/>
    <hyperlink ref="AA117" r:id="rId808" display="2605128767" xr:uid="{048D507A-70D0-4D67-8935-CC4CDCD6E7BB}"/>
    <hyperlink ref="AA115" r:id="rId809" display="2605127636" xr:uid="{5E16812B-3CD7-4196-9380-80DA28AD9793}"/>
    <hyperlink ref="AA113" r:id="rId810" display="2605128846" xr:uid="{87D40C51-60AD-4211-9369-2C9855260E21}"/>
    <hyperlink ref="AA106" r:id="rId811" display="2605127606" xr:uid="{62403606-4D71-4D56-BCA6-94C4B90B613A}"/>
    <hyperlink ref="AA105" r:id="rId812" display="2605127576" xr:uid="{E1B53E06-36B8-46D0-871C-B49C606A351E}"/>
    <hyperlink ref="AA103" r:id="rId813" display="2605127597" xr:uid="{0A7E58DF-7A24-478C-9B8C-BD0A825D21A0}"/>
    <hyperlink ref="AA98" r:id="rId814" display="2605125489" xr:uid="{D1AFD027-2065-4263-BC62-F200945200B4}"/>
    <hyperlink ref="AA95" r:id="rId815" display="2605125499" xr:uid="{610EEDB9-2E62-4A91-A22D-4EC779540749}"/>
    <hyperlink ref="AA91" r:id="rId816" display="2605122923" xr:uid="{EC6BE747-C54A-4373-8BCC-2BEE0E5C4F72}"/>
    <hyperlink ref="AA89" r:id="rId817" display="2605127571" xr:uid="{8A6A4613-9367-4A5B-91DE-9DAE7398A827}"/>
    <hyperlink ref="AA87" r:id="rId818" display="2605125584" xr:uid="{913AE10E-0508-4B82-A830-F5D54B662953}"/>
    <hyperlink ref="AA68" r:id="rId819" display="2605120465" xr:uid="{A155D920-80B4-485D-9FED-DF91ECFDEF1B}"/>
    <hyperlink ref="AA63" r:id="rId820" display="2605117940" xr:uid="{706FB817-0225-47D1-8542-FDCCE9592008}"/>
    <hyperlink ref="AA40" r:id="rId821" display="2605110213" xr:uid="{113E67A9-6ED3-44F1-8D4E-DBDB200773FA}"/>
    <hyperlink ref="Y47" r:id="rId822" xr:uid="{C12A98F1-1D93-45F0-9D7B-82489879EDC8}"/>
    <hyperlink ref="Y48" r:id="rId823" xr:uid="{3BF40924-4B08-41DE-AB6B-33CF842A6849}"/>
    <hyperlink ref="Y49" r:id="rId824" xr:uid="{08607B20-6724-4133-8F37-1E65F476461E}"/>
    <hyperlink ref="Y50" r:id="rId825" xr:uid="{497D6FB2-FA99-4893-B1F4-DEC3AA012E50}"/>
    <hyperlink ref="Y51" r:id="rId826" xr:uid="{51E259DB-E438-4A3D-A4F5-23CDA17E297E}"/>
    <hyperlink ref="Y52" r:id="rId827" xr:uid="{FBAAE974-5B63-4BE6-B5ED-E2B9219C871D}"/>
    <hyperlink ref="Y53" r:id="rId828" xr:uid="{215D00AF-6EF3-45E8-8F79-1D00D8DC88B9}"/>
    <hyperlink ref="Y54" r:id="rId829" xr:uid="{7B1FCDD4-7B49-41C2-A8AC-9D88DFDB5D04}"/>
    <hyperlink ref="Y55" r:id="rId830" xr:uid="{E5ADF940-4149-4276-ADFB-44D08C2CED31}"/>
    <hyperlink ref="Y56" r:id="rId831" xr:uid="{EB5F1B2B-96DA-4951-BC59-C1F8F1B93395}"/>
    <hyperlink ref="Y57" r:id="rId832" xr:uid="{94C145E9-9C85-4EE8-8B9D-1C40318ED014}"/>
    <hyperlink ref="Y58" r:id="rId833" xr:uid="{59223FFF-5A36-4599-A506-065D97697CAB}"/>
    <hyperlink ref="Y59" r:id="rId834" xr:uid="{82D2BFA5-428E-4C55-88F4-F3977D1C2535}"/>
    <hyperlink ref="Y60" r:id="rId835" xr:uid="{E365142A-5621-494E-832E-3C182B9C9DA7}"/>
    <hyperlink ref="Y62" r:id="rId836" xr:uid="{3A592237-875A-4C50-81BA-374A00599696}"/>
    <hyperlink ref="Y63" r:id="rId837" xr:uid="{0B34A0DA-3A1D-4A64-A047-A6807DE6AC9D}"/>
    <hyperlink ref="Y64" r:id="rId838" xr:uid="{4243095B-5122-4E1A-9DF7-C7D4ECC562A3}"/>
    <hyperlink ref="Y65" r:id="rId839" xr:uid="{34FAD658-9ACB-4BDF-98F9-D2FA316C683C}"/>
    <hyperlink ref="Y66" r:id="rId840" xr:uid="{A20ABD6A-4139-430E-9B06-1D164223473F}"/>
    <hyperlink ref="Y67" r:id="rId841" xr:uid="{61FD0AEA-AB99-4801-AC00-43B05E9E5591}"/>
    <hyperlink ref="Y68" r:id="rId842" xr:uid="{ADC3B4A2-923B-48A5-A838-CE93F80E53C1}"/>
    <hyperlink ref="Z186" r:id="rId843" display="2605140192" xr:uid="{DE83C6DE-1864-486F-B5F5-B17262F327D1}"/>
    <hyperlink ref="Z183" r:id="rId844" display="2605140063" xr:uid="{9012DD17-181B-47C2-B07A-191055FA6C72}"/>
    <hyperlink ref="X124" r:id="rId845" xr:uid="{0530502E-923C-4935-ABFA-237A8CDBCADD}"/>
    <hyperlink ref="AE124" r:id="rId846" display="4090180475" xr:uid="{070872F2-5E6B-41CF-A3CC-AE4CEF5B4F7C}"/>
    <hyperlink ref="D97" r:id="rId847" xr:uid="{C5186CBC-B6F2-4E9E-B511-3102D715D6C3}"/>
    <hyperlink ref="D114" r:id="rId848" xr:uid="{5DD884B7-C15D-43BB-8B38-3859209999C5}"/>
    <hyperlink ref="D145" r:id="rId849" xr:uid="{1038628A-86A1-4423-9204-D1D9B3BC3B85}"/>
    <hyperlink ref="Y69" r:id="rId850" xr:uid="{0AEF4027-7343-411C-BBB0-C3EC4549C1FE}"/>
    <hyperlink ref="Y70" r:id="rId851" xr:uid="{894BF704-E3C8-4711-B1AA-AD5CD38196E5}"/>
    <hyperlink ref="Y71" r:id="rId852" xr:uid="{3D266FF2-454F-40F3-8439-6D1AAC38DC61}"/>
    <hyperlink ref="Y72" r:id="rId853" xr:uid="{15FAB51F-E95E-4A3C-A710-ACE25979825E}"/>
    <hyperlink ref="Y73" r:id="rId854" xr:uid="{E4F1A244-BD2B-4FDB-BBBC-10A0B96456CC}"/>
    <hyperlink ref="Y74" r:id="rId855" xr:uid="{79BB1620-9884-4E60-B9BE-FEFE43EF9E21}"/>
    <hyperlink ref="Y75" r:id="rId856" xr:uid="{AD462FEE-77D9-48E3-8ABE-0CCB449DDAF5}"/>
    <hyperlink ref="Y76" r:id="rId857" xr:uid="{BB400680-E501-4571-8DEF-C2A16D9238AB}"/>
    <hyperlink ref="Y77" r:id="rId858" xr:uid="{1FE54420-BCC2-43E9-A2DB-631A17FABC53}"/>
    <hyperlink ref="Y78" r:id="rId859" xr:uid="{62B92ABF-2799-4DAE-8DFA-5B1F091189A6}"/>
    <hyperlink ref="Y79" r:id="rId860" xr:uid="{10070A82-1394-4AFF-A04C-E5DAAF39F025}"/>
    <hyperlink ref="Y80" r:id="rId861" xr:uid="{EC3DAA99-C5B2-4F1B-A640-D1F8945249B3}"/>
    <hyperlink ref="Y81" r:id="rId862" xr:uid="{A19F6E4B-FD44-4DAA-9790-3B01FB6F5F63}"/>
    <hyperlink ref="Y82" r:id="rId863" xr:uid="{6A5E72F0-EEF2-4947-8B7F-CEF7BCACF336}"/>
    <hyperlink ref="Y83" r:id="rId864" xr:uid="{1CC33FE8-75FC-4C92-84C5-FF63DD6A6425}"/>
    <hyperlink ref="Y84" r:id="rId865" xr:uid="{2B993CE0-4E36-4A50-92DC-8AA1DB4341FA}"/>
    <hyperlink ref="Y85" r:id="rId866" xr:uid="{535F36CA-7C61-47F9-810F-30537A303D78}"/>
    <hyperlink ref="Y86" r:id="rId867" xr:uid="{8A44694B-B582-45FE-AB52-E6F48217C583}"/>
    <hyperlink ref="Y87" r:id="rId868" xr:uid="{1D226473-4BFA-4881-8D34-6E86E22314E2}"/>
    <hyperlink ref="Y88" r:id="rId869" xr:uid="{34CD2C0A-1990-4A8E-B8CE-C5E2E3337BB5}"/>
    <hyperlink ref="Y89" r:id="rId870" xr:uid="{64E42BB4-B264-49EB-8FDA-A2DA712D5B5F}"/>
    <hyperlink ref="Y90" r:id="rId871" xr:uid="{9F972A20-D666-4D22-A360-F6B82B3EB894}"/>
    <hyperlink ref="Y91" r:id="rId872" xr:uid="{3F85051A-824D-4DE9-99C9-0BD0DD17811C}"/>
    <hyperlink ref="Y92" r:id="rId873" xr:uid="{9F1838FA-CC65-4E4E-9A02-C51BE9BE9A9E}"/>
    <hyperlink ref="Y93" r:id="rId874" xr:uid="{9DD288EC-DEE1-49E1-B3A5-EF78A9E8FFAC}"/>
    <hyperlink ref="Y94" r:id="rId875" xr:uid="{CAD5CFE1-BEC3-40C6-9C45-518BD567B888}"/>
    <hyperlink ref="AE191" r:id="rId876" display="4090180685" xr:uid="{5EEBA580-BCE2-40C6-8661-B2101FB2ABB1}"/>
    <hyperlink ref="AE149" r:id="rId877" display="4090180566" xr:uid="{55E37CA1-8749-4BB2-A244-759591434AE0}"/>
    <hyperlink ref="X191" r:id="rId878" xr:uid="{E61F1578-D637-45E4-B02E-728332B88545}"/>
    <hyperlink ref="Z191" r:id="rId879" display="2605140337" xr:uid="{B0622718-EACE-4DF5-955C-3A983D7A661E}"/>
    <hyperlink ref="Z190" r:id="rId880" display="2605140326" xr:uid="{164CE883-5F3A-4A76-8655-E9D818804513}"/>
    <hyperlink ref="Z169" r:id="rId881" display="2605140246" xr:uid="{CA8CDDA4-3881-4DD3-B3DA-78910AE644D1}"/>
    <hyperlink ref="X175" r:id="rId882" xr:uid="{3D0DB2D4-95F1-4087-93A8-47B5909B4869}"/>
    <hyperlink ref="AA102" r:id="rId883" display="2605127574" xr:uid="{D2749C49-2102-4D1E-88DD-3F2E6B139697}"/>
    <hyperlink ref="AA120" r:id="rId884" display="2605131389" xr:uid="{709DF9C4-996A-49C2-9254-B5C2D1515475}"/>
    <hyperlink ref="AA121" r:id="rId885" display="2605128399" xr:uid="{8E7CB61F-CE54-4323-A849-A31C2D4B34B1}"/>
    <hyperlink ref="Z159" r:id="rId886" display="2605140522" xr:uid="{4B82DDF3-8AF6-4CB9-A6AF-28B637831E02}"/>
    <hyperlink ref="Z168" r:id="rId887" display="2605140523" xr:uid="{35B80A8A-71BE-428B-8755-E6A0EC7D5F9C}"/>
    <hyperlink ref="AE175" r:id="rId888" display="4090180652" xr:uid="{792A0843-EED9-4080-B3FB-F97BBB758173}"/>
    <hyperlink ref="AE162" r:id="rId889" display="4090180614" xr:uid="{424E08E8-507C-4F16-A59E-E128B43A9EBB}"/>
    <hyperlink ref="AE158" r:id="rId890" display="4090180600" xr:uid="{1F0CABA3-3E0E-45E5-BE31-971950AA1F7F}"/>
    <hyperlink ref="X183" r:id="rId891" xr:uid="{0A2C4787-FC71-470E-A901-5CC5CA4718C1}"/>
    <hyperlink ref="X165" r:id="rId892" xr:uid="{A99F5A3A-09D6-44FA-8FBD-8E80C0E0A8AD}"/>
    <hyperlink ref="X149" r:id="rId893" xr:uid="{7079B859-8EEF-4232-8DC0-7BB729698BDF}"/>
    <hyperlink ref="X102" r:id="rId894" xr:uid="{DFF9D285-9165-4227-A91E-1F6B99EBD071}"/>
    <hyperlink ref="D124" r:id="rId895" xr:uid="{8F177C19-90E0-434B-9676-0406531C8061}"/>
    <hyperlink ref="Y31" r:id="rId896" xr:uid="{518B7F84-5AA0-46FE-8B23-2E6BBF4C9314}"/>
    <hyperlink ref="Y32" r:id="rId897" xr:uid="{57C909FC-11D7-4730-9877-C508A4F3527B}"/>
    <hyperlink ref="Y95" r:id="rId898" xr:uid="{5266F626-380C-4086-8099-AEB483C4A300}"/>
    <hyperlink ref="Y96" r:id="rId899" xr:uid="{5F78DA99-7B47-4974-8A06-0E199F8A0D8B}"/>
    <hyperlink ref="Y97" r:id="rId900" xr:uid="{F15ED4DB-56E9-42BF-810D-D1AFE101A20D}"/>
    <hyperlink ref="Y98" r:id="rId901" xr:uid="{37DD42E8-568C-4151-802D-3D12D2E6C35A}"/>
    <hyperlink ref="Y99" r:id="rId902" xr:uid="{DAC5587B-0CD0-4CDC-A606-9DBDFD157ED5}"/>
    <hyperlink ref="Y100" r:id="rId903" xr:uid="{0685A9DC-2903-4865-BDB2-0C8C577CF604}"/>
    <hyperlink ref="Y101" r:id="rId904" xr:uid="{CE622226-D493-4573-906C-3D3101353915}"/>
    <hyperlink ref="Y102" r:id="rId905" xr:uid="{3F46C32A-CCF1-4660-A8CA-D206623B5CC6}"/>
    <hyperlink ref="Y103" r:id="rId906" xr:uid="{66DEE0CF-3D3E-4439-BD98-BAC53877D5DE}"/>
    <hyperlink ref="Y104" r:id="rId907" xr:uid="{790FB7FC-F6EC-45F5-A3E4-A5642C6C9104}"/>
    <hyperlink ref="Y105" r:id="rId908" xr:uid="{E0A252DB-1124-402C-8295-8819B50DD4CB}"/>
    <hyperlink ref="Y106" r:id="rId909" xr:uid="{678E431D-2B66-485B-89E9-E34C95A13860}"/>
    <hyperlink ref="X169" r:id="rId910" xr:uid="{D412BF4D-FD32-4B11-8B0D-E226D8CAECE1}"/>
    <hyperlink ref="Y113" r:id="rId911" xr:uid="{6E8F8A58-8B7B-4823-8990-8596FB65B273}"/>
    <hyperlink ref="Y114" r:id="rId912" xr:uid="{A27223B9-C513-4A36-84DB-C7E33B9D4CB1}"/>
    <hyperlink ref="Y115" r:id="rId913" xr:uid="{AFFAC9D2-172A-4A98-8951-3190EC5C3F70}"/>
    <hyperlink ref="Y117" r:id="rId914" xr:uid="{A02CC968-7E43-4F36-BC80-D2EA9512173B}"/>
    <hyperlink ref="Y118" r:id="rId915" xr:uid="{450C9BEE-2862-4E14-8666-B0E78B8398E8}"/>
    <hyperlink ref="Y119" r:id="rId916" xr:uid="{46A421AC-D9DF-4EE3-91B1-C04EBC238C6C}"/>
    <hyperlink ref="Y120" r:id="rId917" xr:uid="{6E259AC5-D4F9-46BA-BC9F-FAC4949A8898}"/>
    <hyperlink ref="Y121" r:id="rId918" xr:uid="{BF1AA3EE-3AF5-40AE-ADC9-2BBFFF6B4D39}"/>
    <hyperlink ref="Y122" r:id="rId919" xr:uid="{B29E26A0-E5F5-433C-AE67-52A8E9476831}"/>
    <hyperlink ref="Y124" r:id="rId920" xr:uid="{85196BD5-1899-4A22-A74A-744794E1F603}"/>
    <hyperlink ref="Y125" r:id="rId921" xr:uid="{E1942516-2D2F-4735-B9F9-590BB746A1C2}"/>
    <hyperlink ref="Y126" r:id="rId922" xr:uid="{4F9DC617-52FD-403A-B015-F21901C8E07A}"/>
    <hyperlink ref="Y127" r:id="rId923" xr:uid="{AE22D009-EE7F-4BDF-B644-D1F09A4EB440}"/>
    <hyperlink ref="Y128" r:id="rId924" xr:uid="{0F00560B-FAD4-4143-A350-650D425D250F}"/>
    <hyperlink ref="Y129" r:id="rId925" xr:uid="{0CD350C2-1427-4B6C-86E4-0FB7A5801A90}"/>
    <hyperlink ref="Y130" r:id="rId926" xr:uid="{0C4E2EAB-166C-4081-83BD-C0F4989BAE7C}"/>
    <hyperlink ref="Y131" r:id="rId927" xr:uid="{8D7813E0-0E41-49A4-B53B-0BF9652CB0EA}"/>
    <hyperlink ref="Y132" r:id="rId928" xr:uid="{3626A047-C472-45FD-934D-3405A3678F2C}"/>
    <hyperlink ref="Y134" r:id="rId929" xr:uid="{DBD055B9-4CF7-4427-9995-2F635F1BCA88}"/>
    <hyperlink ref="Y135" r:id="rId930" xr:uid="{0A7FF2A7-B543-49C1-B0CB-5B0DC377E62F}"/>
    <hyperlink ref="Y136" r:id="rId931" xr:uid="{EDCA1324-4553-487E-B9A5-88F6B0D43B6B}"/>
    <hyperlink ref="Y137" r:id="rId932" xr:uid="{19126DEE-71EC-4639-AA43-A34D725EDC11}"/>
    <hyperlink ref="Y139" r:id="rId933" xr:uid="{8844FA1F-CFA0-403F-878B-66970C3127E4}"/>
    <hyperlink ref="Y140" r:id="rId934" xr:uid="{A6C3DD94-7312-40CE-A017-A068B79B6EED}"/>
    <hyperlink ref="Y141" r:id="rId935" xr:uid="{87A0A849-1312-4D2C-8469-44F9731B2B09}"/>
    <hyperlink ref="Y142" r:id="rId936" xr:uid="{A235090C-BD6C-4404-B14D-38B1055AB93B}"/>
    <hyperlink ref="Y143" r:id="rId937" xr:uid="{E95AF58D-2C1F-4844-9FAA-4C6680AF5881}"/>
    <hyperlink ref="Y144" r:id="rId938" xr:uid="{EA3895DE-7F64-4521-A7FB-7EEFB19DA1C9}"/>
    <hyperlink ref="Y145" r:id="rId939" xr:uid="{4D215BA0-BB6C-4FFA-B0CF-614B7996F162}"/>
    <hyperlink ref="Y146" r:id="rId940" xr:uid="{7270847E-1CAC-4C34-8981-9BC5DA6C1460}"/>
    <hyperlink ref="Y147" r:id="rId941" xr:uid="{5ADAC7CC-1CBE-4435-9938-4084F8754011}"/>
    <hyperlink ref="Y157" r:id="rId942" xr:uid="{B93B0511-5ABE-46FD-862E-85DC97846B28}"/>
    <hyperlink ref="Y138" r:id="rId943" xr:uid="{C5FE7DDB-86ED-4A62-AB33-65595B27E3E7}"/>
    <hyperlink ref="X152" r:id="rId944" xr:uid="{E6348B2D-09BD-4064-84E5-DF6D5EFBEC83}"/>
    <hyperlink ref="X159" r:id="rId945" xr:uid="{32B00EB2-9D49-4C81-B1C3-76FC80D7CC87}"/>
    <hyperlink ref="X168" r:id="rId946" xr:uid="{9C9141BD-2F0B-4F94-990B-8E3C6671BBF9}"/>
    <hyperlink ref="X174" r:id="rId947" xr:uid="{ECB1FD4B-E477-49FC-8BBD-DE5ED1EAA95E}"/>
    <hyperlink ref="X178" r:id="rId948" xr:uid="{B4D09287-145E-49E8-A271-068EFD7192D6}"/>
    <hyperlink ref="X180" r:id="rId949" xr:uid="{85D9DA33-75BE-4C41-AD7B-E6DC9D8FECA5}"/>
    <hyperlink ref="X186" r:id="rId950" xr:uid="{2A92405F-243B-4075-9355-BF3387EC2FBF}"/>
    <hyperlink ref="X190" r:id="rId951" xr:uid="{60565437-3C42-41A7-9756-C02474A3D20D}"/>
    <hyperlink ref="AE159" r:id="rId952" display="4090180601" xr:uid="{7BA1994F-59F7-4163-B5ED-3489F3FF5592}"/>
    <hyperlink ref="AF114" r:id="rId953" display="21/03/2026" xr:uid="{E609C56D-E53C-4B38-80E6-2F80BC7B21DD}"/>
    <hyperlink ref="AF97" r:id="rId954" display="21/03/2026" xr:uid="{0668FC3F-4A08-48F7-B432-3686EC8B9EC6}"/>
    <hyperlink ref="D62" r:id="rId955" xr:uid="{437075F4-DA0B-4F29-AC5E-01AF6CE85C6F}"/>
    <hyperlink ref="D134" r:id="rId956" xr:uid="{E05FAA34-125D-4FED-B41D-C47A90037714}"/>
    <hyperlink ref="D131" r:id="rId957" xr:uid="{B6F21618-FC42-4352-84B6-9EC12B23FA9D}"/>
    <hyperlink ref="D146" r:id="rId958" xr:uid="{434CFD5D-8282-4777-8194-514B71584352}"/>
    <hyperlink ref="D149" r:id="rId959" xr:uid="{98E7DAEB-CD2F-4575-9C7E-2BD72D0B1234}"/>
    <hyperlink ref="D191" r:id="rId960" xr:uid="{D4FE71CE-C01D-42A2-825C-7E8EEA1E2926}"/>
    <hyperlink ref="AE152" r:id="rId961" display="4090180584" xr:uid="{626AF2D0-B9A8-47BB-B3FD-3082C90495BD}"/>
    <hyperlink ref="AE165" r:id="rId962" display="4090180636" xr:uid="{A69B8293-83DD-4EE9-80D3-AF7FF5331DA7}"/>
    <hyperlink ref="AE168" r:id="rId963" display="4090180643" xr:uid="{AC055B1D-F92D-4026-981E-F9308C3790E7}"/>
    <hyperlink ref="AE169" r:id="rId964" display="4090180645" xr:uid="{A6F2DDB4-39D0-497B-B2AD-07FD8C837679}"/>
    <hyperlink ref="AE171" r:id="rId965" display="4090180647" xr:uid="{D58654C8-5448-4484-A4FF-9FD8ACF5BABA}"/>
    <hyperlink ref="AE174" r:id="rId966" display="40900180651" xr:uid="{7F1BD095-9F22-4D52-85D4-CEBECAE49137}"/>
    <hyperlink ref="AE178" r:id="rId967" display="4090180661" xr:uid="{BE6731E0-0372-404F-B87C-25DE02C0C512}"/>
    <hyperlink ref="AE180" r:id="rId968" display="4090180664" xr:uid="{F2ABC9EC-F121-487B-AD90-336E4495D8F0}"/>
    <hyperlink ref="AE181" r:id="rId969" display="4090180665" xr:uid="{78F41B81-E2D0-44D5-9E8D-EFF62FF64E13}"/>
    <hyperlink ref="AE183" r:id="rId970" display="4090180667" xr:uid="{1B9FF08D-D6D9-4EA8-85AC-3A1F7BECBCA6}"/>
    <hyperlink ref="AE186" r:id="rId971" display="4090180670" xr:uid="{847A3048-9566-498D-84F6-8448EF98927F}"/>
    <hyperlink ref="AE190" r:id="rId972" display="4091080674" xr:uid="{E8FB8E5A-6AD9-4364-8142-ABBBE4DBE236}"/>
    <hyperlink ref="AE194" r:id="rId973" display="4090180693" xr:uid="{4CEC9943-4DB2-4D60-AC2C-EB739B66A242}"/>
    <hyperlink ref="D155" r:id="rId974" xr:uid="{1255F4AF-BB59-434B-AFAE-7C6BA576A012}"/>
    <hyperlink ref="D154" r:id="rId975" xr:uid="{373393E5-0280-443A-A7A9-06E01E4394FB}"/>
    <hyperlink ref="Z194" r:id="rId976" display="2605141838" xr:uid="{A59C8310-16A7-4002-A6FA-72D0A5683843}"/>
    <hyperlink ref="Z182" r:id="rId977" display="2605142590" xr:uid="{78F9E3A0-F7E1-4257-8638-D81BC6F0C310}"/>
    <hyperlink ref="Z181" r:id="rId978" display="2605140828" xr:uid="{46809B3B-C287-477F-9468-066AC6751181}"/>
    <hyperlink ref="Z180" r:id="rId979" display="2605140822" xr:uid="{C6AD0F45-C495-4754-8832-9584537F0931}"/>
    <hyperlink ref="Z179" r:id="rId980" display="2605143165" xr:uid="{30AAC20F-DEF4-44D7-9977-0E583EF956C5}"/>
    <hyperlink ref="Z178" r:id="rId981" display="2605139953" xr:uid="{2082D56C-ABB5-4DB6-996B-C898DD8904FD}"/>
    <hyperlink ref="Z177" r:id="rId982" display="2605142208" xr:uid="{4CF86C78-79B1-4981-8417-A12F13BFDF6E}"/>
    <hyperlink ref="Z176" r:id="rId983" display="2605140813" xr:uid="{61273A94-B56C-4860-B92F-3A7B922BD390}"/>
    <hyperlink ref="Z174" r:id="rId984" display="2605141566" xr:uid="{2B33C041-51D0-49AA-BD7C-1D23DB1600A2}"/>
    <hyperlink ref="Z173" r:id="rId985" display="2605140800" xr:uid="{3CA92973-9C94-4071-B80F-203731C97AA9}"/>
    <hyperlink ref="Z172" r:id="rId986" display="2605142196" xr:uid="{0059ACD6-B9DD-47DC-B985-C91D6BC66479}"/>
    <hyperlink ref="Z171" r:id="rId987" display="2605141675" xr:uid="{7D757CCA-38EF-4D29-9E9A-F87808ACB1EE}"/>
    <hyperlink ref="Z160" r:id="rId988" display="2605140669" xr:uid="{CB937D41-66B3-458A-AF65-20C4936E6BB2}"/>
    <hyperlink ref="Z156" r:id="rId989" display="2605140651" xr:uid="{F65500F4-C615-4858-A6C6-7C23EFC88029}"/>
    <hyperlink ref="Z152" r:id="rId990" display="2605140641" xr:uid="{CF78D1DC-2E41-4238-8797-C0159B031FBE}"/>
    <hyperlink ref="AA58" r:id="rId991" display="2605117795" xr:uid="{4B8F318B-A991-49E5-97A2-9496F9158F6F}"/>
    <hyperlink ref="AA66" r:id="rId992" display="2605117887" xr:uid="{3098EEB9-D7AC-428D-997E-16D83C75391C}"/>
    <hyperlink ref="AA86" r:id="rId993" display="2605127569" xr:uid="{C36B9A14-D249-44C3-AF5A-EE15C1E9642E}"/>
    <hyperlink ref="AA92" r:id="rId994" display="2605125529" xr:uid="{69C58EA5-E88D-4560-9E7A-D8AFACAC69CD}"/>
    <hyperlink ref="AA93" r:id="rId995" display="2605127573" xr:uid="{00742BC6-CE15-4DC7-AE99-BC20E0F005E0}"/>
    <hyperlink ref="AA122" r:id="rId996" display="2605130642" xr:uid="{72A182A7-43EB-4D59-8588-70992D72320E}"/>
    <hyperlink ref="AA125" r:id="rId997" display="2605128296" xr:uid="{7B360C8D-15AB-4F91-8E01-44BE2E193792}"/>
    <hyperlink ref="AA128" r:id="rId998" display="2605135884" xr:uid="{10E7F60C-6645-41D1-8EF5-BF6CEB2F504F}"/>
    <hyperlink ref="Z109" r:id="rId999" display="2605140510" xr:uid="{0A2D8C2F-BF73-4903-88CA-F56EC72BEB73}"/>
    <hyperlink ref="X194" r:id="rId1000" xr:uid="{F57D31A6-7257-495F-8939-0880A07D14C3}"/>
    <hyperlink ref="X181" r:id="rId1001" xr:uid="{0FE66183-F2D9-41BB-9F37-F7A2B6422F3E}"/>
    <hyperlink ref="X177" r:id="rId1002" xr:uid="{6399BFB8-2BF9-44C5-A1AF-6A6625F414C0}"/>
    <hyperlink ref="X172" r:id="rId1003" xr:uid="{0F89C54F-565F-420E-81E5-634E72559422}"/>
    <hyperlink ref="X171" r:id="rId1004" xr:uid="{AB6A7853-EA86-490F-90C3-B4EF06DAEC84}"/>
    <hyperlink ref="X160" r:id="rId1005" xr:uid="{236DD6DC-E99B-48A2-9CF6-43A236A2D1D7}"/>
    <hyperlink ref="AA72" r:id="rId1006" display="2605120421" xr:uid="{4E8717B7-8DAA-4C81-8CD0-9651AE5EC549}"/>
    <hyperlink ref="AA101" r:id="rId1007" display="2605129024" xr:uid="{75288B7C-049F-497B-B100-E3795C4FB09B}"/>
    <hyperlink ref="Z185" r:id="rId1008" display="2605143399" xr:uid="{6BFFB50D-E137-4383-9DAA-1FAA36425D3D}"/>
    <hyperlink ref="Z189" r:id="rId1009" display="2605143484" xr:uid="{31825286-2F9B-404A-90BC-DA3CD994B3DB}"/>
    <hyperlink ref="AE172" r:id="rId1010" display="4090180648" xr:uid="{56212A07-6F81-491D-97E1-AF23A8A0E8F9}"/>
    <hyperlink ref="AE177" r:id="rId1011" display="4090180656" xr:uid="{3FC0A424-5043-4815-A40F-0404CD76BA8A}"/>
    <hyperlink ref="X182" r:id="rId1012" xr:uid="{999F779F-A687-43A2-9856-C28680888C9C}"/>
    <hyperlink ref="AF127" r:id="rId1013" display="23/03/2026" xr:uid="{F1343A22-ED73-4E84-BEF6-4B8FE27036B7}"/>
    <hyperlink ref="AF131" r:id="rId1014" display="23/03/2026" xr:uid="{5B0EA3F3-E007-427F-B859-B41D8A66E3A9}"/>
    <hyperlink ref="AF134" r:id="rId1015" display="23/03/2026" xr:uid="{EDAB33BF-FBE1-4A82-AB13-8D017D8ED534}"/>
    <hyperlink ref="AF135" r:id="rId1016" display="23/03/2026" xr:uid="{2D7F776F-7552-4F86-AE64-EC5139B6C05B}"/>
    <hyperlink ref="AF136" r:id="rId1017" display="23/03/2026" xr:uid="{8556D3DF-2B60-4839-8041-CFAB099C66C7}"/>
    <hyperlink ref="AF137" r:id="rId1018" display="23/03/2026" xr:uid="{AB84CAB2-FFEE-49B0-B190-99AE80CD88D0}"/>
    <hyperlink ref="AF139" r:id="rId1019" display="23/03/2026" xr:uid="{9B77F488-4842-465B-A320-8BB79F39DE82}"/>
    <hyperlink ref="AF140" r:id="rId1020" display="23/03/2026" xr:uid="{C45846E6-E62F-4103-AE37-627396B438A0}"/>
    <hyperlink ref="AF141" r:id="rId1021" display="23/03/2026" xr:uid="{26FE02D5-A36F-486A-9CCD-93399E00E937}"/>
    <hyperlink ref="AF142" r:id="rId1022" display="23/03/2026" xr:uid="{2C40BFF5-6D0D-41DD-B72A-68A7153AA4CE}"/>
    <hyperlink ref="AF143" r:id="rId1023" display="23/03/2026" xr:uid="{2E2696DE-226F-4C1B-B455-6C54BE4AE7B7}"/>
    <hyperlink ref="AF144" r:id="rId1024" display="23/03/2026" xr:uid="{9270AEC3-4694-4FF1-9DDC-494C1E7FA2D2}"/>
    <hyperlink ref="AF145" r:id="rId1025" display="23/03/2026" xr:uid="{204DF0F0-A88D-40D3-9638-7A8D223A547E}"/>
    <hyperlink ref="AF146" r:id="rId1026" display="23/03/2026" xr:uid="{1FB31012-33DB-4812-86F1-90BAFA216F4C}"/>
    <hyperlink ref="AF149" r:id="rId1027" display="23/03/2026" xr:uid="{373BD5AC-D08B-46F6-8322-B76D212D2654}"/>
    <hyperlink ref="AF152" r:id="rId1028" display="23/03/2026" xr:uid="{B7FC3FF0-4A8F-43C1-A278-C340CE65042E}"/>
    <hyperlink ref="AF157" r:id="rId1029" display="23/03/2026" xr:uid="{47D2425E-582B-43F1-90A4-7B6D14106F44}"/>
    <hyperlink ref="AF170" r:id="rId1030" display="23/03/2026" xr:uid="{AC645187-1902-4D10-B967-A9E25B920C48}"/>
    <hyperlink ref="AF171" r:id="rId1031" display="23/03/2026" xr:uid="{46219F43-BCEC-4691-B4A6-2D0CF011EE64}"/>
    <hyperlink ref="AF191" r:id="rId1032" display="23/03/2026" xr:uid="{DC928792-2CEA-4F83-970A-CAC92D403052}"/>
    <hyperlink ref="AF126" r:id="rId1033" display="24/03/2026" xr:uid="{773F0D15-B6F7-4000-B605-27316D3E9E63}"/>
    <hyperlink ref="AF154" r:id="rId1034" display="24/03/2026" xr:uid="{1B6A50F4-8E07-431A-A505-E14150CB5196}"/>
    <hyperlink ref="AF155" r:id="rId1035" display="24/03/2026" xr:uid="{A95179DA-A5F5-4A23-9FBF-FFE194F2FB7E}"/>
    <hyperlink ref="AF165" r:id="rId1036" display="24/03/2026" xr:uid="{7DDB1E14-1D82-4EF4-9677-09C40A11200C}"/>
    <hyperlink ref="AF61" r:id="rId1037" display="24/03/2026" xr:uid="{0118B232-101D-4CB4-9D90-CFFBAB06F283}"/>
    <hyperlink ref="D61" r:id="rId1038" xr:uid="{CE062A12-1E89-4A5C-B41E-036DBAF6A973}"/>
    <hyperlink ref="X109" r:id="rId1039" xr:uid="{76794F58-59C9-4937-BF31-21251A73360B}"/>
    <hyperlink ref="X110" r:id="rId1040" xr:uid="{9C6D86A0-8918-4F14-A01A-D8DCACDD30FE}"/>
    <hyperlink ref="X156" r:id="rId1041" xr:uid="{239E6F5A-3993-422A-95CE-79992808D426}"/>
    <hyperlink ref="X173" r:id="rId1042" xr:uid="{46EF4AE6-7619-4DFF-9C8A-78D9923A4A1D}"/>
    <hyperlink ref="X179" r:id="rId1043" xr:uid="{447D24E1-2AE5-4F17-B701-AFBFC263E2D7}"/>
    <hyperlink ref="X185" r:id="rId1044" xr:uid="{17407524-CFC1-4A6F-AEFE-39BFB425B1CB}"/>
    <hyperlink ref="AE110" r:id="rId1045" display="4090180423" xr:uid="{00E692A3-C0E6-4090-A451-25054630F9A2}"/>
    <hyperlink ref="AE109" r:id="rId1046" display="4090180420" xr:uid="{60EBF173-ACD2-4128-A043-933E79BF65A1}"/>
    <hyperlink ref="D107" r:id="rId1047" xr:uid="{BE10583B-CD19-4CD5-85A2-C78258938AF6}"/>
    <hyperlink ref="D112" r:id="rId1048" xr:uid="{E152A7F3-53DC-4DFF-8D3C-22AC6DFCB4F5}"/>
    <hyperlink ref="X189" r:id="rId1049" xr:uid="{6CB909AB-B4F6-40BB-A386-E5B3D736ED8E}"/>
    <hyperlink ref="D108" r:id="rId1050" xr:uid="{931D7405-6C50-4B95-98E8-4FE1CDE89399}"/>
    <hyperlink ref="D158" r:id="rId1051" xr:uid="{6023B89F-CA38-4737-8095-381F83F92E66}"/>
    <hyperlink ref="D168" r:id="rId1052" xr:uid="{3A8AEE89-3B15-436E-9B63-58BB4788F64C}"/>
    <hyperlink ref="D153" r:id="rId1053" xr:uid="{97630313-C6EC-4785-95A7-39741B7A76F2}"/>
    <hyperlink ref="D165" r:id="rId1054" xr:uid="{95DE38E1-13CC-4469-9262-936351A2353F}"/>
    <hyperlink ref="X187" r:id="rId1055" xr:uid="{A53452A1-3F50-4FAD-9E0C-99C31923AE65}"/>
    <hyperlink ref="Z184" r:id="rId1056" display="2605143486" xr:uid="{36E2D15A-11D6-4932-84F3-48CB15BA07C6}"/>
    <hyperlink ref="Z187" r:id="rId1057" display="2605143665" xr:uid="{CCA4C701-8D8B-4487-B4C4-4A97EFCF58A0}"/>
    <hyperlink ref="Z198" r:id="rId1058" display="2605144412" xr:uid="{00C96EEF-51AB-4F96-B2AA-B73C17820E1A}"/>
    <hyperlink ref="Z202" r:id="rId1059" display="2605144515" xr:uid="{63694D89-5A78-4B4B-B881-6E1E3C8B7802}"/>
    <hyperlink ref="Z206" r:id="rId1060" display="2605144712" xr:uid="{A25B4B3A-DED6-409A-A533-15235E8DCE60}"/>
    <hyperlink ref="Z210" r:id="rId1061" display="2605144841" xr:uid="{761E01A4-7896-44AA-AEAE-26A59CB0EB17}"/>
    <hyperlink ref="Z211" r:id="rId1062" display="2605144635" xr:uid="{11A9E23C-D150-4A63-A204-58B548341A45}"/>
    <hyperlink ref="Z213" r:id="rId1063" display="2605145069" xr:uid="{31A4FF0A-F6E4-4BE0-9751-4C6B0C792FE6}"/>
    <hyperlink ref="Z217" r:id="rId1064" display="2605145184" xr:uid="{9C244937-C2CB-402D-A816-0E09674983BA}"/>
    <hyperlink ref="AA137" r:id="rId1065" display="2605135928" xr:uid="{EA1BBCCE-7002-46B5-B673-761662F3BFAB}"/>
    <hyperlink ref="AA62" r:id="rId1066" display="2605120449" xr:uid="{D13F623D-95A0-4C8F-BFC1-8DF93D025062}"/>
    <hyperlink ref="D152" r:id="rId1067" xr:uid="{79D15778-A67D-46C6-A46E-28D6C9558BDE}"/>
    <hyperlink ref="D123" r:id="rId1068" xr:uid="{B8867573-19E7-44D6-A246-A88B72AB4CA2}"/>
    <hyperlink ref="X198" r:id="rId1069" xr:uid="{2F991697-08A7-4312-9F91-DE7012A6EEDA}"/>
    <hyperlink ref="X202" r:id="rId1070" xr:uid="{BB606CD1-B884-464C-AD4D-44289C9A1DAA}"/>
    <hyperlink ref="X206" r:id="rId1071" xr:uid="{6E40BDCD-F422-4B1D-AC4B-69D46E5DBA3E}"/>
    <hyperlink ref="X211" r:id="rId1072" xr:uid="{278A8F9F-F33D-43B5-8196-021D2086547A}"/>
    <hyperlink ref="X184" r:id="rId1073" xr:uid="{611FB764-FD5A-44A7-B4A7-D6E07B007EEE}"/>
    <hyperlink ref="D148" r:id="rId1074" xr:uid="{20D82221-C5F3-47B9-B834-B92F77A44BCA}"/>
    <hyperlink ref="D171" r:id="rId1075" xr:uid="{758DD8B7-4DCB-4D21-868F-A074CE4AB9AD}"/>
    <hyperlink ref="D180" r:id="rId1076" xr:uid="{4924E677-4A11-4709-80AC-20B1ADA05355}"/>
    <hyperlink ref="D181" r:id="rId1077" xr:uid="{FF23B10B-B43E-41D0-A03B-803DBB645BDF}"/>
    <hyperlink ref="D133" r:id="rId1078" xr:uid="{DB8FB20A-911E-4B57-B054-5AD6ECA3A15E}"/>
    <hyperlink ref="X210" r:id="rId1079" xr:uid="{7048A5F0-B491-4695-880D-0552304AADF3}"/>
    <hyperlink ref="AF107" r:id="rId1080" display="24/03/2026" xr:uid="{B1D1CB79-42AB-4D5C-89AC-675F573B13A9}"/>
    <hyperlink ref="AF108" r:id="rId1081" display="24/03/2026" xr:uid="{90F228FE-CE05-480C-ACF4-8F397BA5313B}"/>
    <hyperlink ref="AF111" r:id="rId1082" display="24/03/2026" xr:uid="{CBD2C418-D1C2-432E-8332-7E883F4AE341}"/>
    <hyperlink ref="AF112" r:id="rId1083" display="24/03/2026" xr:uid="{D8F436FB-03C4-494D-B6FB-36ADA8D3D5C1}"/>
    <hyperlink ref="AF123" r:id="rId1084" display="24/03/2026" xr:uid="{CE3A206D-6FCB-4FCB-8922-0CDFDBF97CEE}"/>
    <hyperlink ref="AF133" r:id="rId1085" display="24/03/2026" xr:uid="{C0369913-A7E2-4F1A-B6B9-96B45074C7D0}"/>
    <hyperlink ref="AF148" r:id="rId1086" display="24/03/2026" xr:uid="{84DE81C7-DEC8-474F-9775-5F44A0509D38}"/>
    <hyperlink ref="AF150" r:id="rId1087" display="24/03/2026" xr:uid="{45B0D8BA-0A29-42B2-B081-16757ECF000F}"/>
    <hyperlink ref="AF156" r:id="rId1088" display="24/03/2026" xr:uid="{65A69DA9-B2FD-47F6-8264-27F53037C12F}"/>
    <hyperlink ref="AF158" r:id="rId1089" display="24/03/2026" xr:uid="{B435EFCF-7AA8-41CF-9FB4-5C40F1804F80}"/>
    <hyperlink ref="AF160" r:id="rId1090" display="24/03/2026" xr:uid="{3EC0AAA0-BA3F-439F-A676-73E94909D2A2}"/>
    <hyperlink ref="AF162" r:id="rId1091" display="24/03/2026" xr:uid="{E78EB27D-E774-445F-B992-C0882DA89B14}"/>
    <hyperlink ref="AF168" r:id="rId1092" display="24/03/2026" xr:uid="{CE4404A7-3740-47FB-AE70-7DD70D9FA6F1}"/>
    <hyperlink ref="AF173" r:id="rId1093" display="24/03/2026" xr:uid="{5E94F07C-D6FC-4C59-AA9B-762C6F49B1A6}"/>
    <hyperlink ref="AF179" r:id="rId1094" display="24/03/2026" xr:uid="{8804D829-1682-4B29-A353-6D912BD776F3}"/>
    <hyperlink ref="AF180" r:id="rId1095" display="24/03/2026" xr:uid="{9A4EC004-6A72-4481-84DF-05BA79672783}"/>
    <hyperlink ref="AF181" r:id="rId1096" display="24/03/2026" xr:uid="{59EF072F-BA94-4F44-88CB-FB00B655AE72}"/>
    <hyperlink ref="AF186" r:id="rId1097" display="24/03/2026" xr:uid="{89DE1CF5-822C-44C8-8BA2-E182C1450230}"/>
    <hyperlink ref="AE202" r:id="rId1098" display="4090180720" xr:uid="{F9FCFABE-0A54-458C-A604-AF0443EA8B77}"/>
    <hyperlink ref="AE198" r:id="rId1099" display="4090180716" xr:uid="{070A204F-F5AD-4E26-ACF8-E6EB995CE776}"/>
    <hyperlink ref="AE189" r:id="rId1100" display="4090180673" xr:uid="{491B8C03-CE18-41E9-874B-9EC79168F72D}"/>
    <hyperlink ref="AE187" r:id="rId1101" display="4090180671" xr:uid="{F1E2F424-7E51-46F8-8199-3038F40FFF05}"/>
    <hyperlink ref="AE182" r:id="rId1102" display="4090180666" xr:uid="{5A63C0AA-A131-4B16-B81D-DA126C6E735A}"/>
    <hyperlink ref="D150" r:id="rId1103" xr:uid="{A592780C-3BC5-4C72-B7CB-A6ADBCABEC2C}"/>
    <hyperlink ref="AE217" r:id="rId1104" display="4090180751" xr:uid="{95BA281B-39FB-49C5-A745-3FD794153EA6}"/>
    <hyperlink ref="AE213" r:id="rId1105" display="4090180747" xr:uid="{DDEA1CAA-1AF0-415A-872D-4A0179101AB0}"/>
    <hyperlink ref="AE211" r:id="rId1106" display="4090180737" xr:uid="{36791281-5A95-4272-9078-09484395AE1E}"/>
    <hyperlink ref="AE210" r:id="rId1107" display="4090180728" xr:uid="{3A12621B-6F75-4E75-9FC5-0B07A334558F}"/>
    <hyperlink ref="AE207" r:id="rId1108" display="4090180725" xr:uid="{DDF35E96-6315-4892-B487-8F9F95DD1A34}"/>
    <hyperlink ref="AE206" r:id="rId1109" display="4090180724" xr:uid="{7058761A-8DF3-41B2-A639-B1B5464B2AF5}"/>
    <hyperlink ref="AE185" r:id="rId1110" display="4090180669" xr:uid="{FC931782-D9A7-45EA-B3E6-74F563DF46DE}"/>
    <hyperlink ref="AE184" r:id="rId1111" display="4090180668" xr:uid="{E61EBAAC-BB21-47D8-B26C-5BC042C7C7DB}"/>
    <hyperlink ref="AE179" r:id="rId1112" display="4090180663" xr:uid="{72499D0E-B405-4AC9-8AD1-715744A620D5}"/>
    <hyperlink ref="AE173" r:id="rId1113" display="4090180650" xr:uid="{C0510D3D-129A-4895-855B-3961F0803255}"/>
    <hyperlink ref="AE160" r:id="rId1114" display="4090180603" xr:uid="{77C79C2A-4247-4439-90C1-488F1D57CD17}"/>
    <hyperlink ref="AE156" r:id="rId1115" display="4090180588" xr:uid="{AC5ABF6F-CFAB-4750-8EF7-7C039DC13372}"/>
    <hyperlink ref="D156" r:id="rId1116" xr:uid="{3E87C2F0-E684-4069-9120-8072BE83BBB7}"/>
    <hyperlink ref="X161" r:id="rId1117" xr:uid="{D4AE1CA2-7F64-4AB5-9EF6-F1E7B684FB61}"/>
    <hyperlink ref="D99" r:id="rId1118" xr:uid="{A963037C-9ED7-4FEE-835C-3EE3788A3B54}"/>
    <hyperlink ref="D111" r:id="rId1119" xr:uid="{81BFD8A8-D26D-4344-A0E1-797EC968CC0D}"/>
    <hyperlink ref="D104" r:id="rId1120" xr:uid="{003E5244-0AA9-4BA7-A6D5-B1FB19659CE8}"/>
    <hyperlink ref="D160" r:id="rId1121" xr:uid="{38ADBBBF-22C2-40C7-975B-03789100CBD7}"/>
    <hyperlink ref="X192" r:id="rId1122" xr:uid="{4CF89457-3B9E-422F-9548-E16B6CEC27A1}"/>
    <hyperlink ref="X213" r:id="rId1123" xr:uid="{ADFF0B6B-5136-452D-9EC8-4443572A1038}"/>
    <hyperlink ref="X217" r:id="rId1124" xr:uid="{8A038485-C6A5-4CF9-A4DE-C0D8B5CD61FC}"/>
    <hyperlink ref="D173" r:id="rId1125" xr:uid="{E09E1309-67EA-4FA3-9BD8-743ADD70DCF6}"/>
    <hyperlink ref="D159" r:id="rId1126" xr:uid="{E8A4921C-F131-4920-A795-87B884035277}"/>
    <hyperlink ref="D186" r:id="rId1127" xr:uid="{4203911C-E494-49D4-9062-3AEF0A746611}"/>
    <hyperlink ref="AE161" r:id="rId1128" display="4090180604" xr:uid="{BEB4A938-458A-4CEE-9EFF-D981B2C9C05E}"/>
    <hyperlink ref="D166" r:id="rId1129" xr:uid="{EE86CD83-13DC-431C-B64B-30F18663EC7A}"/>
    <hyperlink ref="D175" r:id="rId1130" xr:uid="{107A1026-7B85-42D7-993B-626125821F92}"/>
    <hyperlink ref="D170" r:id="rId1131" xr:uid="{F2B375E3-A3CE-45AF-870A-F168525D1D8A}"/>
    <hyperlink ref="D172" r:id="rId1132" xr:uid="{C7E4BA0A-7D6D-45BD-9B79-56F4E92237B4}"/>
    <hyperlink ref="D211" r:id="rId1133" xr:uid="{C225A546-A5A4-49D6-87EB-D19743E65176}"/>
    <hyperlink ref="D189" r:id="rId1134" xr:uid="{666203DA-A9BE-4E18-A5B8-6204CD898BBE}"/>
    <hyperlink ref="Z188" r:id="rId1135" display="2605147271" xr:uid="{C901FA26-37E9-4D3F-B27D-DF22CD18D031}"/>
    <hyperlink ref="Z192" r:id="rId1136" display="2605145820" xr:uid="{FB92A732-427E-4861-97F5-92166A9CEA25}"/>
    <hyperlink ref="Z193" r:id="rId1137" display="2605145936" xr:uid="{09D8DDA1-5F62-41D3-B08A-D73AC4AD9E9E}"/>
    <hyperlink ref="Z195" r:id="rId1138" display="2605148669" xr:uid="{88781E79-070B-4A99-8253-B14A0951CB91}"/>
    <hyperlink ref="Z196" r:id="rId1139" display="2605148152" xr:uid="{AFDBA769-8173-4C83-8FCE-AB9464EE79A7}"/>
    <hyperlink ref="Z197" r:id="rId1140" display="2605148463" xr:uid="{C3D1C3FD-256B-4635-A71D-544D8176D1EA}"/>
    <hyperlink ref="Z201" r:id="rId1141" display="2605147878" xr:uid="{DAA89376-C9CF-4468-B489-9B0AE6DA534E}"/>
    <hyperlink ref="Z207" r:id="rId1142" display="2605145888" xr:uid="{8CDF41AB-3C68-4592-82C4-3224765B8799}"/>
    <hyperlink ref="Z224" r:id="rId1143" display="2605147701" xr:uid="{E8B1BDB3-8A17-4562-892F-0649966D93F3}"/>
    <hyperlink ref="D162" r:id="rId1144" xr:uid="{185192A4-66B9-4729-9648-A7DF3882B1EB}"/>
    <hyperlink ref="D138" r:id="rId1145" xr:uid="{C76E9796-0DD4-4DCF-AD9F-AE7208F6674D}"/>
    <hyperlink ref="D92" r:id="rId1146" xr:uid="{60D69D5F-95EF-4ED1-9533-38BF43A7AD73}"/>
    <hyperlink ref="X196" r:id="rId1147" xr:uid="{7C21D139-F056-4D21-BA48-3BB6A6C7C026}"/>
    <hyperlink ref="X207" r:id="rId1148" xr:uid="{E0D06E17-59AA-4CDC-8FFE-D03AD8B6DD35}"/>
    <hyperlink ref="Y61" r:id="rId1149" xr:uid="{A8D09A19-03CB-4F86-A3C4-02374DF7D2BB}"/>
    <hyperlink ref="Y107" r:id="rId1150" xr:uid="{F5258168-0BFE-4F4D-B95A-20A67D88376C}"/>
    <hyperlink ref="Y111" r:id="rId1151" xr:uid="{A8F2C997-07C8-4B26-9D99-CEE87878816D}"/>
    <hyperlink ref="Y112" r:id="rId1152" xr:uid="{2E17012C-A5D7-4B27-9A38-44B8B14B2AE6}"/>
    <hyperlink ref="Y123" r:id="rId1153" xr:uid="{60E44827-003B-4345-AA1C-962DE2DB34C8}"/>
    <hyperlink ref="Y133" r:id="rId1154" xr:uid="{48003113-87D1-4836-AAC9-D18EF985B814}"/>
    <hyperlink ref="Y148" r:id="rId1155" xr:uid="{60DEE5DE-66C3-450C-B498-3122A8835FFD}"/>
    <hyperlink ref="Y149" r:id="rId1156" xr:uid="{35FFD947-6096-4FFE-9175-D5763BC1B310}"/>
    <hyperlink ref="Y150" r:id="rId1157" xr:uid="{DF1C208D-7C41-47A2-BE6A-10E5938AFFC2}"/>
    <hyperlink ref="Y152" r:id="rId1158" xr:uid="{093F965B-43E4-4352-8A0C-EA4E145BC518}"/>
    <hyperlink ref="Y153" r:id="rId1159" xr:uid="{57F4B3A8-1875-46B3-B51A-CC6583D7EF34}"/>
    <hyperlink ref="Y154" r:id="rId1160" xr:uid="{806BC12B-FA17-49FE-8A61-F8EC5495A41D}"/>
    <hyperlink ref="Y155" r:id="rId1161" xr:uid="{DDCF3B7D-C4E3-4AF5-A6B9-A2FFC535D88F}"/>
    <hyperlink ref="Y156" r:id="rId1162" xr:uid="{F9B00F29-B27F-4415-BD98-7B526994CB4C}"/>
    <hyperlink ref="Y158" r:id="rId1163" xr:uid="{6251F9E8-2CB1-462B-A0F3-732546E2B6D3}"/>
    <hyperlink ref="Y159" r:id="rId1164" xr:uid="{C15CDE48-875C-456C-B970-976F7340B170}"/>
    <hyperlink ref="Y160" r:id="rId1165" xr:uid="{7B748E0B-624A-446C-913F-F8A584BB0E61}"/>
    <hyperlink ref="Y162" r:id="rId1166" xr:uid="{DD50D090-96CA-4E1A-A07A-95F3FEC46595}"/>
    <hyperlink ref="Y165" r:id="rId1167" xr:uid="{C2CA2473-FBB9-4F5B-B049-DAD5C8D2A1F5}"/>
    <hyperlink ref="Y166" r:id="rId1168" xr:uid="{6E7F752D-6048-4E4F-A4ED-532C65B755F4}"/>
    <hyperlink ref="Y167" r:id="rId1169" xr:uid="{0A1CF1E5-D508-4972-B2D3-532B8D0C2E21}"/>
    <hyperlink ref="Y168" r:id="rId1170" xr:uid="{C72CF683-0A31-42DE-A0B3-7469B01FC587}"/>
    <hyperlink ref="Y171" r:id="rId1171" xr:uid="{FC9E2911-49DB-40F8-B89D-E9D41487ABFF}"/>
    <hyperlink ref="Y172" r:id="rId1172" xr:uid="{EAB9B56B-7F8E-4D19-9FC6-2BC6BD53954C}"/>
    <hyperlink ref="Y173" r:id="rId1173" xr:uid="{3D7B430C-E2F4-461F-8C3E-63831398D567}"/>
    <hyperlink ref="Y175" r:id="rId1174" xr:uid="{56DC20B8-825F-44DF-8A05-00B9464D898B}"/>
    <hyperlink ref="Y180" r:id="rId1175" xr:uid="{DF1EF71B-A919-466A-B950-F9EF99959A04}"/>
    <hyperlink ref="Y181" r:id="rId1176" xr:uid="{FC3BF34D-223C-473B-A3FB-26FA3B881A2F}"/>
    <hyperlink ref="Y186" r:id="rId1177" xr:uid="{7221E024-359B-4069-84CB-FDEADA3F6427}"/>
    <hyperlink ref="Y189" r:id="rId1178" xr:uid="{0ABD28A2-60DF-4DEC-8994-4135D5972FD3}"/>
    <hyperlink ref="Y191" r:id="rId1179" xr:uid="{E7FE5237-E702-475B-940E-027CAC5FDC4B}"/>
    <hyperlink ref="D190" r:id="rId1180" xr:uid="{94A29900-F7CA-47B7-86E8-43AAAFDBC6F3}"/>
    <hyperlink ref="D174" r:id="rId1181" xr:uid="{D21BC07A-A1D6-43B2-8BEA-AE89E210145E}"/>
    <hyperlink ref="D161" r:id="rId1182" xr:uid="{99906E95-074A-4E65-938B-0625DB753CA4}"/>
    <hyperlink ref="D184" r:id="rId1183" xr:uid="{1B6D487D-D630-44B5-84DF-7E5DE0582D14}"/>
    <hyperlink ref="X188" r:id="rId1184" xr:uid="{11BC9B47-F742-445F-B228-C0919C30F0E4}"/>
    <hyperlink ref="X193" r:id="rId1185" xr:uid="{7F0A08D1-080E-4A14-9BD6-C6BA2C6CC057}"/>
    <hyperlink ref="X221" r:id="rId1186" xr:uid="{D1EB3402-1222-4106-BC13-DD0DD4C84FBE}"/>
    <hyperlink ref="X224" r:id="rId1187" xr:uid="{29196B94-50BA-4C14-8AA0-604A6C2357DC}"/>
    <hyperlink ref="Z221" r:id="rId1188" display="2605147559" xr:uid="{AC147893-62A6-44AE-B824-D3E79AF390B3}"/>
    <hyperlink ref="X228" r:id="rId1189" xr:uid="{F57BE930-777F-4117-A89B-1C1681200E92}"/>
    <hyperlink ref="X212" r:id="rId1190" xr:uid="{5E485983-A8BC-4844-94CD-778BCF0F512B}"/>
    <hyperlink ref="X201" r:id="rId1191" xr:uid="{7BBD4187-B54D-424C-A11B-BE8053C222FD}"/>
    <hyperlink ref="Z199" r:id="rId1192" display="2605148885" xr:uid="{51A4463C-C61C-4A6D-A9C3-625F08FE9E12}"/>
    <hyperlink ref="Z200" r:id="rId1193" display="2605148889" xr:uid="{B5C31B9A-ADAB-44BD-BF6F-88873E0EB093}"/>
    <hyperlink ref="Z203" r:id="rId1194" display="2605148968" xr:uid="{9A6F736B-4F9A-4158-9157-27EE93526C75}"/>
    <hyperlink ref="Z208" r:id="rId1195" display="2605149026" xr:uid="{5D4E81C2-2355-4007-BA83-29188C6FD785}"/>
    <hyperlink ref="Z209" r:id="rId1196" display="2605148915" xr:uid="{E52943AE-FDE9-48DC-8660-719BED8F82CB}"/>
    <hyperlink ref="D179" r:id="rId1197" xr:uid="{48E15C7D-8848-4765-80B5-6A83175AA9F6}"/>
    <hyperlink ref="D207" r:id="rId1198" xr:uid="{BC711F1B-F021-433C-8F64-42188C622FC0}"/>
    <hyperlink ref="Z205" r:id="rId1199" display="2605148682" xr:uid="{469E1A35-1D27-4ECD-BCF2-54899E030203}"/>
    <hyperlink ref="X197" r:id="rId1200" xr:uid="{B7846518-FDB0-47E7-9839-C8423BBBCA97}"/>
    <hyperlink ref="X205" r:id="rId1201" xr:uid="{435DFAC2-D5E0-4808-BE56-F5A87210F86B}"/>
    <hyperlink ref="X208" r:id="rId1202" xr:uid="{1E4BDD74-4C69-4740-BBB9-605097709D7B}"/>
    <hyperlink ref="D206" r:id="rId1203" xr:uid="{F54B10CD-608B-4796-BD52-577A5A6D1A50}"/>
    <hyperlink ref="D178" r:id="rId1204" xr:uid="{DCAF6860-E439-460B-A64D-4446D7789946}"/>
    <hyperlink ref="D196" r:id="rId1205" xr:uid="{0C3C071A-BFDB-4F50-9BBD-EDD65A30225E}"/>
    <hyperlink ref="D205" r:id="rId1206" xr:uid="{71593BF1-B468-4898-BF69-94841813A709}"/>
    <hyperlink ref="AE188" r:id="rId1207" display="4090180672" xr:uid="{9B23E7B7-0E7F-4569-819C-74E264102C5B}"/>
    <hyperlink ref="AE192" r:id="rId1208" display="4090180686" xr:uid="{AB73A7F1-DC3A-4AD6-9926-412319E0C4BC}"/>
    <hyperlink ref="AE193" r:id="rId1209" display="4090180692" xr:uid="{B10E6E3B-9A29-44E7-A825-D7639A80BFD0}"/>
    <hyperlink ref="AE195" r:id="rId1210" display="4090180695" xr:uid="{CB2A5066-0B78-4FD5-B51F-65627B041006}"/>
    <hyperlink ref="AE196" r:id="rId1211" display="4090180703" xr:uid="{4D939FB9-C0C2-4C46-A10E-995DE0A0A3AE}"/>
    <hyperlink ref="AE197" r:id="rId1212" display="4090180704" xr:uid="{84CF4C4B-A91C-47EC-8C00-C5434170BEE1}"/>
    <hyperlink ref="AE205" r:id="rId1213" display="4090180723" xr:uid="{37A5C458-6E37-473D-BD60-40F27565C82B}"/>
    <hyperlink ref="AE208" r:id="rId1214" display="4090180726" xr:uid="{905D7FC9-16A3-4C40-B1D9-BC77C37A1464}"/>
    <hyperlink ref="AE212" r:id="rId1215" display="4090180738" xr:uid="{64A096CC-9977-4CB2-A3F8-1E6B24E01BDD}"/>
    <hyperlink ref="AE224" r:id="rId1216" display="4090180800" xr:uid="{C411C6F6-A9CA-4F9A-931F-2EA4E0A4D94D}"/>
    <hyperlink ref="AE228" r:id="rId1217" display="4090180811" xr:uid="{6A17E428-3AF7-493E-8BBC-0CE175322EC1}"/>
    <hyperlink ref="AF159" r:id="rId1218" display="25/03/2026" xr:uid="{81857527-D053-4E6C-AFD5-063016A9690E}"/>
    <hyperlink ref="AF161" r:id="rId1219" display="25/03/2026" xr:uid="{5894602D-41BA-40F4-91AD-C6300F68E498}"/>
    <hyperlink ref="AF166" r:id="rId1220" display="25/03/2026" xr:uid="{FFE05D16-3F54-4EE1-B897-E8255F8555E1}"/>
    <hyperlink ref="AF167" r:id="rId1221" display="25/03/2026" xr:uid="{27705F4B-6FBC-4888-A1B4-DF2726063026}"/>
    <hyperlink ref="AF172" r:id="rId1222" display="25/03/2026" xr:uid="{0F465DEB-4906-469C-B123-91AD1EB62423}"/>
    <hyperlink ref="AF174" r:id="rId1223" display="25/03/2026" xr:uid="{64F58939-96F7-4413-BAA3-9A0E5585FE30}"/>
    <hyperlink ref="AF175" r:id="rId1224" display="25/03/2026" xr:uid="{443BF593-BD7A-4462-942D-FA19043571EF}"/>
    <hyperlink ref="AF184" r:id="rId1225" display="25/03/2026" xr:uid="{512FAABA-114A-4C77-86B1-0CB4F232BE0B}"/>
    <hyperlink ref="AF187" r:id="rId1226" display="25/03/2026" xr:uid="{ACD622D9-69D1-4317-9088-700269862186}"/>
    <hyperlink ref="AF189" r:id="rId1227" display="25/03/2026" xr:uid="{00BE29B0-3602-42DC-8F8B-7060DCD0C12E}"/>
    <hyperlink ref="AF190" r:id="rId1228" display="25/03/2026" xr:uid="{4913A164-3C3D-4BF7-9AC8-A8261B591041}"/>
    <hyperlink ref="AF206" r:id="rId1229" display="25/03/2026" xr:uid="{67EF1734-D4E0-4286-ABF9-B4031559E06B}"/>
    <hyperlink ref="AF207" r:id="rId1230" display="25/03/2026" xr:uid="{AF74CADD-B3B0-457D-AF99-19AD9EB44CF8}"/>
    <hyperlink ref="AF211" r:id="rId1231" display="25/03/2026" xr:uid="{3DE00FB3-CDA0-42F7-A47E-819E5C1D92D2}"/>
    <hyperlink ref="AF109" r:id="rId1232" display="26/03/2026" xr:uid="{C3D7A41A-9E73-42E7-9610-65CC88E1D39C}"/>
    <hyperlink ref="AF110" r:id="rId1233" display="26/03/2026" xr:uid="{EEFA2A5B-25BE-4729-B92A-A9145581F4C8}"/>
    <hyperlink ref="AF178" r:id="rId1234" display="26/03/2026" xr:uid="{11740350-DAA5-4EA3-BF09-BE4C95F450F1}"/>
    <hyperlink ref="AF183" r:id="rId1235" display="26/03/2026" xr:uid="{8EF97E1E-26EB-4183-AACC-42F9D4B1AA46}"/>
    <hyperlink ref="AF192" r:id="rId1236" display="26/03/2026" xr:uid="{068E9E31-3CD8-463E-B04C-65C084CEF67D}"/>
    <hyperlink ref="AF196" r:id="rId1237" display="26/03/2026" xr:uid="{F570D804-A445-4F13-81E0-D3B5708CC828}"/>
    <hyperlink ref="AF205" r:id="rId1238" display="26/03/2026" xr:uid="{0D272F91-9103-4558-8A85-AA65A3BC73C2}"/>
    <hyperlink ref="AF208" r:id="rId1239" display="26/03/2026" xr:uid="{74250B43-B392-41CE-B9DE-20820B0DE50B}"/>
    <hyperlink ref="AF210" r:id="rId1240" display="26/03/2026" xr:uid="{A2A18AF0-222A-4A3C-B511-1308B98F8E2C}"/>
    <hyperlink ref="AF212" r:id="rId1241" display="26/03/2026" xr:uid="{D29CEA84-4B58-4C9D-A5E4-7D19C5E2FA6C}"/>
    <hyperlink ref="AF213" r:id="rId1242" display="26/03/2026" xr:uid="{1D5BBDE8-A402-41AD-9958-AF496FBF150E}"/>
    <hyperlink ref="Z212" r:id="rId1243" display="2605149034" xr:uid="{2F63056C-4E0C-45FE-9B95-1E40C35A9FD7}"/>
    <hyperlink ref="Z214" r:id="rId1244" display="2605150237" xr:uid="{C518B2EE-E51A-4230-BED9-5194437ED781}"/>
    <hyperlink ref="Z216" r:id="rId1245" display="2605150302" xr:uid="{3EEA07D8-2807-4D4F-8F71-24BCF4C36AAD}"/>
    <hyperlink ref="Z228" r:id="rId1246" display="2605147809" xr:uid="{6F9BED8D-965F-434F-A24C-9C96E7657328}"/>
    <hyperlink ref="D109" r:id="rId1247" xr:uid="{C47DA8ED-4772-45D9-A73E-B860CF83F266}"/>
    <hyperlink ref="D110" r:id="rId1248" xr:uid="{64FEB460-93E3-469A-8986-879C8BEAB31A}"/>
    <hyperlink ref="D192" r:id="rId1249" xr:uid="{10DB21C1-2B6D-4027-A393-91B770830A53}"/>
    <hyperlink ref="D169" r:id="rId1250" xr:uid="{05CE7C78-0BEC-404D-88F0-3F39F96522BA}"/>
    <hyperlink ref="D151" r:id="rId1251" xr:uid="{9FE521BD-C1BD-4D9D-9416-F9FE122878DA}"/>
    <hyperlink ref="D202" r:id="rId1252" xr:uid="{76A19693-04B2-434D-B151-594EF4F4AD3A}"/>
    <hyperlink ref="D198" r:id="rId1253" xr:uid="{59BAF443-2E04-4935-8F52-F0FA9C5576F5}"/>
    <hyperlink ref="D213" r:id="rId1254" xr:uid="{AB6C0E11-7642-46BE-8B66-BD1F0997AB01}"/>
    <hyperlink ref="X238" r:id="rId1255" xr:uid="{4FA97256-E4A4-449C-9D18-0A4BE867ECB5}"/>
    <hyperlink ref="X214" r:id="rId1256" xr:uid="{F3CE7C33-ABD2-4243-9B6F-CB71D0C2E607}"/>
    <hyperlink ref="X209" r:id="rId1257" xr:uid="{4F254FC2-AC28-4A90-95AB-F7102513E6AD}"/>
    <hyperlink ref="X203" r:id="rId1258" xr:uid="{DD8E102A-203B-48FD-8E16-CEF297ECEDE1}"/>
    <hyperlink ref="X199" r:id="rId1259" xr:uid="{26B8DF17-5E30-446A-A24B-7A7CEBA06079}"/>
    <hyperlink ref="X195" r:id="rId1260" xr:uid="{B07AD6E0-C3DA-48EB-9127-55FFCED37371}"/>
    <hyperlink ref="X216" r:id="rId1261" xr:uid="{854E5149-49E9-4AED-AA77-4774576B5FD2}"/>
    <hyperlink ref="AE199" r:id="rId1262" display="4090180717" xr:uid="{3A1C2F0C-AFFF-4869-8410-04068CBA34FB}"/>
    <hyperlink ref="Y109" r:id="rId1263" xr:uid="{78692078-B01B-4189-9D0E-B66C1636BAA8}"/>
    <hyperlink ref="Y110" r:id="rId1264" xr:uid="{53886021-515A-4EDC-B852-ED34632070C5}"/>
    <hyperlink ref="X230" r:id="rId1265" xr:uid="{EDDB1601-EC6B-469D-9039-0D3F66A7A50A}"/>
    <hyperlink ref="Y108" r:id="rId1266" xr:uid="{40D4ED98-6BF3-41FF-982A-D2D129A0B7BF}"/>
    <hyperlink ref="Y161" r:id="rId1267" xr:uid="{F0048189-CEE3-4EA9-B326-BD8087902A70}"/>
    <hyperlink ref="Y174" r:id="rId1268" xr:uid="{A96AD6AF-CB51-4481-9797-28D5F07028F2}"/>
    <hyperlink ref="Y179" r:id="rId1269" xr:uid="{C240E51C-FA88-4792-8C8A-CE97E18FACD7}"/>
    <hyperlink ref="Y183" r:id="rId1270" xr:uid="{AD6F4369-670A-4DCC-835E-E497C5AA63DF}"/>
    <hyperlink ref="Y184" r:id="rId1271" xr:uid="{0D76C8D7-239D-41DF-8DFC-735846F1B114}"/>
    <hyperlink ref="Y187" r:id="rId1272" xr:uid="{8B93F1CE-7A10-48B2-B899-26BD596BAEE7}"/>
    <hyperlink ref="Y192" r:id="rId1273" xr:uid="{BC0D83F8-2923-4696-81E2-8A46298217F9}"/>
    <hyperlink ref="Y196" r:id="rId1274" xr:uid="{9D919B9B-BFBB-4077-9B1D-B75C1261162B}"/>
    <hyperlink ref="Y205" r:id="rId1275" xr:uid="{6CDB9C8E-2760-45AE-9148-77EC0665DF43}"/>
    <hyperlink ref="AF202" r:id="rId1276" display="27/03/2026" xr:uid="{1376129F-BDDF-4B63-AFEC-EC10A35EEDEB}"/>
    <hyperlink ref="AF198" r:id="rId1277" display="27/03/2026" xr:uid="{89A0AA78-E6D5-46CC-A3E4-092EABE84474}"/>
    <hyperlink ref="AF116" r:id="rId1278" display="27/03/2026" xr:uid="{88CA6047-A686-47CD-8558-E37127098B76}"/>
    <hyperlink ref="AF151" r:id="rId1279" display="27/03/2026" xr:uid="{CC7798E9-9B6E-4320-B846-F2E1A11BE9B6}"/>
    <hyperlink ref="AF169" r:id="rId1280" display="27/03/2026" xr:uid="{27D7AD68-5C4A-4D92-8FA6-CDE00C72FC6E}"/>
    <hyperlink ref="AF185" r:id="rId1281" display="27/03/2026" xr:uid="{E4237BD2-DB62-4C83-A59E-E6DB9978CB40}"/>
    <hyperlink ref="AF209" r:id="rId1282" display="27/03/2026" xr:uid="{68C0FDB3-4FA4-4AF2-B5FE-64AF0E6C65D3}"/>
    <hyperlink ref="AA145" r:id="rId1283" display="2605138064" xr:uid="{725601D9-2125-4A1F-83A1-EAB40C1B0AB6}"/>
    <hyperlink ref="Z204" r:id="rId1284" display="2605149097" xr:uid="{5C94C5CB-E102-4AAA-964B-F048896F3722}"/>
    <hyperlink ref="Z215" r:id="rId1285" display="2605151611" xr:uid="{48E2F1A0-6682-4F8E-8932-45A527841542}"/>
    <hyperlink ref="Z227" r:id="rId1286" display="2605151444" xr:uid="{A94DBD7B-91E7-4939-88B4-252325288313}"/>
    <hyperlink ref="Z237" r:id="rId1287" display="2605151453" xr:uid="{3728E533-A5AC-4948-8F12-634DAAF2160F}"/>
    <hyperlink ref="Z238" r:id="rId1288" display="2605150558" xr:uid="{95F72E10-B441-465B-A584-754F54298692}"/>
    <hyperlink ref="AA104" r:id="rId1289" display="2605128891" xr:uid="{7E81E256-9248-4D43-9D12-712087C5A952}"/>
    <hyperlink ref="AA158" r:id="rId1290" display="2605138451" xr:uid="{B49A5597-F164-4F03-B51A-0EA9136D7554}"/>
    <hyperlink ref="X204" r:id="rId1291" xr:uid="{6EE544EE-BBBA-4DBF-B985-121DDCC55541}"/>
    <hyperlink ref="D208" r:id="rId1292" xr:uid="{56AA10B1-B9A9-4130-96D5-A2D012BB507B}"/>
    <hyperlink ref="D238" r:id="rId1293" xr:uid="{48CAB9E9-CDE9-4A77-8989-56396207BD39}"/>
    <hyperlink ref="D212" r:id="rId1294" xr:uid="{DE3AE8DE-7902-4947-A97B-9067512B7478}"/>
    <hyperlink ref="X219" r:id="rId1295" xr:uid="{42A1F0F1-80B0-4EC8-BA65-D3C045EB9C24}"/>
    <hyperlink ref="D194" r:id="rId1296" xr:uid="{8EC71043-A9C0-4076-ACC8-54225CDC9E1B}"/>
    <hyperlink ref="D204" r:id="rId1297" xr:uid="{A9AA8D1F-A6D1-482D-A3C3-56AF4C072D64}"/>
    <hyperlink ref="D177" r:id="rId1298" xr:uid="{DDEE766B-C754-4208-A2B3-BDC174200729}"/>
    <hyperlink ref="Z218" r:id="rId1299" display="2605153085" xr:uid="{112061B6-DF9F-4D6C-9DBF-A040BBD2CEF4}"/>
    <hyperlink ref="Z219" r:id="rId1300" display="2605153102" xr:uid="{F4FBB3C9-E084-410F-9FF1-4E405749DAD7}"/>
    <hyperlink ref="AA99" r:id="rId1301" display="2605127592" xr:uid="{74C42120-B236-40A1-B697-4BEA6090DB67}"/>
  </hyperlinks>
  <pageMargins left="0.7" right="0.7" top="0.75" bottom="0.75" header="0.3" footer="0.3"/>
  <legacyDrawing r:id="rId13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27CDF-F361-493D-89B0-98A70E42611A}">
  <sheetPr filterMode="1"/>
  <dimension ref="A1:AP227"/>
  <sheetViews>
    <sheetView workbookViewId="0">
      <pane xSplit="2" topLeftCell="AA1" activePane="topRight" state="frozen"/>
      <selection pane="topRight" activeCell="AB9" sqref="AB9"/>
    </sheetView>
  </sheetViews>
  <sheetFormatPr baseColWidth="10" defaultColWidth="9.140625" defaultRowHeight="15"/>
  <cols>
    <col min="1" max="1" width="12.28515625" style="37" bestFit="1" customWidth="1"/>
    <col min="2" max="2" width="28.42578125" style="37" customWidth="1"/>
    <col min="3" max="3" width="16.42578125" style="37" customWidth="1"/>
    <col min="4" max="4" width="23.5703125" style="37" customWidth="1"/>
    <col min="5" max="5" width="19.7109375" style="37" customWidth="1"/>
    <col min="6" max="6" width="15.42578125" style="37" customWidth="1"/>
    <col min="7" max="7" width="11.42578125" style="37" bestFit="1" customWidth="1"/>
    <col min="8" max="8" width="10.85546875" style="37" customWidth="1"/>
    <col min="9" max="12" width="9.140625" style="37" bestFit="1" customWidth="1"/>
    <col min="13" max="13" width="14" style="37" customWidth="1"/>
    <col min="14" max="14" width="10.140625" style="37" customWidth="1"/>
    <col min="15" max="15" width="13.5703125" style="37" customWidth="1"/>
    <col min="16" max="16" width="12" style="37" customWidth="1"/>
    <col min="17" max="17" width="11.85546875" style="37" customWidth="1"/>
    <col min="18" max="18" width="22.7109375" style="37" customWidth="1"/>
    <col min="19" max="19" width="16.42578125" style="37" customWidth="1"/>
    <col min="20" max="20" width="15.85546875" style="37" customWidth="1"/>
    <col min="21" max="21" width="14.5703125" style="37" customWidth="1"/>
    <col min="22" max="22" width="18.140625" style="37" customWidth="1"/>
    <col min="23" max="23" width="15.42578125" style="37" customWidth="1"/>
    <col min="24" max="24" width="31.5703125" style="37" customWidth="1"/>
    <col min="25" max="25" width="43.140625" style="87" customWidth="1"/>
    <col min="26" max="26" width="22.7109375" style="98" customWidth="1"/>
    <col min="27" max="27" width="21.7109375" style="37" customWidth="1"/>
    <col min="28" max="28" width="18.140625" style="37" customWidth="1"/>
    <col min="29" max="29" width="17.140625" style="37" customWidth="1"/>
    <col min="30" max="30" width="20.42578125" style="37" customWidth="1"/>
    <col min="31" max="31" width="19.5703125" style="37" customWidth="1"/>
    <col min="32" max="32" width="13.5703125" style="37" customWidth="1"/>
    <col min="33" max="33" width="14.85546875" style="37" customWidth="1"/>
    <col min="34" max="34" width="16" style="37" customWidth="1"/>
    <col min="35" max="35" width="9.140625" style="98" bestFit="1" customWidth="1"/>
    <col min="36" max="39" width="9.140625" style="37" bestFit="1" customWidth="1"/>
    <col min="40" max="40" width="9.85546875" style="37" bestFit="1" customWidth="1"/>
    <col min="41" max="42" width="9.140625" style="37" bestFit="1" customWidth="1"/>
    <col min="43" max="16384" width="9.140625" style="37"/>
  </cols>
  <sheetData>
    <row r="1" spans="1:42" ht="120">
      <c r="A1" s="26" t="s">
        <v>1929</v>
      </c>
      <c r="B1" s="1" t="s">
        <v>1</v>
      </c>
      <c r="C1" s="61" t="s">
        <v>2</v>
      </c>
      <c r="D1" s="167" t="s">
        <v>1930</v>
      </c>
      <c r="E1" s="167" t="s">
        <v>3</v>
      </c>
      <c r="F1" s="168" t="s">
        <v>6</v>
      </c>
      <c r="G1" s="55" t="s">
        <v>1931</v>
      </c>
      <c r="H1" s="50" t="s">
        <v>1932</v>
      </c>
      <c r="I1" s="51" t="s">
        <v>1933</v>
      </c>
      <c r="J1" s="52" t="s">
        <v>1934</v>
      </c>
      <c r="K1" s="52" t="s">
        <v>1935</v>
      </c>
      <c r="L1" s="50" t="s">
        <v>1936</v>
      </c>
      <c r="M1" s="53" t="s">
        <v>10</v>
      </c>
      <c r="N1" s="53" t="s">
        <v>11</v>
      </c>
      <c r="O1" s="53" t="s">
        <v>12</v>
      </c>
      <c r="P1" s="53" t="s">
        <v>1937</v>
      </c>
      <c r="Q1" s="54" t="s">
        <v>1938</v>
      </c>
      <c r="R1" s="176" t="s">
        <v>1939</v>
      </c>
      <c r="S1" s="169" t="s">
        <v>1940</v>
      </c>
      <c r="T1" s="169" t="s">
        <v>1941</v>
      </c>
      <c r="U1" s="169" t="s">
        <v>1942</v>
      </c>
      <c r="V1" s="169" t="s">
        <v>1943</v>
      </c>
      <c r="W1" s="177" t="s">
        <v>1944</v>
      </c>
      <c r="X1" s="178" t="s">
        <v>19</v>
      </c>
      <c r="Y1" s="204" t="s">
        <v>20</v>
      </c>
      <c r="Z1" s="179" t="s">
        <v>1945</v>
      </c>
      <c r="AA1" s="180" t="s">
        <v>1946</v>
      </c>
      <c r="AB1" s="61" t="s">
        <v>25</v>
      </c>
      <c r="AC1" s="65" t="s">
        <v>1947</v>
      </c>
      <c r="AD1" s="61" t="s">
        <v>1948</v>
      </c>
      <c r="AE1" s="31" t="s">
        <v>24</v>
      </c>
      <c r="AF1" s="1" t="s">
        <v>29</v>
      </c>
      <c r="AG1" s="80" t="s">
        <v>30</v>
      </c>
      <c r="AH1" s="26" t="s">
        <v>31</v>
      </c>
      <c r="AI1" s="170" t="s">
        <v>27</v>
      </c>
      <c r="AJ1" s="176" t="s">
        <v>1949</v>
      </c>
      <c r="AK1" s="169" t="s">
        <v>1950</v>
      </c>
      <c r="AL1" s="170" t="s">
        <v>34</v>
      </c>
      <c r="AM1" s="44" t="s">
        <v>1951</v>
      </c>
      <c r="AN1" s="428" t="s">
        <v>1952</v>
      </c>
      <c r="AO1" s="8" t="s">
        <v>36</v>
      </c>
      <c r="AP1" s="17" t="s">
        <v>37</v>
      </c>
    </row>
    <row r="2" spans="1:42" ht="15.75">
      <c r="A2" s="62" t="s">
        <v>1953</v>
      </c>
      <c r="B2" s="59">
        <v>179630</v>
      </c>
      <c r="C2" s="2" t="s">
        <v>39</v>
      </c>
      <c r="D2" s="218">
        <v>46087</v>
      </c>
      <c r="E2" s="198">
        <v>46093</v>
      </c>
      <c r="F2" s="12"/>
      <c r="G2" s="22">
        <v>46072</v>
      </c>
      <c r="H2" s="2" t="s">
        <v>1954</v>
      </c>
      <c r="I2" s="2" t="s">
        <v>1954</v>
      </c>
      <c r="J2" s="2" t="s">
        <v>1955</v>
      </c>
      <c r="K2" s="2" t="s">
        <v>1955</v>
      </c>
      <c r="L2" s="2" t="s">
        <v>1955</v>
      </c>
      <c r="M2" s="72" t="s">
        <v>1956</v>
      </c>
      <c r="N2" s="2" t="s">
        <v>45</v>
      </c>
      <c r="O2" s="4" t="s">
        <v>1957</v>
      </c>
      <c r="P2" s="2" t="s">
        <v>1958</v>
      </c>
      <c r="Q2" s="2" t="s">
        <v>1953</v>
      </c>
      <c r="R2" s="2" t="s">
        <v>1959</v>
      </c>
      <c r="S2" s="429">
        <v>721293763</v>
      </c>
      <c r="T2" s="429" t="s">
        <v>1960</v>
      </c>
      <c r="U2" s="395" t="s">
        <v>1961</v>
      </c>
      <c r="V2" s="71" t="s">
        <v>1962</v>
      </c>
      <c r="W2" s="71" t="s">
        <v>1963</v>
      </c>
      <c r="X2" s="9" t="s">
        <v>1964</v>
      </c>
      <c r="Y2" s="77" t="s">
        <v>1964</v>
      </c>
      <c r="Z2" s="203" t="s">
        <v>1965</v>
      </c>
      <c r="AA2" t="s">
        <v>1966</v>
      </c>
      <c r="AB2" s="14"/>
      <c r="AC2" s="41"/>
      <c r="AD2" s="47" t="s">
        <v>1967</v>
      </c>
      <c r="AE2" s="15"/>
      <c r="AF2" s="189">
        <v>46091</v>
      </c>
      <c r="AG2" s="43">
        <v>4090179630</v>
      </c>
      <c r="AH2" s="172">
        <v>46091</v>
      </c>
      <c r="AI2" s="202">
        <v>46092</v>
      </c>
      <c r="AJ2" s="430">
        <v>46093</v>
      </c>
      <c r="AK2" s="431">
        <v>46093</v>
      </c>
      <c r="AL2" s="384"/>
      <c r="AM2" s="2"/>
      <c r="AN2" s="389">
        <v>5240000</v>
      </c>
      <c r="AO2" s="10"/>
      <c r="AP2" s="29"/>
    </row>
    <row r="3" spans="1:42" ht="15.75">
      <c r="A3" s="63" t="s">
        <v>1968</v>
      </c>
      <c r="B3" s="60">
        <v>180128</v>
      </c>
      <c r="C3" s="2" t="s">
        <v>39</v>
      </c>
      <c r="D3" s="218">
        <v>46093</v>
      </c>
      <c r="E3" s="198">
        <v>46100</v>
      </c>
      <c r="F3" s="12"/>
      <c r="G3" s="22">
        <v>46086</v>
      </c>
      <c r="H3" s="2" t="s">
        <v>1954</v>
      </c>
      <c r="I3" s="2" t="s">
        <v>1954</v>
      </c>
      <c r="J3" s="2" t="s">
        <v>1955</v>
      </c>
      <c r="K3" s="2" t="s">
        <v>1955</v>
      </c>
      <c r="L3" s="2" t="s">
        <v>1955</v>
      </c>
      <c r="M3" s="72" t="s">
        <v>44</v>
      </c>
      <c r="N3" s="2" t="s">
        <v>1969</v>
      </c>
      <c r="O3" s="4" t="s">
        <v>1957</v>
      </c>
      <c r="P3" s="2" t="s">
        <v>1970</v>
      </c>
      <c r="Q3" s="2" t="s">
        <v>1971</v>
      </c>
      <c r="R3" s="2" t="s">
        <v>1972</v>
      </c>
      <c r="S3" s="429" t="s">
        <v>1973</v>
      </c>
      <c r="T3" s="429" t="s">
        <v>1974</v>
      </c>
      <c r="U3" s="395" t="s">
        <v>1975</v>
      </c>
      <c r="V3" s="71" t="s">
        <v>1976</v>
      </c>
      <c r="W3" s="71" t="s">
        <v>1963</v>
      </c>
      <c r="X3" s="9" t="s">
        <v>1977</v>
      </c>
      <c r="Y3" s="200" t="s">
        <v>1978</v>
      </c>
      <c r="Z3" s="384"/>
      <c r="AA3" s="67"/>
      <c r="AB3" s="47">
        <v>2605110975</v>
      </c>
      <c r="AC3" s="258">
        <v>2613134243</v>
      </c>
      <c r="AD3" s="206" t="s">
        <v>1979</v>
      </c>
      <c r="AE3" s="12"/>
      <c r="AF3" s="205">
        <v>46094</v>
      </c>
      <c r="AG3" s="33">
        <v>4090180128</v>
      </c>
      <c r="AH3" s="223">
        <v>46094</v>
      </c>
      <c r="AI3" s="202">
        <v>46097</v>
      </c>
      <c r="AJ3" s="430">
        <v>46099</v>
      </c>
      <c r="AK3" s="431">
        <v>46099</v>
      </c>
      <c r="AL3" s="384"/>
      <c r="AM3" s="2"/>
      <c r="AN3" s="389">
        <v>29000000</v>
      </c>
      <c r="AO3" s="10"/>
      <c r="AP3" s="29"/>
    </row>
    <row r="4" spans="1:42" ht="15.75">
      <c r="A4" s="63" t="s">
        <v>1980</v>
      </c>
      <c r="B4" s="60">
        <v>180082</v>
      </c>
      <c r="C4" s="2" t="s">
        <v>39</v>
      </c>
      <c r="D4" s="218">
        <v>46087</v>
      </c>
      <c r="E4" s="198">
        <v>46093</v>
      </c>
      <c r="F4" s="12"/>
      <c r="G4" s="22">
        <v>46080</v>
      </c>
      <c r="H4" s="2" t="s">
        <v>1954</v>
      </c>
      <c r="I4" s="2" t="s">
        <v>1954</v>
      </c>
      <c r="J4" s="2" t="s">
        <v>1955</v>
      </c>
      <c r="K4" s="2" t="s">
        <v>1955</v>
      </c>
      <c r="L4" s="2" t="s">
        <v>1955</v>
      </c>
      <c r="M4" s="72" t="s">
        <v>1956</v>
      </c>
      <c r="N4" s="2" t="s">
        <v>45</v>
      </c>
      <c r="O4" s="4" t="s">
        <v>1957</v>
      </c>
      <c r="P4" s="2" t="s">
        <v>1958</v>
      </c>
      <c r="Q4" s="2" t="s">
        <v>1980</v>
      </c>
      <c r="R4" s="2" t="s">
        <v>1959</v>
      </c>
      <c r="S4" s="429">
        <v>721315569</v>
      </c>
      <c r="T4" s="429" t="s">
        <v>1960</v>
      </c>
      <c r="U4" s="395" t="s">
        <v>1981</v>
      </c>
      <c r="V4" s="71" t="s">
        <v>1962</v>
      </c>
      <c r="W4" s="71" t="s">
        <v>1963</v>
      </c>
      <c r="X4" s="9" t="s">
        <v>1982</v>
      </c>
      <c r="Y4" s="77" t="s">
        <v>1982</v>
      </c>
      <c r="Z4" s="203" t="s">
        <v>1983</v>
      </c>
      <c r="AA4" s="201" t="s">
        <v>1984</v>
      </c>
      <c r="AB4" s="14"/>
      <c r="AC4" s="41"/>
      <c r="AD4" s="47" t="s">
        <v>1985</v>
      </c>
      <c r="AE4" s="15"/>
      <c r="AF4" s="398">
        <v>46090</v>
      </c>
      <c r="AG4" s="64">
        <v>4090180082</v>
      </c>
      <c r="AH4" s="223">
        <v>46091</v>
      </c>
      <c r="AI4" s="202">
        <v>46092</v>
      </c>
      <c r="AJ4" s="430">
        <v>46093</v>
      </c>
      <c r="AK4" s="431">
        <v>46093</v>
      </c>
      <c r="AL4" s="384"/>
      <c r="AM4" s="2"/>
      <c r="AN4" s="389">
        <v>5320000</v>
      </c>
      <c r="AO4" s="10"/>
      <c r="AP4" s="29"/>
    </row>
    <row r="5" spans="1:42" ht="15.75">
      <c r="A5" s="63" t="s">
        <v>1986</v>
      </c>
      <c r="B5" s="60">
        <v>180352</v>
      </c>
      <c r="C5" s="2" t="s">
        <v>995</v>
      </c>
      <c r="D5" s="218">
        <v>46109</v>
      </c>
      <c r="E5" s="12"/>
      <c r="F5" s="12"/>
      <c r="G5" s="22">
        <v>46091</v>
      </c>
      <c r="H5" s="2" t="s">
        <v>1987</v>
      </c>
      <c r="I5" s="199">
        <v>46094</v>
      </c>
      <c r="J5" s="2"/>
      <c r="K5" s="2"/>
      <c r="L5" s="2"/>
      <c r="M5" s="72" t="s">
        <v>1956</v>
      </c>
      <c r="N5" s="2" t="s">
        <v>45</v>
      </c>
      <c r="O5" s="4" t="s">
        <v>1957</v>
      </c>
      <c r="P5" s="2" t="s">
        <v>1958</v>
      </c>
      <c r="Q5" s="2" t="s">
        <v>1986</v>
      </c>
      <c r="R5" s="2" t="s">
        <v>1988</v>
      </c>
      <c r="S5" s="429">
        <v>721336816</v>
      </c>
      <c r="T5" s="429" t="s">
        <v>1960</v>
      </c>
      <c r="U5" s="395" t="s">
        <v>1989</v>
      </c>
      <c r="V5" s="71" t="s">
        <v>1962</v>
      </c>
      <c r="W5" s="71" t="s">
        <v>1963</v>
      </c>
      <c r="X5" s="9"/>
      <c r="Z5" s="384"/>
      <c r="AA5" s="70"/>
      <c r="AB5" s="16"/>
      <c r="AC5" s="41"/>
      <c r="AD5" s="173"/>
      <c r="AE5" s="12"/>
      <c r="AF5" s="36"/>
      <c r="AG5" s="2">
        <v>4090180352</v>
      </c>
      <c r="AH5" s="9"/>
      <c r="AJ5" s="389"/>
      <c r="AK5" s="14"/>
      <c r="AL5" s="384"/>
      <c r="AM5" s="2"/>
      <c r="AN5" s="389"/>
      <c r="AO5" s="10"/>
      <c r="AP5" s="29"/>
    </row>
    <row r="6" spans="1:42" ht="15.75">
      <c r="A6" s="82" t="s">
        <v>1990</v>
      </c>
      <c r="B6" s="81">
        <v>180485</v>
      </c>
      <c r="C6" s="2" t="s">
        <v>995</v>
      </c>
      <c r="D6" s="218">
        <v>46109</v>
      </c>
      <c r="E6" s="84"/>
      <c r="F6" s="96"/>
      <c r="G6" s="97">
        <v>46094</v>
      </c>
      <c r="H6" s="98"/>
      <c r="I6" s="98"/>
      <c r="J6" s="98"/>
      <c r="K6" s="98"/>
      <c r="L6" s="87"/>
      <c r="M6" s="72" t="s">
        <v>1956</v>
      </c>
      <c r="N6" s="2" t="s">
        <v>45</v>
      </c>
      <c r="O6" s="4" t="s">
        <v>1957</v>
      </c>
      <c r="P6" s="2" t="s">
        <v>1958</v>
      </c>
      <c r="Q6" s="82" t="s">
        <v>1990</v>
      </c>
      <c r="R6" s="2" t="s">
        <v>1988</v>
      </c>
      <c r="S6" s="244">
        <v>721336818</v>
      </c>
      <c r="T6" s="226" t="s">
        <v>1960</v>
      </c>
      <c r="U6" s="20" t="s">
        <v>1991</v>
      </c>
      <c r="V6" s="71" t="s">
        <v>1962</v>
      </c>
      <c r="W6" s="71" t="s">
        <v>1963</v>
      </c>
      <c r="X6" s="86"/>
      <c r="Z6" s="68"/>
      <c r="AA6" s="69"/>
      <c r="AB6" s="135"/>
      <c r="AC6" s="88"/>
      <c r="AD6" s="135"/>
      <c r="AE6" s="84"/>
      <c r="AF6" s="38"/>
      <c r="AG6" s="232">
        <v>4090180485</v>
      </c>
      <c r="AH6" s="123"/>
      <c r="AI6" s="100"/>
      <c r="AJ6" s="107"/>
      <c r="AK6" s="93"/>
      <c r="AL6" s="75"/>
      <c r="AM6" s="7"/>
      <c r="AN6" s="432"/>
      <c r="AO6" s="103"/>
      <c r="AP6" s="104"/>
    </row>
    <row r="7" spans="1:42" ht="15.75">
      <c r="A7" s="82" t="s">
        <v>1992</v>
      </c>
      <c r="B7" s="81">
        <v>180487</v>
      </c>
      <c r="C7" s="2" t="s">
        <v>995</v>
      </c>
      <c r="D7" s="218">
        <v>46109</v>
      </c>
      <c r="E7" s="84"/>
      <c r="F7" s="84"/>
      <c r="G7" s="97">
        <v>46094</v>
      </c>
      <c r="H7" s="7"/>
      <c r="I7" s="7"/>
      <c r="J7" s="7"/>
      <c r="K7" s="7"/>
      <c r="L7" s="11"/>
      <c r="M7" s="72" t="s">
        <v>1956</v>
      </c>
      <c r="N7" s="2" t="s">
        <v>45</v>
      </c>
      <c r="O7" s="4" t="s">
        <v>1957</v>
      </c>
      <c r="P7" s="2" t="s">
        <v>1958</v>
      </c>
      <c r="Q7" s="82" t="s">
        <v>1992</v>
      </c>
      <c r="R7" s="2" t="s">
        <v>1988</v>
      </c>
      <c r="S7" s="244">
        <v>721359011</v>
      </c>
      <c r="T7" s="226" t="s">
        <v>1960</v>
      </c>
      <c r="U7" s="20" t="s">
        <v>1993</v>
      </c>
      <c r="V7" s="71" t="s">
        <v>1962</v>
      </c>
      <c r="W7" s="71" t="s">
        <v>1963</v>
      </c>
      <c r="X7" s="86"/>
      <c r="Z7" s="76"/>
      <c r="AA7" s="108"/>
      <c r="AB7" s="135"/>
      <c r="AC7" s="88"/>
      <c r="AD7" s="135"/>
      <c r="AE7" s="84"/>
      <c r="AF7" s="38"/>
      <c r="AG7" s="232">
        <v>4090180487</v>
      </c>
      <c r="AH7" s="123"/>
      <c r="AI7" s="100"/>
      <c r="AJ7" s="92"/>
      <c r="AK7" s="93"/>
      <c r="AL7" s="75"/>
      <c r="AM7" s="7"/>
      <c r="AN7" s="433"/>
      <c r="AO7" s="103"/>
      <c r="AP7" s="95"/>
    </row>
    <row r="8" spans="1:42" ht="15.75">
      <c r="A8" s="82" t="s">
        <v>1994</v>
      </c>
      <c r="B8" s="81">
        <v>180488</v>
      </c>
      <c r="C8" s="2" t="s">
        <v>995</v>
      </c>
      <c r="D8" s="218">
        <v>46109</v>
      </c>
      <c r="E8" s="84"/>
      <c r="F8" s="84"/>
      <c r="G8" s="97">
        <v>46094</v>
      </c>
      <c r="H8" s="7"/>
      <c r="I8" s="7"/>
      <c r="J8" s="7"/>
      <c r="K8" s="7"/>
      <c r="L8" s="11"/>
      <c r="M8" s="72" t="s">
        <v>1956</v>
      </c>
      <c r="N8" s="2" t="s">
        <v>45</v>
      </c>
      <c r="O8" s="4" t="s">
        <v>1957</v>
      </c>
      <c r="P8" s="2" t="s">
        <v>1958</v>
      </c>
      <c r="Q8" s="82" t="s">
        <v>1994</v>
      </c>
      <c r="R8" s="2" t="s">
        <v>1988</v>
      </c>
      <c r="S8" s="244">
        <v>721359010</v>
      </c>
      <c r="T8" s="226" t="s">
        <v>1960</v>
      </c>
      <c r="U8" s="20" t="s">
        <v>1995</v>
      </c>
      <c r="V8" s="71" t="s">
        <v>1962</v>
      </c>
      <c r="W8" s="71" t="s">
        <v>1963</v>
      </c>
      <c r="X8" s="86"/>
      <c r="Z8" s="68"/>
      <c r="AA8" s="69"/>
      <c r="AB8" s="135"/>
      <c r="AC8" s="88"/>
      <c r="AD8" s="135"/>
      <c r="AE8" s="84"/>
      <c r="AF8" s="38"/>
      <c r="AG8" s="233">
        <v>4090180488</v>
      </c>
      <c r="AH8" s="123"/>
      <c r="AI8" s="174"/>
      <c r="AJ8" s="92"/>
      <c r="AK8" s="93"/>
      <c r="AL8" s="75"/>
      <c r="AM8" s="7"/>
      <c r="AN8" s="434"/>
      <c r="AO8" s="103"/>
      <c r="AP8" s="95"/>
    </row>
    <row r="9" spans="1:42" ht="16.5" customHeight="1">
      <c r="A9" s="82" t="s">
        <v>1996</v>
      </c>
      <c r="B9" s="81">
        <v>180635</v>
      </c>
      <c r="C9" s="2" t="s">
        <v>995</v>
      </c>
      <c r="D9" s="218">
        <v>46109</v>
      </c>
      <c r="E9" s="84"/>
      <c r="F9" s="110"/>
      <c r="G9" s="97"/>
      <c r="H9" s="111"/>
      <c r="I9" s="98"/>
      <c r="J9" s="98"/>
      <c r="K9" s="98"/>
      <c r="L9" s="87"/>
      <c r="M9" s="85" t="s">
        <v>60</v>
      </c>
      <c r="N9" s="2" t="s">
        <v>45</v>
      </c>
      <c r="O9" s="4" t="s">
        <v>1957</v>
      </c>
      <c r="P9" s="2" t="s">
        <v>1958</v>
      </c>
      <c r="Q9" s="82" t="s">
        <v>1996</v>
      </c>
      <c r="R9" s="2" t="s">
        <v>1988</v>
      </c>
      <c r="S9" s="244">
        <v>721354315</v>
      </c>
      <c r="T9" s="226" t="s">
        <v>1960</v>
      </c>
      <c r="U9" s="20" t="s">
        <v>1997</v>
      </c>
      <c r="V9" s="84"/>
      <c r="W9" s="245">
        <v>46101</v>
      </c>
      <c r="X9" s="86" t="s">
        <v>102</v>
      </c>
      <c r="Y9" s="87" t="s">
        <v>1998</v>
      </c>
      <c r="Z9" s="68"/>
      <c r="AA9" s="69"/>
      <c r="AB9" s="135">
        <v>2605142642</v>
      </c>
      <c r="AC9" s="88"/>
      <c r="AD9" s="135"/>
      <c r="AE9" s="115"/>
      <c r="AF9" s="38"/>
      <c r="AG9" s="246">
        <v>4090180635</v>
      </c>
      <c r="AH9" s="123"/>
      <c r="AI9" s="100"/>
      <c r="AJ9" s="92"/>
      <c r="AK9" s="93"/>
      <c r="AL9" s="75"/>
      <c r="AM9" s="7"/>
      <c r="AN9" s="432"/>
      <c r="AO9" s="103"/>
      <c r="AP9" s="104"/>
    </row>
    <row r="10" spans="1:42" ht="15.75">
      <c r="A10" s="82" t="s">
        <v>1999</v>
      </c>
      <c r="B10" s="81">
        <v>180675</v>
      </c>
      <c r="C10" s="2" t="s">
        <v>995</v>
      </c>
      <c r="D10" s="218">
        <v>46116</v>
      </c>
      <c r="E10" s="84"/>
      <c r="F10" s="84"/>
      <c r="G10" s="56"/>
      <c r="H10" s="7"/>
      <c r="I10" s="7"/>
      <c r="J10" s="7"/>
      <c r="K10" s="7"/>
      <c r="L10" s="11"/>
      <c r="M10" s="85" t="s">
        <v>1956</v>
      </c>
      <c r="N10" s="2" t="s">
        <v>45</v>
      </c>
      <c r="O10" s="4" t="s">
        <v>1957</v>
      </c>
      <c r="P10" s="2" t="s">
        <v>1958</v>
      </c>
      <c r="Q10" s="82" t="s">
        <v>1999</v>
      </c>
      <c r="R10" s="11" t="s">
        <v>2000</v>
      </c>
      <c r="S10" s="244">
        <v>721316057</v>
      </c>
      <c r="T10" s="226" t="s">
        <v>1960</v>
      </c>
      <c r="U10" s="7" t="s">
        <v>2001</v>
      </c>
      <c r="V10" s="84" t="s">
        <v>1962</v>
      </c>
      <c r="W10" s="166" t="s">
        <v>1963</v>
      </c>
      <c r="X10" s="86"/>
      <c r="Z10" s="68"/>
      <c r="AA10" s="69"/>
      <c r="AB10" s="135"/>
      <c r="AC10" s="88"/>
      <c r="AD10" s="135"/>
      <c r="AE10" s="175"/>
      <c r="AF10" s="38"/>
      <c r="AG10" s="246">
        <v>4090180675</v>
      </c>
      <c r="AH10" s="123"/>
      <c r="AI10" s="100"/>
      <c r="AJ10" s="107"/>
      <c r="AK10" s="100"/>
      <c r="AL10" s="75"/>
      <c r="AM10" s="7"/>
      <c r="AN10" s="435"/>
      <c r="AO10" s="103"/>
      <c r="AP10" s="95"/>
    </row>
    <row r="11" spans="1:42" ht="15.75">
      <c r="A11" s="82" t="s">
        <v>2002</v>
      </c>
      <c r="B11" s="81">
        <v>180676</v>
      </c>
      <c r="C11" s="2" t="s">
        <v>995</v>
      </c>
      <c r="D11" s="218">
        <v>46116</v>
      </c>
      <c r="E11" s="83"/>
      <c r="F11" s="84"/>
      <c r="G11" s="56"/>
      <c r="H11" s="7"/>
      <c r="I11" s="7"/>
      <c r="J11" s="7"/>
      <c r="K11" s="7"/>
      <c r="L11" s="11"/>
      <c r="M11" s="85" t="s">
        <v>1956</v>
      </c>
      <c r="N11" s="2" t="s">
        <v>45</v>
      </c>
      <c r="O11" s="4" t="s">
        <v>1957</v>
      </c>
      <c r="P11" s="2" t="s">
        <v>1958</v>
      </c>
      <c r="Q11" s="82" t="s">
        <v>2002</v>
      </c>
      <c r="R11" s="11" t="s">
        <v>2000</v>
      </c>
      <c r="S11" s="244">
        <v>721347390</v>
      </c>
      <c r="T11" s="226" t="s">
        <v>1960</v>
      </c>
      <c r="U11" s="20" t="s">
        <v>2003</v>
      </c>
      <c r="V11" s="84" t="s">
        <v>1962</v>
      </c>
      <c r="W11" s="166" t="s">
        <v>1963</v>
      </c>
      <c r="X11" s="86"/>
      <c r="Z11" s="76"/>
      <c r="AA11" s="108"/>
      <c r="AB11" s="135"/>
      <c r="AC11" s="436"/>
      <c r="AD11" s="135"/>
      <c r="AE11" s="115"/>
      <c r="AF11" s="38"/>
      <c r="AG11" s="246">
        <v>4090180676</v>
      </c>
      <c r="AH11" s="123"/>
      <c r="AI11" s="100"/>
      <c r="AJ11" s="109"/>
      <c r="AK11" s="91"/>
      <c r="AL11" s="75"/>
      <c r="AM11" s="7"/>
      <c r="AN11" s="112"/>
      <c r="AO11" s="103"/>
      <c r="AP11" s="95"/>
    </row>
    <row r="12" spans="1:42" ht="15.75">
      <c r="A12" s="82"/>
      <c r="B12" s="81"/>
      <c r="C12" s="27"/>
      <c r="D12" s="160"/>
      <c r="E12" s="83"/>
      <c r="F12" s="110"/>
      <c r="G12" s="56"/>
      <c r="H12" s="111"/>
      <c r="I12" s="7"/>
      <c r="J12" s="7"/>
      <c r="K12" s="7"/>
      <c r="L12" s="11"/>
      <c r="M12" s="85"/>
      <c r="N12" s="7"/>
      <c r="O12" s="7"/>
      <c r="P12" s="7"/>
      <c r="Q12" s="7"/>
      <c r="R12" s="11"/>
      <c r="S12" s="86"/>
      <c r="T12" s="86"/>
      <c r="U12" s="7"/>
      <c r="V12" s="84"/>
      <c r="W12" s="166"/>
      <c r="X12" s="86"/>
      <c r="Z12" s="68"/>
      <c r="AA12" s="69"/>
      <c r="AB12" s="135"/>
      <c r="AC12" s="88"/>
      <c r="AD12" s="135"/>
      <c r="AE12" s="84"/>
      <c r="AF12" s="38"/>
      <c r="AG12" s="40"/>
      <c r="AH12" s="123"/>
      <c r="AI12" s="100"/>
      <c r="AJ12" s="92"/>
      <c r="AK12" s="78"/>
      <c r="AL12" s="75"/>
      <c r="AM12" s="7"/>
      <c r="AN12" s="437"/>
      <c r="AO12" s="103"/>
      <c r="AP12" s="95"/>
    </row>
    <row r="13" spans="1:42" ht="15.75">
      <c r="A13" s="82"/>
      <c r="B13" s="81"/>
      <c r="C13" s="27"/>
      <c r="D13" s="160"/>
      <c r="E13" s="84"/>
      <c r="F13" s="84"/>
      <c r="G13" s="56"/>
      <c r="H13" s="7"/>
      <c r="I13" s="7"/>
      <c r="J13" s="7"/>
      <c r="K13" s="7"/>
      <c r="L13" s="11"/>
      <c r="M13" s="85"/>
      <c r="N13" s="7"/>
      <c r="O13" s="7"/>
      <c r="P13" s="7"/>
      <c r="Q13" s="7"/>
      <c r="R13" s="11"/>
      <c r="S13" s="86"/>
      <c r="T13" s="86"/>
      <c r="U13" s="20"/>
      <c r="V13" s="84"/>
      <c r="W13" s="166"/>
      <c r="X13" s="86"/>
      <c r="Z13" s="68"/>
      <c r="AA13" s="69"/>
      <c r="AB13" s="135"/>
      <c r="AC13" s="88"/>
      <c r="AD13" s="135"/>
      <c r="AE13" s="84"/>
      <c r="AF13" s="38"/>
      <c r="AG13" s="40"/>
      <c r="AH13" s="123"/>
      <c r="AI13" s="100"/>
      <c r="AJ13" s="107"/>
      <c r="AK13" s="93"/>
      <c r="AL13" s="75"/>
      <c r="AM13" s="7"/>
      <c r="AN13" s="438"/>
      <c r="AO13" s="103"/>
      <c r="AP13" s="95"/>
    </row>
    <row r="14" spans="1:42" ht="15.75">
      <c r="A14" s="82"/>
      <c r="B14" s="81"/>
      <c r="C14" s="27"/>
      <c r="D14" s="160"/>
      <c r="E14" s="84"/>
      <c r="F14" s="84"/>
      <c r="G14" s="56"/>
      <c r="H14" s="7"/>
      <c r="I14" s="7"/>
      <c r="J14" s="7"/>
      <c r="K14" s="7"/>
      <c r="L14" s="11"/>
      <c r="M14" s="85"/>
      <c r="N14" s="7"/>
      <c r="O14" s="7"/>
      <c r="P14" s="7"/>
      <c r="Q14" s="7"/>
      <c r="R14" s="11"/>
      <c r="S14" s="86"/>
      <c r="T14" s="86"/>
      <c r="U14" s="7"/>
      <c r="V14" s="84"/>
      <c r="W14" s="166"/>
      <c r="X14" s="86"/>
      <c r="Z14" s="68"/>
      <c r="AA14" s="69"/>
      <c r="AB14" s="89"/>
      <c r="AC14" s="105"/>
      <c r="AD14" s="89"/>
      <c r="AE14" s="84"/>
      <c r="AF14" s="38"/>
      <c r="AG14" s="40"/>
      <c r="AH14" s="123"/>
      <c r="AI14" s="100"/>
      <c r="AJ14" s="107"/>
      <c r="AK14" s="78"/>
      <c r="AL14" s="75"/>
      <c r="AM14" s="7"/>
      <c r="AN14" s="432"/>
      <c r="AO14" s="103"/>
      <c r="AP14" s="95"/>
    </row>
    <row r="15" spans="1:42" ht="15.75">
      <c r="A15" s="82"/>
      <c r="B15" s="81"/>
      <c r="C15" s="27"/>
      <c r="D15" s="160"/>
      <c r="E15" s="84"/>
      <c r="F15" s="84"/>
      <c r="G15" s="56"/>
      <c r="H15" s="7"/>
      <c r="I15" s="7"/>
      <c r="J15" s="7"/>
      <c r="K15" s="7"/>
      <c r="L15" s="11"/>
      <c r="M15" s="85"/>
      <c r="N15" s="7"/>
      <c r="O15" s="7"/>
      <c r="P15" s="7"/>
      <c r="Q15" s="7"/>
      <c r="R15" s="11"/>
      <c r="S15" s="86"/>
      <c r="T15" s="86"/>
      <c r="U15" s="7"/>
      <c r="V15" s="84"/>
      <c r="W15" s="166"/>
      <c r="X15" s="86"/>
      <c r="Z15" s="68"/>
      <c r="AA15" s="69"/>
      <c r="AB15" s="89"/>
      <c r="AC15" s="105"/>
      <c r="AD15" s="89"/>
      <c r="AE15" s="84"/>
      <c r="AF15" s="38"/>
      <c r="AG15" s="40"/>
      <c r="AH15" s="123"/>
      <c r="AI15" s="100"/>
      <c r="AJ15" s="92"/>
      <c r="AK15" s="93"/>
      <c r="AL15" s="75"/>
      <c r="AM15" s="7"/>
      <c r="AN15" s="433"/>
      <c r="AO15" s="103"/>
      <c r="AP15" s="95"/>
    </row>
    <row r="16" spans="1:42" ht="15.75">
      <c r="A16" s="82"/>
      <c r="B16" s="81"/>
      <c r="C16" s="27"/>
      <c r="D16" s="160"/>
      <c r="E16" s="84"/>
      <c r="F16" s="110"/>
      <c r="G16" s="56"/>
      <c r="H16" s="111"/>
      <c r="I16" s="7"/>
      <c r="J16" s="7"/>
      <c r="K16" s="7"/>
      <c r="L16" s="11"/>
      <c r="M16" s="85"/>
      <c r="N16" s="7"/>
      <c r="O16" s="7"/>
      <c r="P16" s="7"/>
      <c r="Q16" s="7"/>
      <c r="R16" s="11"/>
      <c r="S16" s="86"/>
      <c r="T16" s="86"/>
      <c r="U16" s="7"/>
      <c r="V16" s="84"/>
      <c r="W16" s="166"/>
      <c r="X16" s="86"/>
      <c r="Z16" s="68"/>
      <c r="AA16" s="69"/>
      <c r="AB16" s="89"/>
      <c r="AC16" s="88"/>
      <c r="AD16" s="89"/>
      <c r="AE16" s="84"/>
      <c r="AF16" s="38"/>
      <c r="AG16" s="40"/>
      <c r="AH16" s="123"/>
      <c r="AI16" s="100"/>
      <c r="AJ16" s="107"/>
      <c r="AK16" s="93"/>
      <c r="AL16" s="75"/>
      <c r="AM16" s="7"/>
      <c r="AN16" s="432"/>
      <c r="AO16" s="103"/>
      <c r="AP16" s="95"/>
    </row>
    <row r="17" spans="1:42" ht="15.75">
      <c r="A17" s="82"/>
      <c r="B17" s="81"/>
      <c r="C17" s="27"/>
      <c r="D17" s="160"/>
      <c r="E17" s="83"/>
      <c r="F17" s="84"/>
      <c r="G17" s="56"/>
      <c r="H17" s="7"/>
      <c r="I17" s="7"/>
      <c r="J17" s="7"/>
      <c r="K17" s="7"/>
      <c r="L17" s="11"/>
      <c r="M17" s="85"/>
      <c r="N17" s="7"/>
      <c r="O17" s="7"/>
      <c r="P17" s="7"/>
      <c r="Q17" s="7"/>
      <c r="R17" s="11"/>
      <c r="S17" s="86"/>
      <c r="T17" s="86"/>
      <c r="U17" s="7"/>
      <c r="V17" s="84"/>
      <c r="W17" s="166"/>
      <c r="X17" s="86"/>
      <c r="Z17" s="68"/>
      <c r="AA17" s="69"/>
      <c r="AB17" s="89"/>
      <c r="AC17" s="88"/>
      <c r="AD17" s="89"/>
      <c r="AE17" s="84"/>
      <c r="AF17" s="38"/>
      <c r="AG17" s="40"/>
      <c r="AH17" s="123"/>
      <c r="AI17" s="100"/>
      <c r="AJ17" s="107"/>
      <c r="AK17" s="100"/>
      <c r="AL17" s="75"/>
      <c r="AM17" s="7"/>
      <c r="AN17" s="435"/>
      <c r="AO17" s="103"/>
      <c r="AP17" s="95"/>
    </row>
    <row r="18" spans="1:42" ht="15.75">
      <c r="A18" s="82"/>
      <c r="B18" s="81"/>
      <c r="C18" s="27"/>
      <c r="D18" s="160"/>
      <c r="E18" s="84"/>
      <c r="F18" s="84"/>
      <c r="G18" s="56"/>
      <c r="H18" s="7"/>
      <c r="I18" s="7"/>
      <c r="J18" s="7"/>
      <c r="K18" s="7"/>
      <c r="L18" s="11"/>
      <c r="M18" s="85"/>
      <c r="N18" s="7"/>
      <c r="O18" s="7"/>
      <c r="P18" s="7"/>
      <c r="Q18" s="7"/>
      <c r="R18" s="11"/>
      <c r="S18" s="86"/>
      <c r="T18" s="86"/>
      <c r="U18" s="7"/>
      <c r="V18" s="84"/>
      <c r="W18" s="166"/>
      <c r="X18" s="86"/>
      <c r="Z18" s="68"/>
      <c r="AA18" s="69"/>
      <c r="AB18" s="89"/>
      <c r="AC18" s="105"/>
      <c r="AD18" s="89"/>
      <c r="AE18" s="84"/>
      <c r="AF18" s="38"/>
      <c r="AG18" s="40"/>
      <c r="AH18" s="123"/>
      <c r="AI18" s="100"/>
      <c r="AJ18" s="92"/>
      <c r="AK18" s="78"/>
      <c r="AL18" s="75"/>
      <c r="AM18" s="7"/>
      <c r="AN18" s="438"/>
      <c r="AO18" s="103"/>
      <c r="AP18" s="95"/>
    </row>
    <row r="19" spans="1:42" ht="15.75">
      <c r="A19" s="82"/>
      <c r="B19" s="81"/>
      <c r="C19" s="27"/>
      <c r="D19" s="160"/>
      <c r="E19" s="84"/>
      <c r="F19" s="84"/>
      <c r="G19" s="56"/>
      <c r="H19" s="7"/>
      <c r="I19" s="7"/>
      <c r="J19" s="7"/>
      <c r="K19" s="7"/>
      <c r="L19" s="11"/>
      <c r="M19" s="85"/>
      <c r="N19" s="7"/>
      <c r="O19" s="7"/>
      <c r="P19" s="7"/>
      <c r="Q19" s="7"/>
      <c r="R19" s="11"/>
      <c r="S19" s="86"/>
      <c r="T19" s="86"/>
      <c r="U19" s="20"/>
      <c r="V19" s="84"/>
      <c r="W19" s="166"/>
      <c r="X19" s="86"/>
      <c r="Z19" s="68"/>
      <c r="AA19" s="69"/>
      <c r="AB19" s="89"/>
      <c r="AC19" s="105"/>
      <c r="AD19" s="89"/>
      <c r="AE19" s="84"/>
      <c r="AF19" s="38"/>
      <c r="AG19" s="40"/>
      <c r="AH19" s="123"/>
      <c r="AI19" s="100"/>
      <c r="AJ19" s="92"/>
      <c r="AK19" s="93"/>
      <c r="AL19" s="75"/>
      <c r="AM19" s="7"/>
      <c r="AN19" s="434"/>
      <c r="AO19" s="103"/>
      <c r="AP19" s="95"/>
    </row>
    <row r="20" spans="1:42" ht="15.75">
      <c r="A20" s="113"/>
      <c r="B20" s="81"/>
      <c r="C20" s="27"/>
      <c r="D20" s="160"/>
      <c r="E20" s="96"/>
      <c r="F20" s="96"/>
      <c r="G20" s="97"/>
      <c r="H20" s="98"/>
      <c r="I20" s="98"/>
      <c r="J20" s="98"/>
      <c r="K20" s="98"/>
      <c r="L20" s="87"/>
      <c r="M20" s="85"/>
      <c r="N20" s="98"/>
      <c r="O20" s="7"/>
      <c r="P20" s="7"/>
      <c r="Q20" s="98"/>
      <c r="R20" s="87"/>
      <c r="S20" s="86"/>
      <c r="T20" s="86"/>
      <c r="U20" s="20"/>
      <c r="V20" s="84"/>
      <c r="W20" s="166"/>
      <c r="X20" s="86"/>
      <c r="Z20" s="76"/>
      <c r="AA20" s="108"/>
      <c r="AB20" s="89"/>
      <c r="AC20" s="88"/>
      <c r="AD20" s="89"/>
      <c r="AE20" s="96"/>
      <c r="AF20" s="38"/>
      <c r="AG20" s="40"/>
      <c r="AH20" s="123"/>
      <c r="AI20" s="439"/>
      <c r="AJ20" s="114"/>
      <c r="AK20" s="102"/>
      <c r="AL20" s="440"/>
      <c r="AM20" s="98"/>
      <c r="AN20" s="432"/>
      <c r="AO20" s="103"/>
      <c r="AP20" s="104"/>
    </row>
    <row r="21" spans="1:42" ht="15.75">
      <c r="A21" s="113"/>
      <c r="B21" s="81"/>
      <c r="C21" s="27"/>
      <c r="D21" s="160"/>
      <c r="E21" s="96"/>
      <c r="F21" s="96"/>
      <c r="G21" s="97"/>
      <c r="H21" s="98"/>
      <c r="I21" s="98"/>
      <c r="J21" s="98"/>
      <c r="K21" s="98"/>
      <c r="L21" s="87"/>
      <c r="M21" s="85"/>
      <c r="N21" s="98"/>
      <c r="O21" s="7"/>
      <c r="P21" s="7"/>
      <c r="Q21" s="98"/>
      <c r="R21" s="87"/>
      <c r="S21" s="86"/>
      <c r="T21" s="86"/>
      <c r="U21" s="7"/>
      <c r="V21" s="84"/>
      <c r="W21" s="166"/>
      <c r="X21" s="86"/>
      <c r="Z21" s="76"/>
      <c r="AA21" s="108"/>
      <c r="AB21" s="89"/>
      <c r="AC21" s="88"/>
      <c r="AD21" s="89"/>
      <c r="AE21" s="96"/>
      <c r="AF21" s="38"/>
      <c r="AG21" s="40"/>
      <c r="AH21" s="123"/>
      <c r="AI21" s="439"/>
      <c r="AJ21" s="114"/>
      <c r="AK21" s="102"/>
      <c r="AL21" s="440"/>
      <c r="AM21" s="98"/>
      <c r="AN21" s="435"/>
      <c r="AO21" s="103"/>
      <c r="AP21" s="104"/>
    </row>
    <row r="22" spans="1:42" ht="15.75">
      <c r="A22" s="113"/>
      <c r="B22" s="81"/>
      <c r="C22" s="27"/>
      <c r="D22" s="160"/>
      <c r="E22" s="83"/>
      <c r="F22" s="96"/>
      <c r="G22" s="97"/>
      <c r="H22" s="98"/>
      <c r="I22" s="98"/>
      <c r="J22" s="98"/>
      <c r="K22" s="98"/>
      <c r="L22" s="87"/>
      <c r="M22" s="85"/>
      <c r="N22" s="98"/>
      <c r="O22" s="7"/>
      <c r="P22" s="7"/>
      <c r="Q22" s="98"/>
      <c r="R22" s="87"/>
      <c r="S22" s="86"/>
      <c r="T22" s="86"/>
      <c r="U22" s="441"/>
      <c r="V22" s="84"/>
      <c r="W22" s="166"/>
      <c r="X22" s="86"/>
      <c r="Z22" s="76"/>
      <c r="AA22" s="108"/>
      <c r="AB22" s="89"/>
      <c r="AC22" s="88"/>
      <c r="AD22" s="89"/>
      <c r="AE22" s="96"/>
      <c r="AF22" s="38"/>
      <c r="AG22" s="40"/>
      <c r="AH22" s="123"/>
      <c r="AI22" s="439"/>
      <c r="AJ22" s="107"/>
      <c r="AK22" s="442"/>
      <c r="AL22" s="440"/>
      <c r="AM22" s="98"/>
      <c r="AN22" s="437"/>
      <c r="AO22" s="103"/>
      <c r="AP22" s="104"/>
    </row>
    <row r="23" spans="1:42" ht="15.75">
      <c r="A23" s="113"/>
      <c r="B23" s="81"/>
      <c r="C23" s="27"/>
      <c r="D23" s="160"/>
      <c r="E23" s="115"/>
      <c r="F23" s="96"/>
      <c r="G23" s="97"/>
      <c r="H23" s="98"/>
      <c r="I23" s="98"/>
      <c r="J23" s="98"/>
      <c r="K23" s="98"/>
      <c r="L23" s="87"/>
      <c r="M23" s="85"/>
      <c r="N23" s="98"/>
      <c r="O23" s="7"/>
      <c r="P23" s="7"/>
      <c r="Q23" s="98"/>
      <c r="R23" s="87"/>
      <c r="S23" s="86"/>
      <c r="T23" s="86"/>
      <c r="U23" s="98"/>
      <c r="V23" s="84"/>
      <c r="W23" s="166"/>
      <c r="X23" s="86"/>
      <c r="Z23" s="76"/>
      <c r="AA23" s="108"/>
      <c r="AB23" s="89"/>
      <c r="AC23" s="88"/>
      <c r="AD23" s="89"/>
      <c r="AE23" s="96"/>
      <c r="AF23" s="38"/>
      <c r="AG23" s="40"/>
      <c r="AH23" s="117"/>
      <c r="AI23" s="439"/>
      <c r="AJ23" s="109"/>
      <c r="AK23" s="442"/>
      <c r="AL23" s="440"/>
      <c r="AM23" s="98"/>
      <c r="AN23" s="438"/>
      <c r="AO23" s="103"/>
      <c r="AP23" s="104"/>
    </row>
    <row r="24" spans="1:42" ht="15.75">
      <c r="A24" s="113"/>
      <c r="B24" s="81"/>
      <c r="C24" s="27"/>
      <c r="D24" s="160"/>
      <c r="E24" s="96"/>
      <c r="F24" s="96"/>
      <c r="G24" s="97"/>
      <c r="H24" s="98"/>
      <c r="I24" s="98"/>
      <c r="J24" s="98"/>
      <c r="K24" s="98"/>
      <c r="L24" s="87"/>
      <c r="M24" s="85"/>
      <c r="N24" s="98"/>
      <c r="O24" s="7"/>
      <c r="P24" s="7"/>
      <c r="Q24" s="98"/>
      <c r="R24" s="87"/>
      <c r="S24" s="86"/>
      <c r="T24" s="86"/>
      <c r="U24" s="20"/>
      <c r="V24" s="84"/>
      <c r="W24" s="166"/>
      <c r="X24" s="86"/>
      <c r="Z24" s="76"/>
      <c r="AA24" s="108"/>
      <c r="AB24" s="89"/>
      <c r="AC24" s="88"/>
      <c r="AD24" s="89"/>
      <c r="AE24" s="96"/>
      <c r="AF24" s="38"/>
      <c r="AG24" s="40"/>
      <c r="AH24" s="123"/>
      <c r="AI24" s="439"/>
      <c r="AJ24" s="114"/>
      <c r="AK24" s="102"/>
      <c r="AL24" s="440"/>
      <c r="AM24" s="98"/>
      <c r="AN24" s="432"/>
      <c r="AO24" s="103"/>
      <c r="AP24" s="104"/>
    </row>
    <row r="25" spans="1:42" ht="15.75">
      <c r="A25" s="113"/>
      <c r="B25" s="81"/>
      <c r="C25" s="27"/>
      <c r="D25" s="160"/>
      <c r="E25" s="96"/>
      <c r="F25" s="96"/>
      <c r="G25" s="97"/>
      <c r="H25" s="98"/>
      <c r="I25" s="98"/>
      <c r="J25" s="98"/>
      <c r="K25" s="98"/>
      <c r="L25" s="87"/>
      <c r="M25" s="85"/>
      <c r="N25" s="98"/>
      <c r="O25" s="7"/>
      <c r="P25" s="7"/>
      <c r="Q25" s="98"/>
      <c r="R25" s="87"/>
      <c r="S25" s="86"/>
      <c r="T25" s="86"/>
      <c r="U25" s="7"/>
      <c r="V25" s="84"/>
      <c r="W25" s="166"/>
      <c r="X25" s="86"/>
      <c r="Z25" s="76"/>
      <c r="AA25" s="108"/>
      <c r="AB25" s="89"/>
      <c r="AC25" s="105"/>
      <c r="AD25" s="89"/>
      <c r="AE25" s="96"/>
      <c r="AF25" s="38"/>
      <c r="AG25" s="40"/>
      <c r="AH25" s="123"/>
      <c r="AI25" s="100"/>
      <c r="AJ25" s="92"/>
      <c r="AK25" s="93"/>
      <c r="AL25" s="75"/>
      <c r="AM25" s="98"/>
      <c r="AN25" s="433"/>
      <c r="AO25" s="103"/>
      <c r="AP25" s="104"/>
    </row>
    <row r="26" spans="1:42" ht="15.75">
      <c r="A26" s="113"/>
      <c r="B26" s="81"/>
      <c r="C26" s="27"/>
      <c r="D26" s="160"/>
      <c r="E26" s="83"/>
      <c r="F26" s="96"/>
      <c r="G26" s="97"/>
      <c r="H26" s="98"/>
      <c r="I26" s="98"/>
      <c r="J26" s="98"/>
      <c r="K26" s="98"/>
      <c r="L26" s="87"/>
      <c r="M26" s="85"/>
      <c r="N26" s="98"/>
      <c r="O26" s="7"/>
      <c r="P26" s="7"/>
      <c r="Q26" s="98"/>
      <c r="R26" s="87"/>
      <c r="S26" s="86"/>
      <c r="T26" s="86"/>
      <c r="U26" s="98"/>
      <c r="V26" s="84"/>
      <c r="W26" s="166"/>
      <c r="X26" s="86"/>
      <c r="Z26" s="76"/>
      <c r="AA26" s="108"/>
      <c r="AB26" s="89"/>
      <c r="AC26" s="88"/>
      <c r="AD26" s="89"/>
      <c r="AE26" s="96"/>
      <c r="AF26" s="38"/>
      <c r="AG26" s="40"/>
      <c r="AH26" s="117"/>
      <c r="AI26" s="439"/>
      <c r="AJ26" s="195"/>
      <c r="AK26" s="442"/>
      <c r="AL26" s="75"/>
      <c r="AM26" s="98"/>
      <c r="AN26" s="434"/>
      <c r="AO26" s="103"/>
      <c r="AP26" s="104"/>
    </row>
    <row r="27" spans="1:42" ht="15.75">
      <c r="A27" s="113"/>
      <c r="B27" s="81"/>
      <c r="C27" s="27"/>
      <c r="D27" s="160"/>
      <c r="E27" s="96"/>
      <c r="F27" s="96"/>
      <c r="G27" s="97"/>
      <c r="H27" s="98"/>
      <c r="I27" s="98"/>
      <c r="J27" s="98"/>
      <c r="K27" s="98"/>
      <c r="L27" s="87"/>
      <c r="M27" s="85"/>
      <c r="N27" s="98"/>
      <c r="O27" s="7"/>
      <c r="P27" s="7"/>
      <c r="Q27" s="98"/>
      <c r="R27" s="87"/>
      <c r="S27" s="86"/>
      <c r="T27" s="86"/>
      <c r="U27" s="20"/>
      <c r="V27" s="84"/>
      <c r="W27" s="166"/>
      <c r="X27" s="86"/>
      <c r="Z27" s="76"/>
      <c r="AA27" s="108"/>
      <c r="AB27" s="89"/>
      <c r="AC27" s="88"/>
      <c r="AD27" s="89"/>
      <c r="AE27" s="96"/>
      <c r="AF27" s="38"/>
      <c r="AG27" s="40"/>
      <c r="AH27" s="123"/>
      <c r="AI27" s="439"/>
      <c r="AJ27" s="114"/>
      <c r="AK27" s="102"/>
      <c r="AL27" s="440"/>
      <c r="AM27" s="98"/>
      <c r="AN27" s="432"/>
      <c r="AO27" s="103"/>
      <c r="AP27" s="104"/>
    </row>
    <row r="28" spans="1:42" ht="15.75">
      <c r="A28" s="113"/>
      <c r="B28" s="81"/>
      <c r="C28" s="27"/>
      <c r="D28" s="160"/>
      <c r="E28" s="96"/>
      <c r="F28" s="96"/>
      <c r="G28" s="97"/>
      <c r="H28" s="98"/>
      <c r="I28" s="98"/>
      <c r="J28" s="98"/>
      <c r="K28" s="98"/>
      <c r="L28" s="87"/>
      <c r="M28" s="85"/>
      <c r="N28" s="98"/>
      <c r="O28" s="7"/>
      <c r="P28" s="7"/>
      <c r="Q28" s="98"/>
      <c r="R28" s="87"/>
      <c r="S28" s="86"/>
      <c r="T28" s="86"/>
      <c r="U28" s="20"/>
      <c r="V28" s="84"/>
      <c r="W28" s="166"/>
      <c r="X28" s="86"/>
      <c r="Z28" s="76"/>
      <c r="AA28" s="108"/>
      <c r="AB28" s="89"/>
      <c r="AC28" s="88"/>
      <c r="AD28" s="89"/>
      <c r="AE28" s="96"/>
      <c r="AF28" s="38"/>
      <c r="AG28" s="40"/>
      <c r="AH28" s="123"/>
      <c r="AI28" s="100"/>
      <c r="AJ28" s="114"/>
      <c r="AK28" s="93"/>
      <c r="AL28" s="75"/>
      <c r="AM28" s="98"/>
      <c r="AN28" s="443"/>
      <c r="AO28" s="103"/>
      <c r="AP28" s="104"/>
    </row>
    <row r="29" spans="1:42" ht="15.75">
      <c r="A29" s="113"/>
      <c r="B29" s="81"/>
      <c r="C29" s="27"/>
      <c r="D29" s="160"/>
      <c r="E29" s="96"/>
      <c r="F29" s="96"/>
      <c r="G29" s="97"/>
      <c r="H29" s="98"/>
      <c r="I29" s="98"/>
      <c r="J29" s="98"/>
      <c r="K29" s="98"/>
      <c r="L29" s="87"/>
      <c r="M29" s="85"/>
      <c r="N29" s="98"/>
      <c r="O29" s="7"/>
      <c r="P29" s="7"/>
      <c r="Q29" s="98"/>
      <c r="R29" s="87"/>
      <c r="S29" s="86"/>
      <c r="T29" s="86"/>
      <c r="U29" s="7"/>
      <c r="V29" s="84"/>
      <c r="W29" s="166"/>
      <c r="X29" s="86"/>
      <c r="Z29" s="76"/>
      <c r="AA29" s="108"/>
      <c r="AB29" s="89"/>
      <c r="AC29" s="105"/>
      <c r="AD29" s="89"/>
      <c r="AE29" s="96"/>
      <c r="AF29" s="38"/>
      <c r="AG29" s="40"/>
      <c r="AH29" s="123"/>
      <c r="AI29" s="100"/>
      <c r="AJ29" s="118"/>
      <c r="AK29" s="439"/>
      <c r="AL29" s="75"/>
      <c r="AM29" s="98"/>
      <c r="AN29" s="440"/>
      <c r="AO29" s="103"/>
      <c r="AP29" s="104"/>
    </row>
    <row r="30" spans="1:42" ht="15.75">
      <c r="A30" s="113"/>
      <c r="B30" s="81"/>
      <c r="C30" s="119"/>
      <c r="D30" s="161"/>
      <c r="E30" s="115"/>
      <c r="F30" s="96"/>
      <c r="G30" s="97"/>
      <c r="H30" s="98"/>
      <c r="I30" s="98"/>
      <c r="J30" s="98"/>
      <c r="K30" s="98"/>
      <c r="L30" s="87"/>
      <c r="M30" s="85"/>
      <c r="N30" s="98"/>
      <c r="O30" s="7"/>
      <c r="P30" s="7"/>
      <c r="Q30" s="98"/>
      <c r="R30" s="87"/>
      <c r="S30" s="86"/>
      <c r="T30" s="86"/>
      <c r="U30" s="441"/>
      <c r="V30" s="84"/>
      <c r="W30" s="166"/>
      <c r="X30" s="86"/>
      <c r="Z30" s="76"/>
      <c r="AA30" s="108"/>
      <c r="AB30" s="89"/>
      <c r="AC30" s="105"/>
      <c r="AD30" s="89"/>
      <c r="AE30" s="96"/>
      <c r="AF30" s="38"/>
      <c r="AG30" s="40"/>
      <c r="AH30" s="123"/>
      <c r="AI30" s="442"/>
      <c r="AJ30" s="196"/>
      <c r="AK30" s="444"/>
      <c r="AL30" s="440"/>
      <c r="AM30" s="98"/>
      <c r="AN30" s="440"/>
      <c r="AO30" s="103"/>
      <c r="AP30" s="104"/>
    </row>
    <row r="31" spans="1:42" ht="15.75">
      <c r="A31" s="113"/>
      <c r="B31" s="81"/>
      <c r="C31" s="27"/>
      <c r="D31" s="160"/>
      <c r="E31" s="96"/>
      <c r="F31" s="96"/>
      <c r="G31" s="97"/>
      <c r="H31" s="98"/>
      <c r="I31" s="98"/>
      <c r="J31" s="98"/>
      <c r="K31" s="98"/>
      <c r="L31" s="87"/>
      <c r="M31" s="85"/>
      <c r="N31" s="98"/>
      <c r="O31" s="7"/>
      <c r="P31" s="7"/>
      <c r="Q31" s="98"/>
      <c r="R31" s="87"/>
      <c r="S31" s="86"/>
      <c r="T31" s="86"/>
      <c r="U31" s="98"/>
      <c r="V31" s="84"/>
      <c r="W31" s="166"/>
      <c r="X31" s="86"/>
      <c r="Z31" s="76"/>
      <c r="AA31" s="108"/>
      <c r="AB31" s="89"/>
      <c r="AC31" s="105"/>
      <c r="AD31" s="89"/>
      <c r="AE31" s="96"/>
      <c r="AF31" s="38"/>
      <c r="AG31" s="40"/>
      <c r="AH31" s="117"/>
      <c r="AI31" s="439"/>
      <c r="AJ31" s="445"/>
      <c r="AK31" s="446"/>
      <c r="AL31" s="440"/>
      <c r="AM31" s="98"/>
      <c r="AN31" s="440"/>
      <c r="AO31" s="103"/>
      <c r="AP31" s="104"/>
    </row>
    <row r="32" spans="1:42" ht="15.75">
      <c r="A32" s="113"/>
      <c r="B32" s="81"/>
      <c r="C32" s="27"/>
      <c r="D32" s="160"/>
      <c r="E32" s="83"/>
      <c r="F32" s="96"/>
      <c r="G32" s="97"/>
      <c r="H32" s="98"/>
      <c r="I32" s="98"/>
      <c r="J32" s="98"/>
      <c r="K32" s="98"/>
      <c r="L32" s="87"/>
      <c r="M32" s="85"/>
      <c r="N32" s="98"/>
      <c r="O32" s="7"/>
      <c r="P32" s="7"/>
      <c r="Q32" s="98"/>
      <c r="R32" s="87"/>
      <c r="S32" s="86"/>
      <c r="T32" s="86"/>
      <c r="U32" s="441"/>
      <c r="V32" s="84"/>
      <c r="W32" s="166"/>
      <c r="X32" s="86"/>
      <c r="Z32" s="76"/>
      <c r="AA32" s="108"/>
      <c r="AB32" s="89"/>
      <c r="AC32" s="88"/>
      <c r="AD32" s="89"/>
      <c r="AE32" s="96"/>
      <c r="AF32" s="38"/>
      <c r="AG32" s="40"/>
      <c r="AH32" s="123"/>
      <c r="AI32" s="100"/>
      <c r="AJ32" s="109"/>
      <c r="AK32" s="91"/>
      <c r="AL32" s="440"/>
      <c r="AM32" s="98"/>
      <c r="AN32" s="440"/>
      <c r="AO32" s="103"/>
      <c r="AP32" s="104"/>
    </row>
    <row r="33" spans="1:42" ht="15.75">
      <c r="A33" s="113"/>
      <c r="B33" s="81"/>
      <c r="C33" s="27"/>
      <c r="D33" s="160"/>
      <c r="E33" s="83"/>
      <c r="F33" s="96"/>
      <c r="G33" s="97"/>
      <c r="H33" s="98"/>
      <c r="I33" s="98"/>
      <c r="J33" s="98"/>
      <c r="K33" s="98"/>
      <c r="L33" s="87"/>
      <c r="M33" s="85"/>
      <c r="N33" s="98"/>
      <c r="O33" s="7"/>
      <c r="P33" s="7"/>
      <c r="Q33" s="98"/>
      <c r="R33" s="87"/>
      <c r="S33" s="86"/>
      <c r="T33" s="86"/>
      <c r="U33" s="441"/>
      <c r="V33" s="84"/>
      <c r="W33" s="166"/>
      <c r="X33" s="86"/>
      <c r="Z33" s="76"/>
      <c r="AA33" s="108"/>
      <c r="AB33" s="89"/>
      <c r="AC33" s="105"/>
      <c r="AD33" s="89"/>
      <c r="AE33" s="96"/>
      <c r="AF33" s="38"/>
      <c r="AG33" s="40"/>
      <c r="AH33" s="121"/>
      <c r="AI33" s="91"/>
      <c r="AJ33" s="196"/>
      <c r="AK33" s="447"/>
      <c r="AL33" s="440"/>
      <c r="AM33" s="98"/>
      <c r="AN33" s="440"/>
      <c r="AO33" s="103"/>
      <c r="AP33" s="104"/>
    </row>
    <row r="34" spans="1:42" ht="15.75">
      <c r="A34" s="113"/>
      <c r="B34" s="81"/>
      <c r="C34" s="27"/>
      <c r="D34" s="160"/>
      <c r="E34" s="83"/>
      <c r="F34" s="96"/>
      <c r="G34" s="97"/>
      <c r="H34" s="98"/>
      <c r="I34" s="98"/>
      <c r="J34" s="98"/>
      <c r="K34" s="98"/>
      <c r="L34" s="87"/>
      <c r="M34" s="85"/>
      <c r="N34" s="98"/>
      <c r="O34" s="7"/>
      <c r="P34" s="7"/>
      <c r="Q34" s="98"/>
      <c r="R34" s="87"/>
      <c r="S34" s="86"/>
      <c r="T34" s="86"/>
      <c r="U34" s="441"/>
      <c r="V34" s="84"/>
      <c r="W34" s="166"/>
      <c r="X34" s="86"/>
      <c r="Z34" s="120"/>
      <c r="AA34" s="108"/>
      <c r="AB34" s="89"/>
      <c r="AC34" s="105"/>
      <c r="AD34" s="89"/>
      <c r="AE34" s="96"/>
      <c r="AF34" s="38"/>
      <c r="AG34" s="40"/>
      <c r="AH34" s="121"/>
      <c r="AI34" s="100"/>
      <c r="AJ34" s="122"/>
      <c r="AK34" s="448"/>
      <c r="AL34" s="440"/>
      <c r="AM34" s="98"/>
      <c r="AN34" s="440"/>
      <c r="AO34" s="103"/>
      <c r="AP34" s="104"/>
    </row>
    <row r="35" spans="1:42" ht="15.75">
      <c r="A35" s="113"/>
      <c r="B35" s="81"/>
      <c r="C35" s="27"/>
      <c r="D35" s="160"/>
      <c r="E35" s="115"/>
      <c r="F35" s="96"/>
      <c r="G35" s="97"/>
      <c r="H35" s="98"/>
      <c r="I35" s="98"/>
      <c r="J35" s="98"/>
      <c r="K35" s="98"/>
      <c r="L35" s="87"/>
      <c r="M35" s="85"/>
      <c r="N35" s="98"/>
      <c r="O35" s="7"/>
      <c r="P35" s="7"/>
      <c r="Q35" s="98"/>
      <c r="R35" s="87"/>
      <c r="S35" s="86"/>
      <c r="T35" s="86"/>
      <c r="U35" s="98"/>
      <c r="V35" s="84"/>
      <c r="W35" s="166"/>
      <c r="X35" s="86"/>
      <c r="Z35" s="76"/>
      <c r="AA35" s="108"/>
      <c r="AB35" s="89"/>
      <c r="AC35" s="105"/>
      <c r="AD35" s="89"/>
      <c r="AE35" s="96"/>
      <c r="AF35" s="38"/>
      <c r="AG35" s="40"/>
      <c r="AH35" s="123"/>
      <c r="AI35" s="442"/>
      <c r="AJ35" s="449"/>
      <c r="AK35" s="442"/>
      <c r="AL35" s="440"/>
      <c r="AM35" s="98"/>
      <c r="AN35" s="440"/>
      <c r="AO35" s="103"/>
      <c r="AP35" s="104"/>
    </row>
    <row r="36" spans="1:42" ht="15.75">
      <c r="A36" s="113"/>
      <c r="B36" s="81"/>
      <c r="C36" s="27"/>
      <c r="D36" s="160"/>
      <c r="E36" s="96"/>
      <c r="F36" s="96"/>
      <c r="G36" s="97"/>
      <c r="H36" s="98"/>
      <c r="I36" s="98"/>
      <c r="J36" s="98"/>
      <c r="K36" s="98"/>
      <c r="L36" s="87"/>
      <c r="M36" s="85"/>
      <c r="N36" s="98"/>
      <c r="O36" s="7"/>
      <c r="P36" s="7"/>
      <c r="Q36" s="98"/>
      <c r="R36" s="87"/>
      <c r="S36" s="86"/>
      <c r="T36" s="86"/>
      <c r="U36" s="98"/>
      <c r="V36" s="84"/>
      <c r="W36" s="166"/>
      <c r="X36" s="86"/>
      <c r="Z36" s="76"/>
      <c r="AA36" s="108"/>
      <c r="AB36" s="89"/>
      <c r="AC36" s="105"/>
      <c r="AD36" s="89"/>
      <c r="AE36" s="96"/>
      <c r="AF36" s="38"/>
      <c r="AG36" s="40"/>
      <c r="AH36" s="450"/>
      <c r="AI36" s="396"/>
      <c r="AJ36" s="440"/>
      <c r="AK36" s="451"/>
      <c r="AL36" s="440"/>
      <c r="AM36" s="98"/>
      <c r="AN36" s="440"/>
      <c r="AO36" s="103"/>
      <c r="AP36" s="104"/>
    </row>
    <row r="37" spans="1:42" ht="15.75">
      <c r="A37" s="113"/>
      <c r="B37" s="81"/>
      <c r="C37" s="27"/>
      <c r="D37" s="160"/>
      <c r="E37" s="83"/>
      <c r="F37" s="96"/>
      <c r="G37" s="97"/>
      <c r="H37" s="98"/>
      <c r="I37" s="98"/>
      <c r="J37" s="98"/>
      <c r="K37" s="98"/>
      <c r="L37" s="87"/>
      <c r="M37" s="85"/>
      <c r="N37" s="98"/>
      <c r="O37" s="7"/>
      <c r="P37" s="7"/>
      <c r="Q37" s="98"/>
      <c r="R37" s="87"/>
      <c r="S37" s="86"/>
      <c r="T37" s="86"/>
      <c r="U37" s="98"/>
      <c r="V37" s="84"/>
      <c r="W37" s="166"/>
      <c r="X37" s="86"/>
      <c r="Z37" s="76"/>
      <c r="AA37" s="108"/>
      <c r="AB37" s="89"/>
      <c r="AC37" s="105"/>
      <c r="AD37" s="89"/>
      <c r="AE37" s="96"/>
      <c r="AF37" s="38"/>
      <c r="AG37" s="40"/>
      <c r="AH37" s="121"/>
      <c r="AI37" s="100"/>
      <c r="AJ37" s="452"/>
      <c r="AK37" s="91"/>
      <c r="AL37" s="440"/>
      <c r="AM37" s="98"/>
      <c r="AN37" s="440"/>
      <c r="AO37" s="103"/>
      <c r="AP37" s="104"/>
    </row>
    <row r="38" spans="1:42" ht="15.75">
      <c r="A38" s="113"/>
      <c r="B38" s="81"/>
      <c r="C38" s="27"/>
      <c r="D38" s="160"/>
      <c r="E38" s="96"/>
      <c r="F38" s="96"/>
      <c r="G38" s="97"/>
      <c r="H38" s="98"/>
      <c r="I38" s="98"/>
      <c r="J38" s="98"/>
      <c r="K38" s="98"/>
      <c r="L38" s="87"/>
      <c r="M38" s="85"/>
      <c r="N38" s="98"/>
      <c r="O38" s="7"/>
      <c r="P38" s="7"/>
      <c r="Q38" s="98"/>
      <c r="R38" s="87"/>
      <c r="S38" s="86"/>
      <c r="T38" s="86"/>
      <c r="U38" s="124"/>
      <c r="V38" s="84"/>
      <c r="W38" s="166"/>
      <c r="X38" s="86"/>
      <c r="Z38" s="76"/>
      <c r="AA38" s="108"/>
      <c r="AB38" s="89"/>
      <c r="AC38" s="105"/>
      <c r="AD38" s="89"/>
      <c r="AE38" s="96"/>
      <c r="AF38" s="38"/>
      <c r="AG38" s="40"/>
      <c r="AH38" s="121"/>
      <c r="AI38" s="100"/>
      <c r="AJ38" s="197"/>
      <c r="AK38" s="101"/>
      <c r="AL38" s="75"/>
      <c r="AM38" s="98"/>
      <c r="AN38" s="440"/>
      <c r="AO38" s="103"/>
      <c r="AP38" s="104"/>
    </row>
    <row r="39" spans="1:42" ht="15.75">
      <c r="A39" s="113"/>
      <c r="B39" s="81"/>
      <c r="C39" s="27"/>
      <c r="D39" s="160"/>
      <c r="E39" s="83"/>
      <c r="F39" s="96"/>
      <c r="G39" s="97"/>
      <c r="H39" s="98"/>
      <c r="I39" s="98"/>
      <c r="J39" s="98"/>
      <c r="K39" s="98"/>
      <c r="L39" s="87"/>
      <c r="M39" s="85"/>
      <c r="N39" s="98"/>
      <c r="O39" s="7"/>
      <c r="P39" s="7"/>
      <c r="Q39" s="98"/>
      <c r="R39" s="87"/>
      <c r="S39" s="86"/>
      <c r="T39" s="86"/>
      <c r="U39" s="98"/>
      <c r="V39" s="84"/>
      <c r="W39" s="166"/>
      <c r="X39" s="86"/>
      <c r="Z39" s="76"/>
      <c r="AA39" s="108"/>
      <c r="AB39" s="89"/>
      <c r="AC39" s="105"/>
      <c r="AD39" s="89"/>
      <c r="AE39" s="96"/>
      <c r="AF39" s="38"/>
      <c r="AG39" s="40"/>
      <c r="AH39" s="123"/>
      <c r="AI39" s="442"/>
      <c r="AJ39" s="449"/>
      <c r="AK39" s="91"/>
      <c r="AL39" s="440"/>
      <c r="AM39" s="98"/>
      <c r="AN39" s="440"/>
      <c r="AO39" s="103"/>
      <c r="AP39" s="104"/>
    </row>
    <row r="40" spans="1:42" ht="15.75">
      <c r="A40" s="113"/>
      <c r="B40" s="81"/>
      <c r="C40" s="27"/>
      <c r="D40" s="160"/>
      <c r="E40" s="96"/>
      <c r="F40" s="96"/>
      <c r="G40" s="97"/>
      <c r="H40" s="98"/>
      <c r="I40" s="98"/>
      <c r="J40" s="98"/>
      <c r="K40" s="98"/>
      <c r="L40" s="87"/>
      <c r="M40" s="85"/>
      <c r="N40" s="98"/>
      <c r="O40" s="7"/>
      <c r="P40" s="7"/>
      <c r="Q40" s="98"/>
      <c r="R40" s="87"/>
      <c r="S40" s="86"/>
      <c r="T40" s="86"/>
      <c r="U40" s="98"/>
      <c r="V40" s="84"/>
      <c r="W40" s="166"/>
      <c r="X40" s="86"/>
      <c r="Z40" s="76"/>
      <c r="AA40" s="108"/>
      <c r="AB40" s="89"/>
      <c r="AC40" s="105"/>
      <c r="AD40" s="89"/>
      <c r="AE40" s="96"/>
      <c r="AF40" s="125"/>
      <c r="AG40" s="126"/>
      <c r="AH40" s="190"/>
      <c r="AI40" s="396"/>
      <c r="AJ40" s="440"/>
      <c r="AK40" s="453"/>
      <c r="AL40" s="440"/>
      <c r="AM40" s="98"/>
      <c r="AN40" s="440"/>
      <c r="AO40" s="103"/>
      <c r="AP40" s="104"/>
    </row>
    <row r="41" spans="1:42" ht="15.75">
      <c r="A41" s="113"/>
      <c r="B41" s="81"/>
      <c r="C41" s="27"/>
      <c r="D41" s="160"/>
      <c r="E41" s="83"/>
      <c r="F41" s="96"/>
      <c r="G41" s="97"/>
      <c r="H41" s="98"/>
      <c r="I41" s="98"/>
      <c r="J41" s="98"/>
      <c r="K41" s="98"/>
      <c r="L41" s="87"/>
      <c r="M41" s="85"/>
      <c r="N41" s="98"/>
      <c r="O41" s="7"/>
      <c r="P41" s="7"/>
      <c r="Q41" s="98"/>
      <c r="R41" s="87"/>
      <c r="S41" s="86"/>
      <c r="T41" s="86"/>
      <c r="U41" s="441"/>
      <c r="V41" s="84"/>
      <c r="W41" s="166"/>
      <c r="X41" s="86"/>
      <c r="Z41" s="76"/>
      <c r="AA41" s="108"/>
      <c r="AB41" s="89"/>
      <c r="AC41" s="105"/>
      <c r="AD41" s="89"/>
      <c r="AE41" s="96"/>
      <c r="AF41" s="38"/>
      <c r="AG41" s="40"/>
      <c r="AH41" s="123"/>
      <c r="AI41" s="100"/>
      <c r="AJ41" s="109"/>
      <c r="AK41" s="442"/>
      <c r="AL41" s="440"/>
      <c r="AM41" s="98"/>
      <c r="AN41" s="440"/>
      <c r="AO41" s="103"/>
      <c r="AP41" s="104"/>
    </row>
    <row r="42" spans="1:42" ht="15.75">
      <c r="A42" s="113"/>
      <c r="B42" s="81"/>
      <c r="C42" s="27"/>
      <c r="D42" s="160"/>
      <c r="E42" s="96"/>
      <c r="F42" s="96"/>
      <c r="G42" s="97"/>
      <c r="H42" s="98"/>
      <c r="I42" s="98"/>
      <c r="J42" s="98"/>
      <c r="K42" s="98"/>
      <c r="L42" s="87"/>
      <c r="M42" s="85"/>
      <c r="N42" s="98"/>
      <c r="O42" s="7"/>
      <c r="P42" s="7"/>
      <c r="Q42" s="98"/>
      <c r="R42" s="87"/>
      <c r="S42" s="86"/>
      <c r="T42" s="86"/>
      <c r="U42" s="441"/>
      <c r="V42" s="84"/>
      <c r="W42" s="166"/>
      <c r="X42" s="86"/>
      <c r="Z42" s="76"/>
      <c r="AA42" s="108"/>
      <c r="AB42" s="89"/>
      <c r="AC42" s="105"/>
      <c r="AD42" s="89"/>
      <c r="AE42" s="96"/>
      <c r="AF42" s="38"/>
      <c r="AG42" s="40"/>
      <c r="AH42" s="123"/>
      <c r="AI42" s="439"/>
      <c r="AJ42" s="454"/>
      <c r="AK42" s="442"/>
      <c r="AL42" s="440"/>
      <c r="AM42" s="98"/>
      <c r="AN42" s="440"/>
      <c r="AO42" s="103"/>
      <c r="AP42" s="104"/>
    </row>
    <row r="43" spans="1:42" ht="15.75">
      <c r="A43" s="113"/>
      <c r="B43" s="81"/>
      <c r="C43" s="27"/>
      <c r="D43" s="162"/>
      <c r="E43" s="127"/>
      <c r="F43" s="96"/>
      <c r="G43" s="97"/>
      <c r="H43" s="98"/>
      <c r="I43" s="98"/>
      <c r="J43" s="98"/>
      <c r="K43" s="98"/>
      <c r="L43" s="87"/>
      <c r="M43" s="85"/>
      <c r="N43" s="98"/>
      <c r="O43" s="7"/>
      <c r="P43" s="7"/>
      <c r="Q43" s="98"/>
      <c r="R43" s="87"/>
      <c r="S43" s="86"/>
      <c r="T43" s="86"/>
      <c r="U43" s="441"/>
      <c r="V43" s="84"/>
      <c r="W43" s="166"/>
      <c r="X43" s="86"/>
      <c r="Z43" s="76"/>
      <c r="AA43" s="108"/>
      <c r="AB43" s="89"/>
      <c r="AC43" s="105"/>
      <c r="AD43" s="89"/>
      <c r="AE43" s="96"/>
      <c r="AF43" s="125"/>
      <c r="AG43" s="126"/>
      <c r="AH43" s="117"/>
      <c r="AI43" s="91"/>
      <c r="AJ43" s="444"/>
      <c r="AK43" s="442"/>
      <c r="AL43" s="440"/>
      <c r="AM43" s="98"/>
      <c r="AN43" s="440"/>
      <c r="AO43" s="103"/>
      <c r="AP43" s="104"/>
    </row>
    <row r="44" spans="1:42" ht="15.75">
      <c r="A44" s="113"/>
      <c r="B44" s="81"/>
      <c r="C44" s="27"/>
      <c r="D44" s="160"/>
      <c r="E44" s="83"/>
      <c r="F44" s="96"/>
      <c r="G44" s="97"/>
      <c r="H44" s="98"/>
      <c r="I44" s="98"/>
      <c r="J44" s="98"/>
      <c r="K44" s="98"/>
      <c r="L44" s="87"/>
      <c r="M44" s="85"/>
      <c r="N44" s="98"/>
      <c r="O44" s="7"/>
      <c r="P44" s="7"/>
      <c r="Q44" s="98"/>
      <c r="R44" s="87"/>
      <c r="S44" s="86"/>
      <c r="T44" s="86"/>
      <c r="U44" s="98"/>
      <c r="V44" s="84"/>
      <c r="W44" s="166"/>
      <c r="X44" s="86"/>
      <c r="Z44" s="76"/>
      <c r="AA44" s="108"/>
      <c r="AB44" s="89"/>
      <c r="AC44" s="105"/>
      <c r="AD44" s="89"/>
      <c r="AE44" s="96"/>
      <c r="AF44" s="125"/>
      <c r="AG44" s="126"/>
      <c r="AH44" s="191"/>
      <c r="AI44" s="439"/>
      <c r="AJ44" s="109"/>
      <c r="AK44" s="448"/>
      <c r="AL44" s="440"/>
      <c r="AM44" s="98"/>
      <c r="AN44" s="440"/>
      <c r="AO44" s="103"/>
      <c r="AP44" s="104"/>
    </row>
    <row r="45" spans="1:42" ht="15.75">
      <c r="A45" s="113"/>
      <c r="B45" s="81"/>
      <c r="C45" s="27"/>
      <c r="D45" s="160"/>
      <c r="E45" s="96"/>
      <c r="F45" s="96"/>
      <c r="G45" s="97"/>
      <c r="H45" s="98"/>
      <c r="I45" s="98"/>
      <c r="J45" s="98"/>
      <c r="K45" s="98"/>
      <c r="L45" s="87"/>
      <c r="M45" s="85"/>
      <c r="N45" s="98"/>
      <c r="O45" s="7"/>
      <c r="P45" s="7"/>
      <c r="Q45" s="98"/>
      <c r="R45" s="87"/>
      <c r="S45" s="86"/>
      <c r="T45" s="86"/>
      <c r="U45" s="7"/>
      <c r="V45" s="84"/>
      <c r="W45" s="166"/>
      <c r="X45" s="86"/>
      <c r="Z45" s="76"/>
      <c r="AA45" s="108"/>
      <c r="AB45" s="89"/>
      <c r="AC45" s="105"/>
      <c r="AD45" s="89"/>
      <c r="AE45" s="96"/>
      <c r="AF45" s="125"/>
      <c r="AG45" s="126"/>
      <c r="AH45" s="192"/>
      <c r="AI45" s="100"/>
      <c r="AJ45" s="452"/>
      <c r="AK45" s="91"/>
      <c r="AL45" s="75"/>
      <c r="AM45" s="98"/>
      <c r="AN45" s="440"/>
      <c r="AO45" s="103"/>
      <c r="AP45" s="104"/>
    </row>
    <row r="46" spans="1:42" ht="15.75">
      <c r="A46" s="113"/>
      <c r="B46" s="81"/>
      <c r="C46" s="27"/>
      <c r="D46" s="160"/>
      <c r="E46" s="83"/>
      <c r="F46" s="96"/>
      <c r="G46" s="97"/>
      <c r="H46" s="98"/>
      <c r="I46" s="98"/>
      <c r="J46" s="98"/>
      <c r="K46" s="98"/>
      <c r="L46" s="87"/>
      <c r="M46" s="85"/>
      <c r="N46" s="98"/>
      <c r="O46" s="7"/>
      <c r="P46" s="7"/>
      <c r="Q46" s="98"/>
      <c r="R46" s="87"/>
      <c r="S46" s="86"/>
      <c r="T46" s="86"/>
      <c r="U46" s="98"/>
      <c r="V46" s="84"/>
      <c r="W46" s="166"/>
      <c r="X46" s="86"/>
      <c r="Z46" s="76"/>
      <c r="AA46" s="108"/>
      <c r="AB46" s="89"/>
      <c r="AC46" s="88"/>
      <c r="AD46" s="89"/>
      <c r="AE46" s="96"/>
      <c r="AF46" s="125"/>
      <c r="AG46" s="126"/>
      <c r="AH46" s="191"/>
      <c r="AI46" s="439"/>
      <c r="AJ46" s="449"/>
      <c r="AK46" s="91"/>
      <c r="AL46" s="440"/>
      <c r="AM46" s="98"/>
      <c r="AN46" s="440"/>
      <c r="AO46" s="103"/>
      <c r="AP46" s="104"/>
    </row>
    <row r="47" spans="1:42" ht="15.75">
      <c r="A47" s="113"/>
      <c r="B47" s="81"/>
      <c r="C47" s="27"/>
      <c r="D47" s="160"/>
      <c r="E47" s="96"/>
      <c r="F47" s="96"/>
      <c r="G47" s="97"/>
      <c r="H47" s="98"/>
      <c r="I47" s="98"/>
      <c r="J47" s="98"/>
      <c r="K47" s="98"/>
      <c r="L47" s="87"/>
      <c r="M47" s="85"/>
      <c r="N47" s="98"/>
      <c r="O47" s="7"/>
      <c r="P47" s="7"/>
      <c r="Q47" s="98"/>
      <c r="R47" s="87"/>
      <c r="S47" s="86"/>
      <c r="T47" s="86"/>
      <c r="U47" s="7"/>
      <c r="V47" s="84"/>
      <c r="W47" s="166"/>
      <c r="X47" s="86"/>
      <c r="Z47" s="76"/>
      <c r="AA47" s="108"/>
      <c r="AB47" s="89"/>
      <c r="AC47" s="88"/>
      <c r="AD47" s="89"/>
      <c r="AE47" s="96"/>
      <c r="AF47" s="38"/>
      <c r="AG47" s="40"/>
      <c r="AH47" s="123"/>
      <c r="AI47" s="100"/>
      <c r="AJ47" s="454"/>
      <c r="AK47" s="128"/>
      <c r="AL47" s="440"/>
      <c r="AM47" s="98"/>
      <c r="AN47" s="440"/>
      <c r="AO47" s="103"/>
      <c r="AP47" s="104"/>
    </row>
    <row r="48" spans="1:42" ht="15.75">
      <c r="A48" s="113"/>
      <c r="B48" s="81"/>
      <c r="C48" s="27"/>
      <c r="D48" s="160"/>
      <c r="E48" s="83"/>
      <c r="F48" s="96"/>
      <c r="G48" s="97"/>
      <c r="H48" s="98"/>
      <c r="I48" s="98"/>
      <c r="J48" s="98"/>
      <c r="K48" s="98"/>
      <c r="L48" s="87"/>
      <c r="M48" s="85"/>
      <c r="N48" s="98"/>
      <c r="O48" s="7"/>
      <c r="P48" s="7"/>
      <c r="Q48" s="98"/>
      <c r="R48" s="87"/>
      <c r="S48" s="86"/>
      <c r="T48" s="86"/>
      <c r="U48" s="98"/>
      <c r="V48" s="84"/>
      <c r="W48" s="166"/>
      <c r="X48" s="86"/>
      <c r="Z48" s="76"/>
      <c r="AA48" s="108"/>
      <c r="AB48" s="89"/>
      <c r="AC48" s="88"/>
      <c r="AD48" s="89"/>
      <c r="AE48" s="96"/>
      <c r="AF48" s="125"/>
      <c r="AG48" s="126"/>
      <c r="AH48" s="191"/>
      <c r="AI48" s="439"/>
      <c r="AJ48" s="444"/>
      <c r="AK48" s="442"/>
      <c r="AL48" s="440"/>
      <c r="AM48" s="98"/>
      <c r="AN48" s="440"/>
      <c r="AO48" s="103"/>
      <c r="AP48" s="104"/>
    </row>
    <row r="49" spans="1:42" ht="15.75">
      <c r="A49" s="113"/>
      <c r="B49" s="81"/>
      <c r="C49" s="27"/>
      <c r="D49" s="160"/>
      <c r="E49" s="96"/>
      <c r="F49" s="129"/>
      <c r="G49" s="130"/>
      <c r="H49" s="131"/>
      <c r="I49" s="131"/>
      <c r="J49" s="131"/>
      <c r="K49" s="131"/>
      <c r="L49" s="132"/>
      <c r="M49" s="85"/>
      <c r="N49" s="98"/>
      <c r="O49" s="7"/>
      <c r="P49" s="7"/>
      <c r="Q49" s="131"/>
      <c r="R49" s="132"/>
      <c r="S49" s="86"/>
      <c r="T49" s="86"/>
      <c r="U49" s="7"/>
      <c r="V49" s="84"/>
      <c r="W49" s="166"/>
      <c r="X49" s="86"/>
      <c r="Z49" s="76"/>
      <c r="AA49" s="133"/>
      <c r="AB49" s="89"/>
      <c r="AC49" s="105"/>
      <c r="AD49" s="89"/>
      <c r="AE49" s="96"/>
      <c r="AF49" s="125"/>
      <c r="AG49" s="126"/>
      <c r="AH49" s="191"/>
      <c r="AI49" s="100"/>
      <c r="AJ49" s="454"/>
      <c r="AK49" s="442"/>
      <c r="AL49" s="75"/>
      <c r="AM49" s="98"/>
      <c r="AN49" s="440"/>
      <c r="AO49" s="103"/>
      <c r="AP49" s="134"/>
    </row>
    <row r="50" spans="1:42" ht="15.75">
      <c r="A50" s="113"/>
      <c r="B50" s="81"/>
      <c r="C50" s="27"/>
      <c r="D50" s="160"/>
      <c r="E50" s="83"/>
      <c r="F50" s="96"/>
      <c r="G50" s="97"/>
      <c r="H50" s="98"/>
      <c r="I50" s="98"/>
      <c r="J50" s="98"/>
      <c r="K50" s="98"/>
      <c r="L50" s="87"/>
      <c r="M50" s="85"/>
      <c r="N50" s="98"/>
      <c r="O50" s="7"/>
      <c r="P50" s="98"/>
      <c r="Q50" s="98"/>
      <c r="R50" s="87"/>
      <c r="S50" s="86"/>
      <c r="T50" s="86"/>
      <c r="U50" s="98"/>
      <c r="V50" s="84"/>
      <c r="W50" s="166"/>
      <c r="X50" s="86"/>
      <c r="Z50" s="76"/>
      <c r="AA50" s="207"/>
      <c r="AB50" s="89"/>
      <c r="AC50" s="88"/>
      <c r="AD50" s="106"/>
      <c r="AE50" s="96"/>
      <c r="AF50" s="125"/>
      <c r="AG50" s="126"/>
      <c r="AH50" s="191"/>
      <c r="AI50" s="100"/>
      <c r="AJ50" s="444"/>
      <c r="AK50" s="442"/>
      <c r="AL50" s="440"/>
      <c r="AM50" s="98"/>
      <c r="AN50" s="440"/>
      <c r="AO50" s="103"/>
      <c r="AP50" s="104"/>
    </row>
    <row r="51" spans="1:42" ht="15.75">
      <c r="A51" s="113"/>
      <c r="B51" s="81"/>
      <c r="C51" s="27"/>
      <c r="D51" s="160"/>
      <c r="E51" s="83"/>
      <c r="F51" s="129"/>
      <c r="G51" s="130"/>
      <c r="H51" s="131"/>
      <c r="I51" s="131"/>
      <c r="J51" s="131"/>
      <c r="K51" s="131"/>
      <c r="L51" s="132"/>
      <c r="M51" s="85"/>
      <c r="N51" s="98"/>
      <c r="O51" s="7"/>
      <c r="P51" s="98"/>
      <c r="Q51" s="131"/>
      <c r="R51" s="132"/>
      <c r="S51" s="86"/>
      <c r="T51" s="86"/>
      <c r="U51" s="98"/>
      <c r="V51" s="84"/>
      <c r="W51" s="166"/>
      <c r="X51" s="86"/>
      <c r="Z51" s="76"/>
      <c r="AA51" s="133"/>
      <c r="AB51" s="89"/>
      <c r="AC51" s="88"/>
      <c r="AD51" s="89"/>
      <c r="AE51" s="96"/>
      <c r="AF51" s="38"/>
      <c r="AG51" s="40"/>
      <c r="AH51" s="191"/>
      <c r="AI51" s="439"/>
      <c r="AJ51" s="109"/>
      <c r="AK51" s="442"/>
      <c r="AL51" s="440"/>
      <c r="AM51" s="98"/>
      <c r="AN51" s="440"/>
      <c r="AO51" s="103"/>
      <c r="AP51" s="134"/>
    </row>
    <row r="52" spans="1:42" ht="15.75">
      <c r="A52" s="113"/>
      <c r="B52" s="81"/>
      <c r="C52" s="27"/>
      <c r="D52" s="160"/>
      <c r="E52" s="96"/>
      <c r="F52" s="129"/>
      <c r="G52" s="130"/>
      <c r="H52" s="131"/>
      <c r="I52" s="131"/>
      <c r="J52" s="131"/>
      <c r="K52" s="131"/>
      <c r="L52" s="132"/>
      <c r="M52" s="85"/>
      <c r="N52" s="98"/>
      <c r="O52" s="7"/>
      <c r="P52" s="98"/>
      <c r="Q52" s="131"/>
      <c r="R52" s="132"/>
      <c r="S52" s="86"/>
      <c r="T52" s="86"/>
      <c r="U52" s="98"/>
      <c r="V52" s="84"/>
      <c r="W52" s="166"/>
      <c r="X52" s="86"/>
      <c r="Z52" s="76"/>
      <c r="AA52" s="133"/>
      <c r="AB52" s="89"/>
      <c r="AC52" s="136"/>
      <c r="AD52" s="89"/>
      <c r="AE52" s="96"/>
      <c r="AF52" s="137"/>
      <c r="AG52" s="138"/>
      <c r="AH52" s="193"/>
      <c r="AI52" s="396"/>
      <c r="AJ52" s="440"/>
      <c r="AK52" s="396"/>
      <c r="AL52" s="440"/>
      <c r="AM52" s="98"/>
      <c r="AN52" s="440"/>
      <c r="AO52" s="103"/>
      <c r="AP52" s="134"/>
    </row>
    <row r="53" spans="1:42" ht="15.75">
      <c r="A53" s="113"/>
      <c r="B53" s="116"/>
      <c r="C53" s="27"/>
      <c r="D53" s="160"/>
      <c r="E53" s="115"/>
      <c r="F53" s="129"/>
      <c r="G53" s="130"/>
      <c r="H53" s="131"/>
      <c r="I53" s="131"/>
      <c r="J53" s="131"/>
      <c r="K53" s="131"/>
      <c r="L53" s="132"/>
      <c r="M53" s="85"/>
      <c r="N53" s="98"/>
      <c r="O53" s="7"/>
      <c r="P53" s="98"/>
      <c r="Q53" s="131"/>
      <c r="R53" s="132"/>
      <c r="S53" s="86"/>
      <c r="T53" s="86"/>
      <c r="U53" s="98"/>
      <c r="V53" s="84"/>
      <c r="W53" s="166"/>
      <c r="X53" s="86"/>
      <c r="Z53" s="76"/>
      <c r="AA53" s="133"/>
      <c r="AB53" s="89"/>
      <c r="AC53" s="88"/>
      <c r="AD53" s="89"/>
      <c r="AE53" s="96"/>
      <c r="AF53" s="125"/>
      <c r="AG53" s="126"/>
      <c r="AH53" s="191"/>
      <c r="AI53" s="439"/>
      <c r="AJ53" s="444"/>
      <c r="AK53" s="448"/>
      <c r="AL53" s="440"/>
      <c r="AM53" s="98"/>
      <c r="AN53" s="440"/>
      <c r="AO53" s="103"/>
      <c r="AP53" s="134"/>
    </row>
    <row r="54" spans="1:42" ht="15.75">
      <c r="A54" s="113"/>
      <c r="B54" s="116"/>
      <c r="C54" s="27"/>
      <c r="D54" s="160"/>
      <c r="E54" s="83"/>
      <c r="F54" s="96"/>
      <c r="G54" s="97"/>
      <c r="H54" s="98"/>
      <c r="I54" s="98"/>
      <c r="J54" s="98"/>
      <c r="K54" s="98"/>
      <c r="L54" s="87"/>
      <c r="M54" s="85"/>
      <c r="N54" s="98"/>
      <c r="O54" s="7"/>
      <c r="P54" s="98"/>
      <c r="Q54" s="98"/>
      <c r="R54" s="87"/>
      <c r="S54" s="87"/>
      <c r="T54" s="87"/>
      <c r="U54" s="98"/>
      <c r="V54" s="84"/>
      <c r="W54" s="166"/>
      <c r="X54" s="86"/>
      <c r="Z54" s="76"/>
      <c r="AA54" s="207"/>
      <c r="AB54" s="89"/>
      <c r="AC54" s="105"/>
      <c r="AD54" s="89"/>
      <c r="AE54" s="96"/>
      <c r="AF54" s="125"/>
      <c r="AG54" s="126"/>
      <c r="AH54" s="191"/>
      <c r="AI54" s="100"/>
      <c r="AJ54" s="449"/>
      <c r="AK54" s="91"/>
      <c r="AL54" s="440"/>
      <c r="AM54" s="98"/>
      <c r="AN54" s="440"/>
      <c r="AO54" s="103"/>
      <c r="AP54" s="104"/>
    </row>
    <row r="55" spans="1:42" ht="15.75">
      <c r="A55" s="113"/>
      <c r="B55" s="116"/>
      <c r="C55" s="27"/>
      <c r="D55" s="163"/>
      <c r="E55" s="139"/>
      <c r="F55" s="96"/>
      <c r="G55" s="97"/>
      <c r="H55" s="98"/>
      <c r="I55" s="98"/>
      <c r="J55" s="98"/>
      <c r="K55" s="98"/>
      <c r="L55" s="87"/>
      <c r="M55" s="85"/>
      <c r="N55" s="98"/>
      <c r="O55" s="7"/>
      <c r="P55" s="98"/>
      <c r="Q55" s="98"/>
      <c r="R55" s="87"/>
      <c r="S55" s="87"/>
      <c r="T55" s="87"/>
      <c r="U55" s="441"/>
      <c r="V55" s="84"/>
      <c r="W55" s="166"/>
      <c r="X55" s="86"/>
      <c r="Z55" s="76"/>
      <c r="AA55" s="207"/>
      <c r="AB55" s="89"/>
      <c r="AC55" s="105"/>
      <c r="AD55" s="89"/>
      <c r="AE55" s="96"/>
      <c r="AF55" s="125"/>
      <c r="AG55" s="126"/>
      <c r="AH55" s="191"/>
      <c r="AI55" s="93"/>
      <c r="AJ55" s="208"/>
      <c r="AK55" s="78"/>
      <c r="AL55" s="440"/>
      <c r="AM55" s="98"/>
      <c r="AN55" s="440"/>
      <c r="AO55" s="103"/>
      <c r="AP55" s="104"/>
    </row>
    <row r="56" spans="1:42" ht="15.75">
      <c r="A56" s="113"/>
      <c r="B56" s="116"/>
      <c r="C56" s="79"/>
      <c r="D56" s="79"/>
      <c r="E56" s="106"/>
      <c r="F56" s="96"/>
      <c r="G56" s="97"/>
      <c r="H56" s="98"/>
      <c r="I56" s="98"/>
      <c r="J56" s="98"/>
      <c r="K56" s="98"/>
      <c r="L56" s="87"/>
      <c r="M56" s="85"/>
      <c r="N56" s="98"/>
      <c r="O56" s="7"/>
      <c r="P56" s="98"/>
      <c r="Q56" s="98"/>
      <c r="R56" s="87"/>
      <c r="S56" s="140"/>
      <c r="T56" s="140"/>
      <c r="U56" s="441"/>
      <c r="V56" s="84"/>
      <c r="W56" s="166"/>
      <c r="X56" s="86"/>
      <c r="Z56" s="76"/>
      <c r="AA56" s="207"/>
      <c r="AB56" s="89"/>
      <c r="AC56" s="105"/>
      <c r="AD56" s="89"/>
      <c r="AE56" s="96"/>
      <c r="AF56" s="209"/>
      <c r="AG56" s="138"/>
      <c r="AH56" s="191"/>
      <c r="AI56" s="93"/>
      <c r="AJ56" s="208"/>
      <c r="AK56" s="78"/>
      <c r="AL56" s="440"/>
      <c r="AM56" s="98"/>
      <c r="AN56" s="165"/>
      <c r="AO56" s="103"/>
      <c r="AP56" s="104"/>
    </row>
    <row r="57" spans="1:42" ht="15.75">
      <c r="A57" s="113"/>
      <c r="B57" s="116"/>
      <c r="C57" s="79"/>
      <c r="D57" s="79"/>
      <c r="E57" s="106"/>
      <c r="F57" s="96"/>
      <c r="G57" s="97"/>
      <c r="H57" s="98"/>
      <c r="I57" s="98"/>
      <c r="J57" s="98"/>
      <c r="K57" s="98"/>
      <c r="L57" s="87"/>
      <c r="M57" s="85"/>
      <c r="N57" s="98"/>
      <c r="O57" s="7"/>
      <c r="P57" s="98"/>
      <c r="Q57" s="98"/>
      <c r="R57" s="87"/>
      <c r="S57" s="450"/>
      <c r="T57" s="450"/>
      <c r="U57" s="441"/>
      <c r="V57" s="84"/>
      <c r="W57" s="166"/>
      <c r="X57" s="86"/>
      <c r="Z57" s="76"/>
      <c r="AA57" s="207"/>
      <c r="AB57" s="89"/>
      <c r="AC57" s="105"/>
      <c r="AD57" s="89"/>
      <c r="AE57" s="96"/>
      <c r="AF57" s="209"/>
      <c r="AG57" s="138"/>
      <c r="AH57" s="191"/>
      <c r="AI57" s="93"/>
      <c r="AJ57" s="208"/>
      <c r="AK57" s="78"/>
      <c r="AL57" s="440"/>
      <c r="AM57" s="98"/>
      <c r="AN57" s="440"/>
      <c r="AO57" s="103"/>
      <c r="AP57" s="104"/>
    </row>
    <row r="58" spans="1:42" ht="15.75">
      <c r="A58" s="113"/>
      <c r="B58" s="116"/>
      <c r="C58" s="27"/>
      <c r="D58" s="164"/>
      <c r="E58" s="141"/>
      <c r="F58" s="96"/>
      <c r="G58" s="97"/>
      <c r="H58" s="98"/>
      <c r="I58" s="98"/>
      <c r="J58" s="98"/>
      <c r="K58" s="98"/>
      <c r="L58" s="87"/>
      <c r="M58" s="85"/>
      <c r="N58" s="98"/>
      <c r="O58" s="7"/>
      <c r="P58" s="98"/>
      <c r="Q58" s="98"/>
      <c r="R58" s="87"/>
      <c r="S58" s="87"/>
      <c r="T58" s="145"/>
      <c r="U58" s="455"/>
      <c r="V58" s="84"/>
      <c r="W58" s="166"/>
      <c r="X58" s="86"/>
      <c r="Z58" s="76"/>
      <c r="AA58" s="133"/>
      <c r="AB58" s="89"/>
      <c r="AC58" s="105"/>
      <c r="AD58" s="89"/>
      <c r="AE58" s="96"/>
      <c r="AF58" s="209"/>
      <c r="AG58" s="138"/>
      <c r="AH58" s="191"/>
      <c r="AI58" s="93"/>
      <c r="AJ58" s="208"/>
      <c r="AK58" s="78"/>
      <c r="AL58" s="440"/>
      <c r="AM58" s="98"/>
      <c r="AN58" s="440"/>
      <c r="AO58" s="103"/>
      <c r="AP58" s="104"/>
    </row>
    <row r="59" spans="1:42" ht="15.75">
      <c r="A59" s="113"/>
      <c r="B59" s="116"/>
      <c r="C59" s="27"/>
      <c r="D59" s="160"/>
      <c r="E59" s="83"/>
      <c r="F59" s="96"/>
      <c r="G59" s="143"/>
      <c r="H59" s="98"/>
      <c r="I59" s="98"/>
      <c r="J59" s="98"/>
      <c r="K59" s="98"/>
      <c r="L59" s="87"/>
      <c r="M59" s="85"/>
      <c r="N59" s="98"/>
      <c r="O59" s="7"/>
      <c r="P59" s="98"/>
      <c r="Q59" s="98"/>
      <c r="R59" s="87"/>
      <c r="S59" s="450"/>
      <c r="T59" s="450"/>
      <c r="U59" s="441"/>
      <c r="V59" s="84"/>
      <c r="W59" s="166"/>
      <c r="X59" s="86"/>
      <c r="Z59" s="76"/>
      <c r="AA59" s="207"/>
      <c r="AB59" s="89"/>
      <c r="AC59" s="105"/>
      <c r="AD59" s="89"/>
      <c r="AE59" s="96"/>
      <c r="AF59" s="209"/>
      <c r="AG59" s="138"/>
      <c r="AH59" s="191"/>
      <c r="AI59" s="93"/>
      <c r="AJ59" s="208"/>
      <c r="AK59" s="78"/>
      <c r="AL59" s="440"/>
      <c r="AM59" s="98"/>
      <c r="AN59" s="165"/>
      <c r="AO59" s="103"/>
      <c r="AP59" s="104"/>
    </row>
    <row r="60" spans="1:42" ht="15.75">
      <c r="A60" s="113"/>
      <c r="B60" s="116"/>
      <c r="C60" s="27"/>
      <c r="D60" s="160"/>
      <c r="E60" s="96"/>
      <c r="F60" s="96"/>
      <c r="G60" s="97"/>
      <c r="H60" s="98"/>
      <c r="I60" s="98"/>
      <c r="J60" s="98"/>
      <c r="K60" s="98"/>
      <c r="L60" s="87"/>
      <c r="M60" s="85"/>
      <c r="N60" s="98"/>
      <c r="O60" s="7"/>
      <c r="P60" s="98"/>
      <c r="Q60" s="98"/>
      <c r="R60" s="87"/>
      <c r="S60" s="450"/>
      <c r="T60" s="450"/>
      <c r="U60" s="441"/>
      <c r="V60" s="84"/>
      <c r="W60" s="166"/>
      <c r="X60" s="86"/>
      <c r="Z60" s="76"/>
      <c r="AA60" s="207"/>
      <c r="AB60" s="89"/>
      <c r="AC60" s="105"/>
      <c r="AD60" s="89"/>
      <c r="AE60" s="96"/>
      <c r="AF60" s="209"/>
      <c r="AG60" s="138"/>
      <c r="AH60" s="191"/>
      <c r="AI60" s="93"/>
      <c r="AJ60" s="208"/>
      <c r="AK60" s="78"/>
      <c r="AL60" s="440"/>
      <c r="AM60" s="98"/>
      <c r="AN60" s="165"/>
      <c r="AO60" s="103"/>
      <c r="AP60" s="104"/>
    </row>
    <row r="61" spans="1:42" ht="15.75">
      <c r="A61" s="113"/>
      <c r="B61" s="116"/>
      <c r="C61" s="27"/>
      <c r="D61" s="160"/>
      <c r="E61" s="96"/>
      <c r="F61" s="96"/>
      <c r="G61" s="97"/>
      <c r="H61" s="98"/>
      <c r="I61" s="98"/>
      <c r="J61" s="98"/>
      <c r="K61" s="98"/>
      <c r="L61" s="87"/>
      <c r="M61" s="85"/>
      <c r="N61" s="98"/>
      <c r="O61" s="7"/>
      <c r="P61" s="98"/>
      <c r="Q61" s="98"/>
      <c r="R61" s="87"/>
      <c r="S61" s="450"/>
      <c r="T61" s="450"/>
      <c r="U61" s="441"/>
      <c r="V61" s="84"/>
      <c r="W61" s="166"/>
      <c r="X61" s="86"/>
      <c r="Z61" s="76"/>
      <c r="AA61" s="133"/>
      <c r="AB61" s="89"/>
      <c r="AC61" s="105"/>
      <c r="AD61" s="89"/>
      <c r="AE61" s="96"/>
      <c r="AF61" s="209"/>
      <c r="AG61" s="138"/>
      <c r="AH61" s="191"/>
      <c r="AI61" s="93"/>
      <c r="AJ61" s="208"/>
      <c r="AK61" s="78"/>
      <c r="AL61" s="440"/>
      <c r="AM61" s="98"/>
      <c r="AN61" s="165"/>
      <c r="AO61" s="103"/>
      <c r="AP61" s="104"/>
    </row>
    <row r="62" spans="1:42" ht="15.75">
      <c r="A62" s="113"/>
      <c r="B62" s="116"/>
      <c r="C62" s="27"/>
      <c r="D62" s="160"/>
      <c r="E62" s="96"/>
      <c r="F62" s="96"/>
      <c r="G62" s="97"/>
      <c r="H62" s="98"/>
      <c r="I62" s="98"/>
      <c r="J62" s="98"/>
      <c r="K62" s="98"/>
      <c r="L62" s="87"/>
      <c r="M62" s="85"/>
      <c r="N62" s="98"/>
      <c r="O62" s="7"/>
      <c r="P62" s="98"/>
      <c r="Q62" s="98"/>
      <c r="R62" s="87"/>
      <c r="S62" s="450"/>
      <c r="T62" s="450"/>
      <c r="U62" s="441"/>
      <c r="V62" s="84"/>
      <c r="W62" s="166"/>
      <c r="X62" s="86"/>
      <c r="Z62" s="76"/>
      <c r="AA62" s="207"/>
      <c r="AB62" s="89"/>
      <c r="AC62" s="105"/>
      <c r="AD62" s="89"/>
      <c r="AE62" s="96"/>
      <c r="AF62" s="209"/>
      <c r="AG62" s="138"/>
      <c r="AH62" s="191"/>
      <c r="AI62" s="93"/>
      <c r="AJ62" s="208"/>
      <c r="AK62" s="78"/>
      <c r="AL62" s="440"/>
      <c r="AM62" s="98"/>
      <c r="AN62" s="165"/>
      <c r="AO62" s="103"/>
      <c r="AP62" s="104"/>
    </row>
    <row r="63" spans="1:42" ht="15.75">
      <c r="A63" s="113"/>
      <c r="B63" s="116"/>
      <c r="C63" s="27"/>
      <c r="D63" s="160"/>
      <c r="E63" s="96"/>
      <c r="F63" s="96"/>
      <c r="G63" s="97"/>
      <c r="H63" s="98"/>
      <c r="I63" s="98"/>
      <c r="J63" s="98"/>
      <c r="K63" s="98"/>
      <c r="L63" s="87"/>
      <c r="M63" s="85"/>
      <c r="N63" s="98"/>
      <c r="O63" s="7"/>
      <c r="P63" s="98"/>
      <c r="Q63" s="98"/>
      <c r="R63" s="87"/>
      <c r="S63" s="450"/>
      <c r="T63" s="450"/>
      <c r="U63" s="441"/>
      <c r="V63" s="84"/>
      <c r="W63" s="166"/>
      <c r="X63" s="86"/>
      <c r="Z63" s="76"/>
      <c r="AA63" s="207"/>
      <c r="AB63" s="89"/>
      <c r="AC63" s="105"/>
      <c r="AD63" s="89"/>
      <c r="AE63" s="96"/>
      <c r="AF63" s="209"/>
      <c r="AG63" s="138"/>
      <c r="AH63" s="191"/>
      <c r="AI63" s="93"/>
      <c r="AJ63" s="208"/>
      <c r="AK63" s="78"/>
      <c r="AL63" s="440"/>
      <c r="AM63" s="98"/>
      <c r="AN63" s="165"/>
      <c r="AO63" s="103"/>
      <c r="AP63" s="104"/>
    </row>
    <row r="64" spans="1:42" ht="15.75">
      <c r="A64" s="113"/>
      <c r="B64" s="116"/>
      <c r="C64" s="27"/>
      <c r="D64" s="160"/>
      <c r="E64" s="96"/>
      <c r="F64" s="96"/>
      <c r="G64" s="97"/>
      <c r="H64" s="98"/>
      <c r="I64" s="98"/>
      <c r="J64" s="98"/>
      <c r="K64" s="98"/>
      <c r="L64" s="87"/>
      <c r="M64" s="85"/>
      <c r="N64" s="98"/>
      <c r="O64" s="7"/>
      <c r="P64" s="98"/>
      <c r="Q64" s="98"/>
      <c r="R64" s="87"/>
      <c r="S64" s="450"/>
      <c r="T64" s="450"/>
      <c r="U64" s="441"/>
      <c r="V64" s="84"/>
      <c r="W64" s="166"/>
      <c r="X64" s="86"/>
      <c r="Z64" s="76"/>
      <c r="AA64" s="207"/>
      <c r="AB64" s="89"/>
      <c r="AC64" s="105"/>
      <c r="AD64" s="89"/>
      <c r="AE64" s="96"/>
      <c r="AF64" s="209"/>
      <c r="AG64" s="138"/>
      <c r="AH64" s="191"/>
      <c r="AI64" s="93"/>
      <c r="AJ64" s="208"/>
      <c r="AK64" s="78"/>
      <c r="AL64" s="440"/>
      <c r="AM64" s="98"/>
      <c r="AN64" s="165"/>
      <c r="AO64" s="103"/>
      <c r="AP64" s="104"/>
    </row>
    <row r="65" spans="1:42" ht="15.75">
      <c r="A65" s="113"/>
      <c r="B65" s="116"/>
      <c r="C65" s="27"/>
      <c r="D65" s="160"/>
      <c r="E65" s="96"/>
      <c r="F65" s="96"/>
      <c r="G65" s="97"/>
      <c r="H65" s="98"/>
      <c r="I65" s="98"/>
      <c r="J65" s="98"/>
      <c r="K65" s="98"/>
      <c r="L65" s="87"/>
      <c r="M65" s="85"/>
      <c r="N65" s="98"/>
      <c r="O65" s="7"/>
      <c r="P65" s="98"/>
      <c r="Q65" s="98"/>
      <c r="R65" s="87"/>
      <c r="S65" s="450"/>
      <c r="T65" s="450"/>
      <c r="U65" s="441"/>
      <c r="V65" s="84"/>
      <c r="W65" s="166"/>
      <c r="X65" s="86"/>
      <c r="Z65" s="76"/>
      <c r="AA65" s="207"/>
      <c r="AB65" s="89"/>
      <c r="AC65" s="105"/>
      <c r="AD65" s="89"/>
      <c r="AE65" s="96"/>
      <c r="AF65" s="209"/>
      <c r="AG65" s="138"/>
      <c r="AH65" s="191"/>
      <c r="AI65" s="93"/>
      <c r="AJ65" s="208"/>
      <c r="AK65" s="78"/>
      <c r="AL65" s="440"/>
      <c r="AM65" s="98"/>
      <c r="AN65" s="165"/>
      <c r="AO65" s="103"/>
      <c r="AP65" s="104"/>
    </row>
    <row r="66" spans="1:42" ht="15.75">
      <c r="A66" s="113"/>
      <c r="B66" s="116"/>
      <c r="C66" s="27"/>
      <c r="D66" s="160"/>
      <c r="E66" s="96"/>
      <c r="F66" s="96"/>
      <c r="G66" s="97"/>
      <c r="H66" s="98"/>
      <c r="I66" s="98"/>
      <c r="J66" s="98"/>
      <c r="K66" s="98"/>
      <c r="L66" s="87"/>
      <c r="M66" s="85"/>
      <c r="N66" s="98"/>
      <c r="O66" s="7"/>
      <c r="P66" s="98"/>
      <c r="Q66" s="98"/>
      <c r="R66" s="87"/>
      <c r="S66" s="450"/>
      <c r="T66" s="456"/>
      <c r="U66" s="457"/>
      <c r="V66" s="84"/>
      <c r="W66" s="166"/>
      <c r="X66" s="86"/>
      <c r="Z66" s="76"/>
      <c r="AA66" s="133"/>
      <c r="AB66" s="89"/>
      <c r="AC66" s="105"/>
      <c r="AD66" s="89"/>
      <c r="AE66" s="96"/>
      <c r="AF66" s="209"/>
      <c r="AG66" s="138"/>
      <c r="AH66" s="191"/>
      <c r="AI66" s="93"/>
      <c r="AJ66" s="208"/>
      <c r="AK66" s="78"/>
      <c r="AL66" s="440"/>
      <c r="AM66" s="98"/>
      <c r="AN66" s="165"/>
      <c r="AO66" s="103"/>
      <c r="AP66" s="104"/>
    </row>
    <row r="67" spans="1:42" ht="15.75">
      <c r="A67" s="113"/>
      <c r="B67" s="116"/>
      <c r="C67" s="27"/>
      <c r="D67" s="160"/>
      <c r="E67" s="96"/>
      <c r="F67" s="96"/>
      <c r="G67" s="97"/>
      <c r="H67" s="98"/>
      <c r="I67" s="98"/>
      <c r="J67" s="98"/>
      <c r="K67" s="98"/>
      <c r="L67" s="87"/>
      <c r="M67" s="85"/>
      <c r="N67" s="98"/>
      <c r="O67" s="7"/>
      <c r="P67" s="98"/>
      <c r="Q67" s="98"/>
      <c r="R67" s="87"/>
      <c r="S67" s="450"/>
      <c r="T67" s="450"/>
      <c r="U67" s="441"/>
      <c r="V67" s="84"/>
      <c r="W67" s="166"/>
      <c r="X67" s="86"/>
      <c r="Z67" s="76"/>
      <c r="AA67" s="207"/>
      <c r="AB67" s="89"/>
      <c r="AC67" s="105"/>
      <c r="AD67" s="89"/>
      <c r="AE67" s="96"/>
      <c r="AF67" s="209"/>
      <c r="AG67" s="138"/>
      <c r="AH67" s="191"/>
      <c r="AI67" s="93"/>
      <c r="AJ67" s="208"/>
      <c r="AK67" s="78"/>
      <c r="AL67" s="440"/>
      <c r="AM67" s="98"/>
      <c r="AN67" s="165"/>
      <c r="AO67" s="103"/>
      <c r="AP67" s="104"/>
    </row>
    <row r="68" spans="1:42" ht="15.75">
      <c r="A68" s="113"/>
      <c r="B68" s="116"/>
      <c r="C68" s="27"/>
      <c r="D68" s="160"/>
      <c r="E68" s="96"/>
      <c r="F68" s="96"/>
      <c r="G68" s="97"/>
      <c r="H68" s="98"/>
      <c r="I68" s="98"/>
      <c r="J68" s="98"/>
      <c r="K68" s="98"/>
      <c r="L68" s="87"/>
      <c r="M68" s="85"/>
      <c r="N68" s="98"/>
      <c r="O68" s="7"/>
      <c r="P68" s="98"/>
      <c r="Q68" s="98"/>
      <c r="R68" s="87"/>
      <c r="S68" s="450"/>
      <c r="T68" s="450"/>
      <c r="U68" s="441"/>
      <c r="V68" s="84"/>
      <c r="W68" s="166"/>
      <c r="X68" s="86"/>
      <c r="Z68" s="76"/>
      <c r="AA68" s="207"/>
      <c r="AB68" s="89"/>
      <c r="AC68" s="105"/>
      <c r="AD68" s="89"/>
      <c r="AE68" s="96"/>
      <c r="AF68" s="209"/>
      <c r="AG68" s="138"/>
      <c r="AH68" s="191"/>
      <c r="AI68" s="93"/>
      <c r="AJ68" s="208"/>
      <c r="AK68" s="78"/>
      <c r="AL68" s="440"/>
      <c r="AM68" s="98"/>
      <c r="AN68" s="165"/>
      <c r="AO68" s="103"/>
      <c r="AP68" s="104"/>
    </row>
    <row r="69" spans="1:42" ht="15.75">
      <c r="A69" s="113"/>
      <c r="B69" s="116"/>
      <c r="C69" s="27"/>
      <c r="D69" s="160"/>
      <c r="E69" s="96"/>
      <c r="F69" s="96"/>
      <c r="G69" s="97"/>
      <c r="H69" s="98"/>
      <c r="I69" s="98"/>
      <c r="J69" s="98"/>
      <c r="K69" s="98"/>
      <c r="L69" s="87"/>
      <c r="M69" s="85"/>
      <c r="N69" s="98"/>
      <c r="O69" s="7"/>
      <c r="P69" s="98"/>
      <c r="Q69" s="98"/>
      <c r="R69" s="87"/>
      <c r="S69" s="450"/>
      <c r="T69" s="450"/>
      <c r="U69" s="441"/>
      <c r="V69" s="84"/>
      <c r="W69" s="84"/>
      <c r="X69" s="87"/>
      <c r="Z69" s="76"/>
      <c r="AA69" s="207"/>
      <c r="AB69" s="89"/>
      <c r="AC69" s="105"/>
      <c r="AD69" s="89"/>
      <c r="AE69" s="96"/>
      <c r="AF69" s="209"/>
      <c r="AG69" s="138"/>
      <c r="AH69" s="191"/>
      <c r="AI69" s="93"/>
      <c r="AJ69" s="208"/>
      <c r="AK69" s="78"/>
      <c r="AL69" s="440"/>
      <c r="AM69" s="98"/>
      <c r="AN69" s="165"/>
      <c r="AO69" s="103"/>
      <c r="AP69" s="104"/>
    </row>
    <row r="70" spans="1:42" ht="15.75">
      <c r="A70" s="113"/>
      <c r="B70" s="116"/>
      <c r="C70" s="27"/>
      <c r="D70" s="160"/>
      <c r="E70" s="96"/>
      <c r="F70" s="96"/>
      <c r="G70" s="97"/>
      <c r="H70" s="98"/>
      <c r="I70" s="98"/>
      <c r="J70" s="98"/>
      <c r="K70" s="98"/>
      <c r="L70" s="87"/>
      <c r="M70" s="85"/>
      <c r="N70" s="98"/>
      <c r="O70" s="7"/>
      <c r="P70" s="98"/>
      <c r="Q70" s="98"/>
      <c r="R70" s="98"/>
      <c r="S70" s="441"/>
      <c r="T70" s="458"/>
      <c r="U70" s="458"/>
      <c r="V70" s="84"/>
      <c r="W70" s="84"/>
      <c r="X70" s="87"/>
      <c r="Z70" s="76"/>
      <c r="AA70" s="207"/>
      <c r="AB70" s="89"/>
      <c r="AC70" s="105"/>
      <c r="AD70" s="89"/>
      <c r="AE70" s="96"/>
      <c r="AF70" s="209"/>
      <c r="AG70" s="138"/>
      <c r="AH70" s="191"/>
      <c r="AI70" s="93"/>
      <c r="AJ70" s="208"/>
      <c r="AK70" s="78"/>
      <c r="AL70" s="440"/>
      <c r="AM70" s="98"/>
      <c r="AN70" s="165"/>
      <c r="AO70" s="103"/>
      <c r="AP70" s="104"/>
    </row>
    <row r="71" spans="1:42" ht="15.75">
      <c r="A71" s="147"/>
      <c r="B71" s="116"/>
      <c r="C71" s="27"/>
      <c r="D71" s="160"/>
      <c r="E71" s="96"/>
      <c r="F71" s="96"/>
      <c r="G71" s="97"/>
      <c r="H71" s="98"/>
      <c r="I71" s="98"/>
      <c r="J71" s="98"/>
      <c r="K71" s="98"/>
      <c r="L71" s="87"/>
      <c r="M71" s="85"/>
      <c r="N71" s="98"/>
      <c r="O71" s="7"/>
      <c r="P71" s="98"/>
      <c r="Q71" s="98"/>
      <c r="R71" s="98"/>
      <c r="S71" s="441"/>
      <c r="T71" s="441"/>
      <c r="U71" s="441"/>
      <c r="V71" s="84"/>
      <c r="W71" s="84"/>
      <c r="X71" s="87"/>
      <c r="Z71" s="76"/>
      <c r="AA71" s="207"/>
      <c r="AB71" s="89"/>
      <c r="AC71" s="105"/>
      <c r="AD71" s="89"/>
      <c r="AE71" s="96"/>
      <c r="AF71" s="209"/>
      <c r="AG71" s="138"/>
      <c r="AH71" s="191"/>
      <c r="AI71" s="93"/>
      <c r="AJ71" s="208"/>
      <c r="AK71" s="78"/>
      <c r="AL71" s="440"/>
      <c r="AM71" s="98"/>
      <c r="AN71" s="165"/>
      <c r="AO71" s="103"/>
      <c r="AP71" s="104"/>
    </row>
    <row r="72" spans="1:42" ht="15.75">
      <c r="A72" s="113"/>
      <c r="B72" s="148"/>
      <c r="C72" s="27"/>
      <c r="D72" s="160"/>
      <c r="E72" s="96"/>
      <c r="F72" s="96"/>
      <c r="G72" s="97"/>
      <c r="H72" s="98"/>
      <c r="I72" s="98"/>
      <c r="J72" s="98"/>
      <c r="K72" s="98"/>
      <c r="L72" s="87"/>
      <c r="M72" s="85"/>
      <c r="N72" s="98"/>
      <c r="O72" s="7"/>
      <c r="P72" s="98"/>
      <c r="S72" s="441"/>
      <c r="T72" s="441"/>
      <c r="U72" s="441"/>
      <c r="V72" s="84"/>
      <c r="W72" s="84"/>
      <c r="X72" s="87"/>
      <c r="Z72" s="99"/>
      <c r="AA72" s="207"/>
      <c r="AB72" s="89"/>
      <c r="AC72" s="105"/>
      <c r="AD72" s="89"/>
      <c r="AE72" s="96"/>
      <c r="AF72" s="209"/>
      <c r="AG72" s="138"/>
      <c r="AH72" s="191"/>
      <c r="AI72" s="93"/>
      <c r="AJ72" s="208"/>
      <c r="AK72" s="78"/>
      <c r="AL72" s="440"/>
      <c r="AM72" s="98"/>
      <c r="AN72" s="165"/>
      <c r="AO72" s="103"/>
      <c r="AP72" s="104"/>
    </row>
    <row r="73" spans="1:42" ht="15.75">
      <c r="A73" s="149"/>
      <c r="B73" s="116"/>
      <c r="C73" s="27"/>
      <c r="D73" s="160"/>
      <c r="E73" s="96"/>
      <c r="F73" s="96"/>
      <c r="G73" s="97"/>
      <c r="H73" s="98"/>
      <c r="I73" s="98"/>
      <c r="J73" s="98"/>
      <c r="K73" s="98"/>
      <c r="L73" s="87"/>
      <c r="M73" s="85"/>
      <c r="N73" s="98"/>
      <c r="O73" s="7"/>
      <c r="P73" s="98"/>
      <c r="Q73" s="98"/>
      <c r="R73" s="98"/>
      <c r="S73" s="441"/>
      <c r="T73" s="441"/>
      <c r="U73" s="441"/>
      <c r="V73" s="84"/>
      <c r="W73" s="84"/>
      <c r="X73" s="87"/>
      <c r="Z73" s="99"/>
      <c r="AA73" s="207"/>
      <c r="AB73" s="89"/>
      <c r="AC73" s="105"/>
      <c r="AD73" s="89"/>
      <c r="AE73" s="96"/>
      <c r="AF73" s="209"/>
      <c r="AG73" s="138"/>
      <c r="AH73" s="191"/>
      <c r="AI73" s="93"/>
      <c r="AJ73" s="208"/>
      <c r="AK73" s="78"/>
      <c r="AL73" s="440"/>
      <c r="AM73" s="98"/>
      <c r="AN73" s="165"/>
      <c r="AO73" s="103"/>
      <c r="AP73" s="104"/>
    </row>
    <row r="74" spans="1:42" ht="15.75">
      <c r="A74" s="113"/>
      <c r="B74" s="116"/>
      <c r="C74" s="27"/>
      <c r="D74" s="160"/>
      <c r="E74" s="96"/>
      <c r="F74" s="96"/>
      <c r="G74" s="97"/>
      <c r="H74" s="98"/>
      <c r="I74" s="98"/>
      <c r="J74" s="98"/>
      <c r="K74" s="98"/>
      <c r="L74" s="87"/>
      <c r="M74" s="98"/>
      <c r="N74" s="98"/>
      <c r="O74" s="7"/>
      <c r="P74" s="98"/>
      <c r="Q74" s="98"/>
      <c r="R74" s="98"/>
      <c r="S74" s="441"/>
      <c r="T74" s="441"/>
      <c r="U74" s="441"/>
      <c r="V74" s="96"/>
      <c r="W74" s="96"/>
      <c r="X74" s="87"/>
      <c r="Z74" s="76"/>
      <c r="AA74" s="207"/>
      <c r="AB74" s="89"/>
      <c r="AC74" s="105"/>
      <c r="AD74" s="89"/>
      <c r="AE74" s="96"/>
      <c r="AF74" s="209"/>
      <c r="AG74" s="138"/>
      <c r="AH74" s="191"/>
      <c r="AI74" s="93"/>
      <c r="AJ74" s="208"/>
      <c r="AK74" s="78"/>
      <c r="AL74" s="440"/>
      <c r="AM74" s="98"/>
      <c r="AN74" s="440"/>
      <c r="AO74" s="103"/>
      <c r="AP74" s="104"/>
    </row>
    <row r="75" spans="1:42" ht="15.75">
      <c r="A75" s="113"/>
      <c r="B75" s="116"/>
      <c r="C75" s="27"/>
      <c r="D75" s="160"/>
      <c r="E75" s="83"/>
      <c r="F75" s="96"/>
      <c r="G75" s="97"/>
      <c r="H75" s="98"/>
      <c r="I75" s="98"/>
      <c r="J75" s="98"/>
      <c r="K75" s="98"/>
      <c r="L75" s="87"/>
      <c r="M75" s="98"/>
      <c r="N75" s="98"/>
      <c r="O75" s="7"/>
      <c r="P75" s="98"/>
      <c r="Q75" s="98"/>
      <c r="R75" s="98"/>
      <c r="S75" s="441"/>
      <c r="T75" s="441"/>
      <c r="U75" s="98"/>
      <c r="V75" s="96"/>
      <c r="W75" s="96"/>
      <c r="X75" s="87"/>
      <c r="Z75" s="76"/>
      <c r="AA75" s="207"/>
      <c r="AB75" s="89"/>
      <c r="AC75" s="105"/>
      <c r="AD75" s="89"/>
      <c r="AE75" s="96"/>
      <c r="AF75" s="209"/>
      <c r="AG75" s="138"/>
      <c r="AH75" s="191"/>
      <c r="AI75" s="93"/>
      <c r="AJ75" s="208"/>
      <c r="AK75" s="78"/>
      <c r="AL75" s="440"/>
      <c r="AM75" s="98"/>
      <c r="AN75" s="165"/>
      <c r="AO75" s="103"/>
      <c r="AP75" s="104"/>
    </row>
    <row r="76" spans="1:42" ht="15.75">
      <c r="A76" s="113"/>
      <c r="B76" s="116"/>
      <c r="C76" s="27"/>
      <c r="D76" s="160"/>
      <c r="E76" s="83"/>
      <c r="F76" s="96"/>
      <c r="G76" s="97"/>
      <c r="H76" s="98"/>
      <c r="I76" s="98"/>
      <c r="J76" s="98"/>
      <c r="K76" s="98"/>
      <c r="L76" s="87"/>
      <c r="M76" s="98"/>
      <c r="N76" s="98"/>
      <c r="O76" s="7"/>
      <c r="P76" s="98"/>
      <c r="Q76" s="98"/>
      <c r="R76" s="98"/>
      <c r="S76" s="441"/>
      <c r="T76" s="441"/>
      <c r="U76" s="441"/>
      <c r="V76" s="96"/>
      <c r="W76" s="96"/>
      <c r="X76" s="87"/>
      <c r="Z76" s="76"/>
      <c r="AA76" s="207"/>
      <c r="AB76" s="89"/>
      <c r="AC76" s="105"/>
      <c r="AD76" s="89"/>
      <c r="AE76" s="96"/>
      <c r="AF76" s="209"/>
      <c r="AG76" s="138"/>
      <c r="AH76" s="191"/>
      <c r="AI76" s="93"/>
      <c r="AJ76" s="208"/>
      <c r="AK76" s="78"/>
      <c r="AL76" s="440"/>
      <c r="AM76" s="98"/>
      <c r="AN76" s="165"/>
      <c r="AO76" s="103"/>
      <c r="AP76" s="104"/>
    </row>
    <row r="77" spans="1:42" ht="15.75">
      <c r="A77" s="113"/>
      <c r="B77" s="116"/>
      <c r="C77" s="27"/>
      <c r="D77" s="160"/>
      <c r="E77" s="96"/>
      <c r="F77" s="96"/>
      <c r="G77" s="97"/>
      <c r="H77" s="98"/>
      <c r="I77" s="98"/>
      <c r="J77" s="98"/>
      <c r="K77" s="98"/>
      <c r="L77" s="87"/>
      <c r="M77" s="98"/>
      <c r="N77" s="98"/>
      <c r="O77" s="7"/>
      <c r="P77" s="98"/>
      <c r="Q77" s="98"/>
      <c r="R77" s="98"/>
      <c r="S77" s="441"/>
      <c r="T77" s="441"/>
      <c r="U77" s="441"/>
      <c r="V77" s="96"/>
      <c r="W77" s="96"/>
      <c r="X77" s="87"/>
      <c r="Z77" s="76"/>
      <c r="AA77" s="207"/>
      <c r="AB77" s="89"/>
      <c r="AC77" s="105"/>
      <c r="AD77" s="89"/>
      <c r="AE77" s="96"/>
      <c r="AF77" s="209"/>
      <c r="AG77" s="138"/>
      <c r="AH77" s="191"/>
      <c r="AI77" s="93"/>
      <c r="AJ77" s="208"/>
      <c r="AK77" s="78"/>
      <c r="AL77" s="440"/>
      <c r="AM77" s="98"/>
      <c r="AN77" s="440"/>
      <c r="AO77" s="103"/>
      <c r="AP77" s="104"/>
    </row>
    <row r="78" spans="1:42" ht="15.75">
      <c r="A78" s="113"/>
      <c r="B78" s="116"/>
      <c r="C78" s="27"/>
      <c r="D78" s="160"/>
      <c r="E78" s="96"/>
      <c r="F78" s="96"/>
      <c r="G78" s="97"/>
      <c r="H78" s="98"/>
      <c r="I78" s="98"/>
      <c r="J78" s="98"/>
      <c r="K78" s="98"/>
      <c r="L78" s="87"/>
      <c r="M78" s="98"/>
      <c r="N78" s="98"/>
      <c r="O78" s="7"/>
      <c r="P78" s="98"/>
      <c r="Q78" s="98"/>
      <c r="R78" s="98"/>
      <c r="S78" s="441"/>
      <c r="T78" s="441"/>
      <c r="U78" s="441"/>
      <c r="V78" s="96"/>
      <c r="W78" s="96"/>
      <c r="X78" s="87"/>
      <c r="Z78" s="76"/>
      <c r="AA78" s="207"/>
      <c r="AB78" s="89"/>
      <c r="AC78" s="105"/>
      <c r="AD78" s="89"/>
      <c r="AE78" s="96"/>
      <c r="AF78" s="209"/>
      <c r="AG78" s="138"/>
      <c r="AH78" s="191"/>
      <c r="AI78" s="93"/>
      <c r="AJ78" s="208"/>
      <c r="AK78" s="78"/>
      <c r="AL78" s="440"/>
      <c r="AM78" s="98"/>
      <c r="AN78" s="165"/>
      <c r="AO78" s="103"/>
      <c r="AP78" s="104"/>
    </row>
    <row r="79" spans="1:42" ht="15.75">
      <c r="A79" s="113"/>
      <c r="B79" s="116"/>
      <c r="C79" s="27"/>
      <c r="D79" s="160"/>
      <c r="E79" s="83"/>
      <c r="F79" s="96"/>
      <c r="G79" s="97"/>
      <c r="H79" s="98"/>
      <c r="I79" s="98"/>
      <c r="J79" s="98"/>
      <c r="K79" s="98"/>
      <c r="L79" s="87"/>
      <c r="M79" s="98"/>
      <c r="N79" s="98"/>
      <c r="O79" s="7"/>
      <c r="P79" s="98"/>
      <c r="Q79" s="98"/>
      <c r="R79" s="98"/>
      <c r="S79" s="441"/>
      <c r="T79" s="457"/>
      <c r="U79" s="457"/>
      <c r="V79" s="96"/>
      <c r="W79" s="96"/>
      <c r="X79" s="87"/>
      <c r="Z79" s="76"/>
      <c r="AA79" s="207"/>
      <c r="AB79" s="89"/>
      <c r="AC79" s="105"/>
      <c r="AD79" s="89"/>
      <c r="AE79" s="96"/>
      <c r="AF79" s="209"/>
      <c r="AG79" s="138"/>
      <c r="AH79" s="191"/>
      <c r="AI79" s="93"/>
      <c r="AJ79" s="208"/>
      <c r="AK79" s="78"/>
      <c r="AL79" s="440"/>
      <c r="AM79" s="98"/>
      <c r="AN79" s="165"/>
      <c r="AO79" s="103"/>
      <c r="AP79" s="104"/>
    </row>
    <row r="80" spans="1:42" ht="15.75">
      <c r="A80" s="113"/>
      <c r="B80" s="116"/>
      <c r="C80" s="27"/>
      <c r="D80" s="160"/>
      <c r="E80" s="83"/>
      <c r="F80" s="96"/>
      <c r="G80" s="97"/>
      <c r="H80" s="98"/>
      <c r="I80" s="98"/>
      <c r="J80" s="98"/>
      <c r="K80" s="98"/>
      <c r="L80" s="87"/>
      <c r="M80" s="98"/>
      <c r="N80" s="98"/>
      <c r="O80" s="7"/>
      <c r="P80" s="98"/>
      <c r="Q80" s="98"/>
      <c r="R80" s="98"/>
      <c r="S80" s="441"/>
      <c r="T80" s="441"/>
      <c r="U80" s="20"/>
      <c r="V80" s="96"/>
      <c r="W80" s="96"/>
      <c r="X80" s="87"/>
      <c r="Z80" s="76"/>
      <c r="AA80" s="207"/>
      <c r="AB80" s="89"/>
      <c r="AC80" s="105"/>
      <c r="AD80" s="89"/>
      <c r="AE80" s="96"/>
      <c r="AF80" s="209"/>
      <c r="AG80" s="138"/>
      <c r="AH80" s="191"/>
      <c r="AI80" s="93"/>
      <c r="AJ80" s="208"/>
      <c r="AK80" s="78"/>
      <c r="AL80" s="440"/>
      <c r="AM80" s="98"/>
      <c r="AN80" s="165"/>
      <c r="AO80" s="103"/>
      <c r="AP80" s="104"/>
    </row>
    <row r="81" spans="1:42" ht="15.75">
      <c r="A81" s="113"/>
      <c r="B81" s="116"/>
      <c r="C81" s="27"/>
      <c r="D81" s="160"/>
      <c r="E81" s="96"/>
      <c r="F81" s="96"/>
      <c r="G81" s="97"/>
      <c r="H81" s="98"/>
      <c r="I81" s="98"/>
      <c r="J81" s="98"/>
      <c r="K81" s="98"/>
      <c r="L81" s="87"/>
      <c r="M81" s="98"/>
      <c r="N81" s="98"/>
      <c r="O81" s="7"/>
      <c r="P81" s="98"/>
      <c r="Q81" s="98"/>
      <c r="R81" s="98"/>
      <c r="S81" s="441"/>
      <c r="T81" s="458"/>
      <c r="U81" s="458"/>
      <c r="V81" s="96"/>
      <c r="W81" s="96"/>
      <c r="X81" s="87"/>
      <c r="Z81" s="99"/>
      <c r="AA81" s="207"/>
      <c r="AB81" s="89"/>
      <c r="AC81" s="105"/>
      <c r="AD81" s="89"/>
      <c r="AE81" s="96"/>
      <c r="AF81" s="209"/>
      <c r="AG81" s="138"/>
      <c r="AH81" s="191"/>
      <c r="AI81" s="93"/>
      <c r="AJ81" s="208"/>
      <c r="AK81" s="78"/>
      <c r="AL81" s="440"/>
      <c r="AM81" s="98"/>
      <c r="AN81" s="165"/>
      <c r="AO81" s="103"/>
      <c r="AP81" s="104"/>
    </row>
    <row r="82" spans="1:42" ht="15.75">
      <c r="A82" s="113"/>
      <c r="B82" s="116"/>
      <c r="C82" s="27"/>
      <c r="D82" s="160"/>
      <c r="E82" s="96"/>
      <c r="F82" s="96"/>
      <c r="G82" s="97"/>
      <c r="H82" s="98"/>
      <c r="I82" s="98"/>
      <c r="J82" s="98"/>
      <c r="K82" s="98"/>
      <c r="L82" s="87"/>
      <c r="M82" s="98"/>
      <c r="N82" s="98"/>
      <c r="O82" s="7"/>
      <c r="P82" s="98"/>
      <c r="Q82" s="98"/>
      <c r="R82" s="98"/>
      <c r="S82" s="441"/>
      <c r="T82" s="441"/>
      <c r="U82" s="441"/>
      <c r="V82" s="96"/>
      <c r="W82" s="96"/>
      <c r="X82" s="87"/>
      <c r="Z82" s="99"/>
      <c r="AA82" s="207"/>
      <c r="AB82" s="89"/>
      <c r="AC82" s="105"/>
      <c r="AD82" s="89"/>
      <c r="AE82" s="96"/>
      <c r="AF82" s="209"/>
      <c r="AG82" s="138"/>
      <c r="AH82" s="191"/>
      <c r="AI82" s="93"/>
      <c r="AJ82" s="208"/>
      <c r="AK82" s="78"/>
      <c r="AL82" s="440"/>
      <c r="AM82" s="98"/>
      <c r="AN82" s="165"/>
      <c r="AO82" s="103"/>
      <c r="AP82" s="104"/>
    </row>
    <row r="83" spans="1:42" ht="15.75">
      <c r="A83" s="113"/>
      <c r="B83" s="116"/>
      <c r="C83" s="27"/>
      <c r="D83" s="160"/>
      <c r="E83" s="96"/>
      <c r="F83" s="96"/>
      <c r="G83" s="150"/>
      <c r="H83" s="98"/>
      <c r="I83" s="98"/>
      <c r="J83" s="98"/>
      <c r="K83" s="98"/>
      <c r="L83" s="87"/>
      <c r="M83" s="98"/>
      <c r="N83" s="98"/>
      <c r="O83" s="7"/>
      <c r="P83" s="98"/>
      <c r="Q83" s="98"/>
      <c r="R83" s="98"/>
      <c r="S83" s="441"/>
      <c r="T83" s="441"/>
      <c r="U83" s="441"/>
      <c r="V83" s="96"/>
      <c r="W83" s="96"/>
      <c r="X83" s="87"/>
      <c r="Z83" s="76"/>
      <c r="AA83" s="207"/>
      <c r="AB83" s="89"/>
      <c r="AC83" s="105"/>
      <c r="AD83" s="89"/>
      <c r="AE83" s="96"/>
      <c r="AF83" s="209"/>
      <c r="AG83" s="138"/>
      <c r="AH83" s="191"/>
      <c r="AI83" s="93"/>
      <c r="AJ83" s="208"/>
      <c r="AK83" s="78"/>
      <c r="AL83" s="440"/>
      <c r="AM83" s="98"/>
      <c r="AN83" s="165"/>
      <c r="AO83" s="103"/>
      <c r="AP83" s="104"/>
    </row>
    <row r="84" spans="1:42" ht="15.75">
      <c r="A84" s="113"/>
      <c r="B84" s="116"/>
      <c r="C84" s="98"/>
      <c r="D84" s="96"/>
      <c r="E84" s="96"/>
      <c r="F84" s="96"/>
      <c r="G84" s="97"/>
      <c r="H84" s="98"/>
      <c r="I84" s="98"/>
      <c r="J84" s="98"/>
      <c r="K84" s="98"/>
      <c r="L84" s="87"/>
      <c r="M84" s="98"/>
      <c r="N84" s="98"/>
      <c r="O84" s="7"/>
      <c r="P84" s="98"/>
      <c r="Q84" s="98"/>
      <c r="R84" s="98"/>
      <c r="S84" s="441"/>
      <c r="T84" s="441"/>
      <c r="U84" s="441"/>
      <c r="V84" s="96"/>
      <c r="W84" s="96"/>
      <c r="X84" s="87"/>
      <c r="Z84" s="76"/>
      <c r="AA84" s="207"/>
      <c r="AB84" s="89"/>
      <c r="AC84" s="105"/>
      <c r="AD84" s="89"/>
      <c r="AE84" s="96"/>
      <c r="AF84" s="209"/>
      <c r="AG84" s="138"/>
      <c r="AH84" s="191"/>
      <c r="AI84" s="93"/>
      <c r="AJ84" s="208"/>
      <c r="AK84" s="78"/>
      <c r="AL84" s="440"/>
      <c r="AM84" s="98"/>
      <c r="AN84" s="165"/>
      <c r="AO84" s="103"/>
      <c r="AP84" s="104"/>
    </row>
    <row r="85" spans="1:42" ht="15.75">
      <c r="A85" s="113"/>
      <c r="B85" s="116"/>
      <c r="C85" s="116"/>
      <c r="D85" s="165"/>
      <c r="E85" s="83"/>
      <c r="F85" s="96"/>
      <c r="G85" s="97"/>
      <c r="H85" s="98"/>
      <c r="I85" s="98"/>
      <c r="J85" s="98"/>
      <c r="K85" s="98"/>
      <c r="L85" s="98"/>
      <c r="M85" s="98"/>
      <c r="N85" s="98"/>
      <c r="O85" s="7"/>
      <c r="P85" s="98"/>
      <c r="Q85" s="98"/>
      <c r="R85" s="98"/>
      <c r="S85" s="441"/>
      <c r="T85" s="441"/>
      <c r="U85" s="441"/>
      <c r="V85" s="96"/>
      <c r="W85" s="96"/>
      <c r="X85" s="87"/>
      <c r="Z85" s="76"/>
      <c r="AA85" s="207"/>
      <c r="AB85" s="89"/>
      <c r="AC85" s="105"/>
      <c r="AD85" s="89"/>
      <c r="AE85" s="96"/>
      <c r="AF85" s="209"/>
      <c r="AG85" s="138"/>
      <c r="AH85" s="191"/>
      <c r="AI85" s="93"/>
      <c r="AJ85" s="208"/>
      <c r="AK85" s="78"/>
      <c r="AL85" s="165"/>
      <c r="AM85" s="98"/>
      <c r="AN85" s="165"/>
      <c r="AO85" s="103"/>
      <c r="AP85" s="104"/>
    </row>
    <row r="86" spans="1:42" ht="15.75">
      <c r="A86" s="113"/>
      <c r="B86" s="116"/>
      <c r="C86" s="98"/>
      <c r="D86" s="96"/>
      <c r="E86" s="96"/>
      <c r="F86" s="96"/>
      <c r="G86" s="97"/>
      <c r="H86" s="98"/>
      <c r="I86" s="98"/>
      <c r="J86" s="98"/>
      <c r="K86" s="98"/>
      <c r="L86" s="98"/>
      <c r="M86" s="98"/>
      <c r="N86" s="98"/>
      <c r="O86" s="7"/>
      <c r="P86" s="98"/>
      <c r="Q86" s="98"/>
      <c r="R86" s="98"/>
      <c r="S86" s="441"/>
      <c r="T86" s="441"/>
      <c r="U86" s="441"/>
      <c r="V86" s="96"/>
      <c r="W86" s="96"/>
      <c r="X86" s="87"/>
      <c r="Z86" s="99"/>
      <c r="AA86" s="207"/>
      <c r="AB86" s="89"/>
      <c r="AC86" s="105"/>
      <c r="AD86" s="89"/>
      <c r="AE86" s="96"/>
      <c r="AF86" s="209"/>
      <c r="AG86" s="138"/>
      <c r="AH86" s="191"/>
      <c r="AI86" s="93"/>
      <c r="AJ86" s="208"/>
      <c r="AK86" s="78"/>
      <c r="AL86" s="165"/>
      <c r="AM86" s="98"/>
      <c r="AN86" s="165"/>
      <c r="AO86" s="103"/>
      <c r="AP86" s="104"/>
    </row>
    <row r="87" spans="1:42" ht="15.75">
      <c r="A87" s="113"/>
      <c r="B87" s="116"/>
      <c r="C87" s="98"/>
      <c r="D87" s="96"/>
      <c r="E87" s="96"/>
      <c r="F87" s="96"/>
      <c r="G87" s="97"/>
      <c r="H87" s="98"/>
      <c r="I87" s="98"/>
      <c r="J87" s="98"/>
      <c r="K87" s="98"/>
      <c r="L87" s="98"/>
      <c r="M87" s="98"/>
      <c r="N87" s="98"/>
      <c r="O87" s="7"/>
      <c r="P87" s="98"/>
      <c r="Q87" s="98"/>
      <c r="R87" s="98"/>
      <c r="S87" s="98"/>
      <c r="T87" s="98"/>
      <c r="U87" s="98"/>
      <c r="V87" s="96"/>
      <c r="W87" s="96"/>
      <c r="X87" s="87"/>
      <c r="Z87" s="99"/>
      <c r="AA87" s="207"/>
      <c r="AB87" s="89"/>
      <c r="AC87" s="105"/>
      <c r="AD87" s="89"/>
      <c r="AE87" s="96"/>
      <c r="AF87" s="209"/>
      <c r="AG87" s="138"/>
      <c r="AH87" s="191"/>
      <c r="AI87" s="93"/>
      <c r="AJ87" s="208"/>
      <c r="AK87" s="78"/>
      <c r="AL87" s="165"/>
      <c r="AM87" s="98"/>
      <c r="AN87" s="165"/>
      <c r="AO87" s="103"/>
      <c r="AP87" s="104"/>
    </row>
    <row r="88" spans="1:42" ht="15.75">
      <c r="A88" s="113"/>
      <c r="B88" s="116"/>
      <c r="C88" s="98"/>
      <c r="D88" s="96"/>
      <c r="E88" s="96"/>
      <c r="F88" s="96"/>
      <c r="G88" s="97"/>
      <c r="H88" s="98"/>
      <c r="I88" s="98"/>
      <c r="J88" s="98"/>
      <c r="K88" s="98"/>
      <c r="L88" s="98"/>
      <c r="M88" s="98"/>
      <c r="N88" s="98"/>
      <c r="O88" s="7"/>
      <c r="P88" s="98"/>
      <c r="Q88" s="98"/>
      <c r="R88" s="98"/>
      <c r="S88" s="441"/>
      <c r="T88" s="441"/>
      <c r="U88" s="98"/>
      <c r="V88" s="96"/>
      <c r="W88" s="96"/>
      <c r="X88" s="87"/>
      <c r="Z88" s="99"/>
      <c r="AA88" s="207"/>
      <c r="AB88" s="89"/>
      <c r="AC88" s="105"/>
      <c r="AD88" s="89"/>
      <c r="AE88" s="96"/>
      <c r="AF88" s="209"/>
      <c r="AG88" s="138"/>
      <c r="AH88" s="191"/>
      <c r="AI88" s="93"/>
      <c r="AJ88" s="208"/>
      <c r="AK88" s="78"/>
      <c r="AL88" s="165"/>
      <c r="AM88" s="98"/>
      <c r="AN88" s="165"/>
      <c r="AO88" s="103"/>
      <c r="AP88" s="104"/>
    </row>
    <row r="89" spans="1:42" ht="15.75">
      <c r="A89" s="113"/>
      <c r="B89" s="116"/>
      <c r="C89" s="98"/>
      <c r="D89" s="96"/>
      <c r="E89" s="96"/>
      <c r="F89" s="96"/>
      <c r="G89" s="97"/>
      <c r="H89" s="98"/>
      <c r="I89" s="98"/>
      <c r="J89" s="98"/>
      <c r="K89" s="98"/>
      <c r="L89" s="98"/>
      <c r="M89" s="98"/>
      <c r="N89" s="98"/>
      <c r="O89" s="7"/>
      <c r="P89" s="98"/>
      <c r="Q89" s="98"/>
      <c r="R89" s="98"/>
      <c r="S89" s="441"/>
      <c r="T89" s="441"/>
      <c r="U89" s="441"/>
      <c r="V89" s="96"/>
      <c r="W89" s="96"/>
      <c r="X89" s="87"/>
      <c r="Z89" s="99"/>
      <c r="AA89" s="207"/>
      <c r="AB89" s="89"/>
      <c r="AC89" s="105"/>
      <c r="AD89" s="89"/>
      <c r="AE89" s="96"/>
      <c r="AF89" s="209"/>
      <c r="AG89" s="138"/>
      <c r="AH89" s="191"/>
      <c r="AI89" s="93"/>
      <c r="AJ89" s="208"/>
      <c r="AK89" s="78"/>
      <c r="AL89" s="165"/>
      <c r="AM89" s="98"/>
      <c r="AN89" s="165"/>
      <c r="AO89" s="103"/>
      <c r="AP89" s="104"/>
    </row>
    <row r="90" spans="1:42" ht="15.75">
      <c r="A90" s="113"/>
      <c r="B90" s="152" t="s">
        <v>2004</v>
      </c>
      <c r="C90" s="98" t="s">
        <v>935</v>
      </c>
      <c r="D90" s="96"/>
      <c r="E90" s="96" t="s">
        <v>58</v>
      </c>
      <c r="F90" s="96"/>
      <c r="G90" s="97"/>
      <c r="H90" s="98"/>
      <c r="I90" s="98"/>
      <c r="J90" s="98"/>
      <c r="K90" s="98"/>
      <c r="L90" s="98"/>
      <c r="M90" s="153"/>
      <c r="N90" s="98" t="s">
        <v>45</v>
      </c>
      <c r="O90" s="7" t="s">
        <v>1957</v>
      </c>
      <c r="P90" s="98" t="s">
        <v>1958</v>
      </c>
      <c r="Q90" s="98" t="s">
        <v>1953</v>
      </c>
      <c r="R90" s="98"/>
      <c r="S90" s="459">
        <v>721293763</v>
      </c>
      <c r="T90" s="459"/>
      <c r="U90" s="441"/>
      <c r="V90" s="154"/>
      <c r="W90" s="154"/>
      <c r="X90" s="87"/>
      <c r="Z90" s="99"/>
      <c r="AA90" s="207"/>
      <c r="AB90" s="89"/>
      <c r="AC90" s="105"/>
      <c r="AD90" s="89"/>
      <c r="AE90" s="96"/>
      <c r="AF90" s="209"/>
      <c r="AG90" s="138"/>
      <c r="AH90" s="191"/>
      <c r="AI90" s="93"/>
      <c r="AJ90" s="208"/>
      <c r="AK90" s="78"/>
      <c r="AL90" s="165"/>
      <c r="AM90" s="98"/>
      <c r="AN90" s="440"/>
      <c r="AO90" s="103"/>
      <c r="AP90" s="104"/>
    </row>
    <row r="91" spans="1:42" ht="15.75">
      <c r="A91" s="113"/>
      <c r="B91" s="155" t="s">
        <v>2005</v>
      </c>
      <c r="C91" s="98" t="s">
        <v>995</v>
      </c>
      <c r="D91" s="96"/>
      <c r="E91" s="96" t="s">
        <v>58</v>
      </c>
      <c r="F91" s="96"/>
      <c r="G91" s="97"/>
      <c r="H91" s="98"/>
      <c r="I91" s="98"/>
      <c r="J91" s="98"/>
      <c r="K91" s="98"/>
      <c r="L91" s="98"/>
      <c r="M91" s="153"/>
      <c r="N91" s="98" t="s">
        <v>1969</v>
      </c>
      <c r="O91" s="7" t="s">
        <v>1957</v>
      </c>
      <c r="P91" s="98" t="s">
        <v>1958</v>
      </c>
      <c r="Q91" s="98" t="s">
        <v>1971</v>
      </c>
      <c r="R91" s="98"/>
      <c r="S91" s="459" t="s">
        <v>1973</v>
      </c>
      <c r="T91" s="459"/>
      <c r="U91" s="441"/>
      <c r="V91" s="154"/>
      <c r="W91" s="154"/>
      <c r="X91" s="87"/>
      <c r="Z91" s="99"/>
      <c r="AA91" s="207"/>
      <c r="AB91" s="89"/>
      <c r="AC91" s="105"/>
      <c r="AD91" s="89"/>
      <c r="AE91" s="96"/>
      <c r="AF91" s="209"/>
      <c r="AG91" s="138"/>
      <c r="AH91" s="191"/>
      <c r="AI91" s="93"/>
      <c r="AJ91" s="208"/>
      <c r="AK91" s="78"/>
      <c r="AL91" s="165"/>
      <c r="AM91" s="98"/>
      <c r="AN91" s="440"/>
      <c r="AO91" s="103"/>
      <c r="AP91" s="104"/>
    </row>
    <row r="92" spans="1:42" ht="15.75">
      <c r="A92" s="113"/>
      <c r="B92" s="155" t="s">
        <v>2006</v>
      </c>
      <c r="C92" s="98" t="s">
        <v>935</v>
      </c>
      <c r="D92" s="96"/>
      <c r="E92" s="96" t="s">
        <v>58</v>
      </c>
      <c r="F92" s="96"/>
      <c r="G92" s="97"/>
      <c r="H92" s="98"/>
      <c r="I92" s="98"/>
      <c r="J92" s="98"/>
      <c r="K92" s="98"/>
      <c r="L92" s="98"/>
      <c r="M92" s="153"/>
      <c r="N92" s="98" t="s">
        <v>45</v>
      </c>
      <c r="O92" s="7" t="s">
        <v>1957</v>
      </c>
      <c r="P92" s="98" t="s">
        <v>1958</v>
      </c>
      <c r="Q92" s="98" t="s">
        <v>1980</v>
      </c>
      <c r="R92" s="98"/>
      <c r="S92" s="459">
        <v>721315569</v>
      </c>
      <c r="T92" s="459"/>
      <c r="U92" s="441"/>
      <c r="V92" s="154"/>
      <c r="W92" s="154"/>
      <c r="X92" s="87"/>
      <c r="Z92" s="99"/>
      <c r="AA92" s="207"/>
      <c r="AB92" s="89"/>
      <c r="AC92" s="105"/>
      <c r="AD92" s="89"/>
      <c r="AE92" s="96"/>
      <c r="AF92" s="209"/>
      <c r="AG92" s="138"/>
      <c r="AH92" s="191"/>
      <c r="AI92" s="93"/>
      <c r="AJ92" s="208"/>
      <c r="AK92" s="78"/>
      <c r="AL92" s="165"/>
      <c r="AM92" s="98"/>
      <c r="AN92" s="440"/>
      <c r="AO92" s="103"/>
      <c r="AP92" s="104"/>
    </row>
    <row r="93" spans="1:42" ht="15.75">
      <c r="A93" s="113"/>
      <c r="B93" s="155" t="s">
        <v>2007</v>
      </c>
      <c r="C93" s="98" t="s">
        <v>995</v>
      </c>
      <c r="D93" s="96"/>
      <c r="E93" s="96" t="s">
        <v>58</v>
      </c>
      <c r="F93" s="96"/>
      <c r="G93" s="97"/>
      <c r="H93" s="98"/>
      <c r="I93" s="98"/>
      <c r="J93" s="98"/>
      <c r="K93" s="98"/>
      <c r="L93" s="98"/>
      <c r="M93" s="153"/>
      <c r="N93" s="98" t="s">
        <v>45</v>
      </c>
      <c r="O93" s="7" t="s">
        <v>1957</v>
      </c>
      <c r="P93" s="98" t="s">
        <v>1958</v>
      </c>
      <c r="Q93" s="98" t="s">
        <v>1986</v>
      </c>
      <c r="R93" s="98"/>
      <c r="S93" s="459">
        <v>721336816</v>
      </c>
      <c r="T93" s="459"/>
      <c r="U93" s="441"/>
      <c r="V93" s="154"/>
      <c r="W93" s="154"/>
      <c r="X93" s="87"/>
      <c r="Z93" s="99"/>
      <c r="AA93" s="207"/>
      <c r="AB93" s="89"/>
      <c r="AC93" s="105"/>
      <c r="AD93" s="89"/>
      <c r="AE93" s="96"/>
      <c r="AF93" s="209"/>
      <c r="AG93" s="138"/>
      <c r="AH93" s="191"/>
      <c r="AI93" s="93"/>
      <c r="AJ93" s="208"/>
      <c r="AK93" s="78"/>
      <c r="AL93" s="165"/>
      <c r="AM93" s="98"/>
      <c r="AN93" s="440"/>
      <c r="AO93" s="103"/>
      <c r="AP93" s="104"/>
    </row>
    <row r="94" spans="1:42" ht="15.75">
      <c r="A94" s="113"/>
      <c r="B94" s="116"/>
      <c r="C94" s="98"/>
      <c r="D94" s="96"/>
      <c r="E94" s="96"/>
      <c r="F94" s="96"/>
      <c r="G94" s="97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441"/>
      <c r="T94" s="441"/>
      <c r="U94" s="441"/>
      <c r="V94" s="96"/>
      <c r="W94" s="96"/>
      <c r="X94" s="87"/>
      <c r="Z94" s="99"/>
      <c r="AA94" s="207"/>
      <c r="AB94" s="89"/>
      <c r="AC94" s="105"/>
      <c r="AD94" s="89"/>
      <c r="AE94" s="96"/>
      <c r="AF94" s="209"/>
      <c r="AG94" s="138"/>
      <c r="AH94" s="191"/>
      <c r="AI94" s="93"/>
      <c r="AJ94" s="208"/>
      <c r="AK94" s="78"/>
      <c r="AL94" s="165"/>
      <c r="AM94" s="98"/>
      <c r="AN94" s="165"/>
      <c r="AO94" s="103"/>
      <c r="AP94" s="104"/>
    </row>
    <row r="95" spans="1:42" ht="15.75">
      <c r="A95" s="113"/>
      <c r="B95" s="116"/>
      <c r="C95" s="98"/>
      <c r="D95" s="96"/>
      <c r="E95" s="96"/>
      <c r="F95" s="96"/>
      <c r="G95" s="97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441"/>
      <c r="T95" s="441"/>
      <c r="U95" s="441"/>
      <c r="V95" s="96"/>
      <c r="W95" s="96"/>
      <c r="X95" s="87"/>
      <c r="Z95" s="99"/>
      <c r="AA95" s="207"/>
      <c r="AB95" s="89"/>
      <c r="AC95" s="105"/>
      <c r="AD95" s="89"/>
      <c r="AE95" s="96"/>
      <c r="AF95" s="209"/>
      <c r="AG95" s="138"/>
      <c r="AH95" s="191"/>
      <c r="AI95" s="93"/>
      <c r="AJ95" s="208"/>
      <c r="AK95" s="78"/>
      <c r="AL95" s="165"/>
      <c r="AM95" s="98"/>
      <c r="AN95" s="165"/>
      <c r="AO95" s="103"/>
      <c r="AP95" s="104"/>
    </row>
    <row r="96" spans="1:42" ht="15.75">
      <c r="A96" s="113"/>
      <c r="B96" s="116"/>
      <c r="C96" s="98"/>
      <c r="D96" s="96"/>
      <c r="E96" s="96"/>
      <c r="F96" s="96"/>
      <c r="G96" s="97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441"/>
      <c r="T96" s="441"/>
      <c r="U96" s="441"/>
      <c r="V96" s="96"/>
      <c r="W96" s="96"/>
      <c r="X96" s="87"/>
      <c r="Z96" s="99"/>
      <c r="AA96" s="207"/>
      <c r="AB96" s="89"/>
      <c r="AC96" s="105"/>
      <c r="AD96" s="89"/>
      <c r="AE96" s="96"/>
      <c r="AF96" s="209"/>
      <c r="AG96" s="138"/>
      <c r="AH96" s="191"/>
      <c r="AI96" s="93"/>
      <c r="AJ96" s="208"/>
      <c r="AK96" s="78"/>
      <c r="AL96" s="165"/>
      <c r="AM96" s="98"/>
      <c r="AN96" s="165"/>
      <c r="AO96" s="103"/>
      <c r="AP96" s="104"/>
    </row>
    <row r="97" spans="1:42" ht="15.75">
      <c r="A97" s="113"/>
      <c r="B97" s="116"/>
      <c r="C97" s="98"/>
      <c r="D97" s="96"/>
      <c r="E97" s="96"/>
      <c r="F97" s="96"/>
      <c r="G97" s="97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441"/>
      <c r="T97" s="457"/>
      <c r="U97" s="457"/>
      <c r="V97" s="96"/>
      <c r="W97" s="96"/>
      <c r="X97" s="87"/>
      <c r="Z97" s="99"/>
      <c r="AA97" s="207"/>
      <c r="AB97" s="89"/>
      <c r="AC97" s="105"/>
      <c r="AD97" s="89"/>
      <c r="AE97" s="96"/>
      <c r="AF97" s="209"/>
      <c r="AG97" s="138"/>
      <c r="AH97" s="191"/>
      <c r="AI97" s="93"/>
      <c r="AJ97" s="208"/>
      <c r="AK97" s="78"/>
      <c r="AL97" s="165"/>
      <c r="AM97" s="98"/>
      <c r="AN97" s="165"/>
      <c r="AO97" s="103"/>
      <c r="AP97" s="104"/>
    </row>
    <row r="98" spans="1:42" ht="15.75">
      <c r="A98" s="113"/>
      <c r="B98" s="116"/>
      <c r="C98" s="98"/>
      <c r="D98" s="96"/>
      <c r="E98" s="96"/>
      <c r="F98" s="96"/>
      <c r="G98" s="97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441"/>
      <c r="T98" s="441"/>
      <c r="U98" s="459"/>
      <c r="V98" s="96"/>
      <c r="W98" s="96"/>
      <c r="X98" s="87"/>
      <c r="Z98" s="99"/>
      <c r="AA98" s="207"/>
      <c r="AB98" s="89"/>
      <c r="AC98" s="105"/>
      <c r="AD98" s="89"/>
      <c r="AE98" s="96"/>
      <c r="AF98" s="209"/>
      <c r="AG98" s="138"/>
      <c r="AH98" s="191"/>
      <c r="AI98" s="93"/>
      <c r="AJ98" s="208"/>
      <c r="AK98" s="78"/>
      <c r="AL98" s="165"/>
      <c r="AM98" s="98"/>
      <c r="AN98" s="440"/>
      <c r="AO98" s="103"/>
      <c r="AP98" s="104"/>
    </row>
    <row r="99" spans="1:42" ht="15.75">
      <c r="A99" s="113"/>
      <c r="B99" s="116"/>
      <c r="C99" s="98"/>
      <c r="D99" s="96"/>
      <c r="E99" s="96"/>
      <c r="F99" s="96"/>
      <c r="G99" s="97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441"/>
      <c r="T99" s="458"/>
      <c r="U99" s="458"/>
      <c r="V99" s="96"/>
      <c r="W99" s="96"/>
      <c r="X99" s="87"/>
      <c r="Z99" s="99"/>
      <c r="AA99" s="207"/>
      <c r="AB99" s="89"/>
      <c r="AC99" s="105"/>
      <c r="AD99" s="89"/>
      <c r="AE99" s="96"/>
      <c r="AF99" s="209"/>
      <c r="AG99" s="138"/>
      <c r="AH99" s="191"/>
      <c r="AI99" s="93"/>
      <c r="AJ99" s="208"/>
      <c r="AK99" s="78"/>
      <c r="AL99" s="165"/>
      <c r="AM99" s="98"/>
      <c r="AN99" s="440"/>
      <c r="AO99" s="103"/>
      <c r="AP99" s="104"/>
    </row>
    <row r="100" spans="1:42" ht="15.75">
      <c r="A100" s="149"/>
      <c r="B100" s="116"/>
      <c r="C100" s="98"/>
      <c r="D100" s="96"/>
      <c r="E100" s="96"/>
      <c r="F100" s="96"/>
      <c r="G100" s="97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441"/>
      <c r="T100" s="441"/>
      <c r="U100" s="441"/>
      <c r="V100" s="96"/>
      <c r="W100" s="96"/>
      <c r="X100" s="87"/>
      <c r="Z100" s="99"/>
      <c r="AA100" s="207"/>
      <c r="AB100" s="89"/>
      <c r="AC100" s="105"/>
      <c r="AD100" s="89"/>
      <c r="AE100" s="96"/>
      <c r="AF100" s="209"/>
      <c r="AG100" s="138"/>
      <c r="AH100" s="191"/>
      <c r="AI100" s="93"/>
      <c r="AJ100" s="208"/>
      <c r="AK100" s="78"/>
      <c r="AL100" s="165"/>
      <c r="AM100" s="98"/>
      <c r="AN100" s="440"/>
      <c r="AO100" s="103"/>
      <c r="AP100" s="104"/>
    </row>
    <row r="101" spans="1:42" ht="15.75">
      <c r="A101" s="113"/>
      <c r="B101" s="116"/>
      <c r="C101" s="98"/>
      <c r="D101" s="96"/>
      <c r="E101" s="96"/>
      <c r="F101" s="96"/>
      <c r="G101" s="97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441"/>
      <c r="T101" s="441"/>
      <c r="U101" s="441"/>
      <c r="V101" s="96"/>
      <c r="W101" s="96"/>
      <c r="X101" s="87"/>
      <c r="Z101" s="76"/>
      <c r="AA101" s="207"/>
      <c r="AB101" s="89"/>
      <c r="AC101" s="105"/>
      <c r="AD101" s="89"/>
      <c r="AE101" s="96"/>
      <c r="AF101" s="209"/>
      <c r="AG101" s="138"/>
      <c r="AH101" s="191"/>
      <c r="AI101" s="93"/>
      <c r="AJ101" s="208"/>
      <c r="AK101" s="78"/>
      <c r="AL101" s="165"/>
      <c r="AM101" s="98"/>
      <c r="AN101" s="440"/>
      <c r="AO101" s="103"/>
      <c r="AP101" s="104"/>
    </row>
    <row r="102" spans="1:42" ht="15.75">
      <c r="A102" s="113"/>
      <c r="B102" s="116"/>
      <c r="C102" s="98"/>
      <c r="D102" s="96"/>
      <c r="E102" s="96"/>
      <c r="F102" s="96"/>
      <c r="G102" s="97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441"/>
      <c r="T102" s="441"/>
      <c r="U102" s="441"/>
      <c r="V102" s="96"/>
      <c r="W102" s="96"/>
      <c r="X102" s="87"/>
      <c r="Z102" s="99"/>
      <c r="AA102" s="207"/>
      <c r="AB102" s="89"/>
      <c r="AC102" s="105"/>
      <c r="AD102" s="89"/>
      <c r="AE102" s="96"/>
      <c r="AF102" s="209"/>
      <c r="AG102" s="138"/>
      <c r="AH102" s="191"/>
      <c r="AI102" s="93"/>
      <c r="AJ102" s="208"/>
      <c r="AK102" s="78"/>
      <c r="AL102" s="165"/>
      <c r="AM102" s="98"/>
      <c r="AN102" s="440"/>
      <c r="AO102" s="103"/>
      <c r="AP102" s="104"/>
    </row>
    <row r="103" spans="1:42" ht="15.75">
      <c r="A103" s="113"/>
      <c r="B103" s="116"/>
      <c r="C103" s="98"/>
      <c r="D103" s="96"/>
      <c r="E103" s="96"/>
      <c r="F103" s="96"/>
      <c r="G103" s="97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441"/>
      <c r="T103" s="441"/>
      <c r="U103" s="441"/>
      <c r="V103" s="96"/>
      <c r="W103" s="96"/>
      <c r="X103" s="87"/>
      <c r="Z103" s="76"/>
      <c r="AA103" s="207"/>
      <c r="AB103" s="89"/>
      <c r="AC103" s="105"/>
      <c r="AD103" s="89"/>
      <c r="AE103" s="96"/>
      <c r="AF103" s="209"/>
      <c r="AG103" s="138"/>
      <c r="AH103" s="191"/>
      <c r="AI103" s="93"/>
      <c r="AJ103" s="208"/>
      <c r="AK103" s="78"/>
      <c r="AL103" s="165"/>
      <c r="AM103" s="98"/>
      <c r="AN103" s="440"/>
      <c r="AO103" s="103"/>
      <c r="AP103" s="104"/>
    </row>
    <row r="104" spans="1:42" ht="15.75">
      <c r="A104" s="113"/>
      <c r="B104" s="156"/>
      <c r="C104" s="98"/>
      <c r="D104" s="96"/>
      <c r="E104" s="96"/>
      <c r="F104" s="96"/>
      <c r="G104" s="97"/>
      <c r="H104" s="98"/>
      <c r="I104" s="98"/>
      <c r="J104" s="98"/>
      <c r="K104" s="98"/>
      <c r="L104" s="98"/>
      <c r="M104" s="151"/>
      <c r="N104" s="151"/>
      <c r="O104" s="151"/>
      <c r="P104" s="151"/>
      <c r="Q104" s="151"/>
      <c r="R104" s="151"/>
      <c r="S104" s="458"/>
      <c r="T104" s="458"/>
      <c r="U104" s="458"/>
      <c r="V104" s="98"/>
      <c r="W104" s="98"/>
      <c r="X104" s="87"/>
      <c r="Z104" s="99"/>
      <c r="AA104" s="207"/>
      <c r="AB104" s="89"/>
      <c r="AC104" s="105"/>
      <c r="AD104" s="89"/>
      <c r="AE104" s="96"/>
      <c r="AF104" s="209"/>
      <c r="AG104" s="138"/>
      <c r="AH104" s="191"/>
      <c r="AI104" s="93"/>
      <c r="AJ104" s="208"/>
      <c r="AK104" s="78"/>
      <c r="AL104" s="165"/>
      <c r="AM104" s="98"/>
      <c r="AN104" s="440"/>
      <c r="AO104" s="103"/>
      <c r="AP104" s="104"/>
    </row>
    <row r="105" spans="1:42" ht="15.75">
      <c r="A105" s="113"/>
      <c r="B105" s="116"/>
      <c r="C105" s="98"/>
      <c r="D105" s="96"/>
      <c r="E105" s="96"/>
      <c r="F105" s="96"/>
      <c r="G105" s="97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441"/>
      <c r="T105" s="441"/>
      <c r="U105" s="441"/>
      <c r="V105" s="98"/>
      <c r="W105" s="98"/>
      <c r="X105" s="87"/>
      <c r="Z105" s="460"/>
      <c r="AA105" s="108"/>
      <c r="AB105" s="116"/>
      <c r="AC105" s="142"/>
      <c r="AD105" s="116"/>
      <c r="AE105" s="96"/>
      <c r="AF105" s="98"/>
      <c r="AG105" s="98"/>
      <c r="AH105" s="87"/>
      <c r="AI105" s="396"/>
      <c r="AJ105" s="440"/>
      <c r="AK105" s="396"/>
      <c r="AL105" s="396"/>
      <c r="AM105" s="98"/>
      <c r="AN105" s="440"/>
      <c r="AO105" s="103"/>
      <c r="AP105" s="104"/>
    </row>
    <row r="106" spans="1:42" ht="15.75">
      <c r="A106" s="113"/>
      <c r="B106" s="116"/>
      <c r="C106" s="98"/>
      <c r="D106" s="96"/>
      <c r="E106" s="96"/>
      <c r="F106" s="96"/>
      <c r="G106" s="97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441"/>
      <c r="T106" s="441"/>
      <c r="U106" s="441"/>
      <c r="V106" s="98"/>
      <c r="W106" s="98"/>
      <c r="X106" s="87"/>
      <c r="Z106" s="460"/>
      <c r="AA106" s="146"/>
      <c r="AB106" s="116"/>
      <c r="AC106" s="142"/>
      <c r="AD106" s="116"/>
      <c r="AE106" s="94"/>
      <c r="AF106" s="151"/>
      <c r="AG106" s="151"/>
      <c r="AH106" s="194"/>
      <c r="AI106" s="396"/>
      <c r="AJ106" s="440"/>
      <c r="AK106" s="396"/>
      <c r="AL106" s="396"/>
      <c r="AM106" s="98"/>
      <c r="AN106" s="440"/>
      <c r="AO106" s="103"/>
      <c r="AP106" s="104"/>
    </row>
    <row r="107" spans="1:42" ht="15.75">
      <c r="A107" s="113"/>
      <c r="B107" s="116"/>
      <c r="C107" s="98"/>
      <c r="D107" s="96"/>
      <c r="E107" s="96"/>
      <c r="F107" s="96"/>
      <c r="G107" s="97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441"/>
      <c r="T107" s="441"/>
      <c r="U107" s="441"/>
      <c r="V107" s="98"/>
      <c r="W107" s="98"/>
      <c r="X107" s="87"/>
      <c r="Z107" s="76"/>
      <c r="AA107" s="108"/>
      <c r="AB107" s="116"/>
      <c r="AC107" s="142"/>
      <c r="AD107" s="116"/>
      <c r="AE107" s="96"/>
      <c r="AF107" s="98"/>
      <c r="AG107" s="98"/>
      <c r="AH107" s="87"/>
      <c r="AI107" s="396"/>
      <c r="AJ107" s="440"/>
      <c r="AK107" s="396"/>
      <c r="AL107" s="396"/>
      <c r="AM107" s="98"/>
      <c r="AN107" s="440"/>
      <c r="AO107" s="103"/>
      <c r="AP107" s="104"/>
    </row>
    <row r="108" spans="1:42" ht="15.75">
      <c r="A108" s="113"/>
      <c r="B108" s="116"/>
      <c r="C108" s="98"/>
      <c r="D108" s="96"/>
      <c r="E108" s="96"/>
      <c r="F108" s="96"/>
      <c r="G108" s="97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441"/>
      <c r="T108" s="441"/>
      <c r="U108" s="441"/>
      <c r="V108" s="98"/>
      <c r="W108" s="98"/>
      <c r="X108" s="87"/>
      <c r="Z108" s="76"/>
      <c r="AA108" s="108"/>
      <c r="AB108" s="116"/>
      <c r="AC108" s="142"/>
      <c r="AD108" s="116"/>
      <c r="AE108" s="96"/>
      <c r="AF108" s="98"/>
      <c r="AG108" s="98"/>
      <c r="AH108" s="87"/>
      <c r="AI108" s="396"/>
      <c r="AJ108" s="440"/>
      <c r="AK108" s="396"/>
      <c r="AL108" s="396"/>
      <c r="AM108" s="98"/>
      <c r="AN108" s="440"/>
      <c r="AO108" s="103"/>
      <c r="AP108" s="104"/>
    </row>
    <row r="109" spans="1:42" ht="15.75">
      <c r="A109" s="113"/>
      <c r="B109" s="116"/>
      <c r="C109" s="98"/>
      <c r="D109" s="96"/>
      <c r="E109" s="96"/>
      <c r="F109" s="96"/>
      <c r="G109" s="97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441"/>
      <c r="T109" s="441"/>
      <c r="U109" s="441"/>
      <c r="V109" s="98"/>
      <c r="W109" s="98"/>
      <c r="X109" s="87"/>
      <c r="Z109" s="76"/>
      <c r="AA109" s="108"/>
      <c r="AB109" s="116"/>
      <c r="AC109" s="142"/>
      <c r="AD109" s="116"/>
      <c r="AE109" s="96"/>
      <c r="AF109" s="98"/>
      <c r="AG109" s="98"/>
      <c r="AH109" s="87"/>
      <c r="AI109" s="396"/>
      <c r="AJ109" s="440"/>
      <c r="AK109" s="396"/>
      <c r="AL109" s="396"/>
      <c r="AM109" s="98"/>
      <c r="AN109" s="440"/>
      <c r="AO109" s="103"/>
      <c r="AP109" s="104"/>
    </row>
    <row r="110" spans="1:42" ht="15.75">
      <c r="A110" s="113"/>
      <c r="B110" s="116"/>
      <c r="C110" s="98"/>
      <c r="D110" s="96"/>
      <c r="E110" s="96"/>
      <c r="F110" s="96"/>
      <c r="G110" s="97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441"/>
      <c r="T110" s="441"/>
      <c r="U110" s="441"/>
      <c r="V110" s="98"/>
      <c r="W110" s="98"/>
      <c r="X110" s="87"/>
      <c r="Z110" s="76"/>
      <c r="AA110" s="108"/>
      <c r="AB110" s="116"/>
      <c r="AC110" s="142"/>
      <c r="AD110" s="116"/>
      <c r="AE110" s="96"/>
      <c r="AF110" s="98"/>
      <c r="AG110" s="98"/>
      <c r="AH110" s="87"/>
      <c r="AI110" s="396"/>
      <c r="AJ110" s="165"/>
      <c r="AK110" s="116"/>
      <c r="AL110" s="396"/>
      <c r="AM110" s="98"/>
      <c r="AN110" s="440"/>
      <c r="AO110" s="103"/>
      <c r="AP110" s="104"/>
    </row>
    <row r="111" spans="1:42" ht="15.75">
      <c r="A111" s="113"/>
      <c r="B111" s="116"/>
      <c r="C111" s="98"/>
      <c r="D111" s="96"/>
      <c r="E111" s="96"/>
      <c r="F111" s="96"/>
      <c r="G111" s="97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441"/>
      <c r="T111" s="441"/>
      <c r="U111" s="441"/>
      <c r="V111" s="98"/>
      <c r="W111" s="98"/>
      <c r="X111" s="87"/>
      <c r="Z111" s="76"/>
      <c r="AA111" s="108"/>
      <c r="AB111" s="116"/>
      <c r="AC111" s="142"/>
      <c r="AD111" s="116"/>
      <c r="AE111" s="96"/>
      <c r="AF111" s="98"/>
      <c r="AG111" s="98"/>
      <c r="AH111" s="87"/>
      <c r="AI111" s="396"/>
      <c r="AJ111" s="165"/>
      <c r="AK111" s="116"/>
      <c r="AL111" s="396"/>
      <c r="AM111" s="98"/>
      <c r="AN111" s="440"/>
      <c r="AO111" s="103"/>
      <c r="AP111" s="104"/>
    </row>
    <row r="112" spans="1:42" ht="15.75">
      <c r="A112" s="113"/>
      <c r="B112" s="116"/>
      <c r="C112" s="98"/>
      <c r="D112" s="96"/>
      <c r="E112" s="96"/>
      <c r="F112" s="96"/>
      <c r="G112" s="97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441"/>
      <c r="T112" s="441"/>
      <c r="U112" s="441"/>
      <c r="V112" s="98"/>
      <c r="W112" s="98"/>
      <c r="X112" s="87"/>
      <c r="Z112" s="76"/>
      <c r="AA112" s="108"/>
      <c r="AB112" s="116"/>
      <c r="AC112" s="142"/>
      <c r="AD112" s="116"/>
      <c r="AE112" s="96"/>
      <c r="AF112" s="98"/>
      <c r="AG112" s="98"/>
      <c r="AH112" s="87"/>
      <c r="AI112" s="396"/>
      <c r="AJ112" s="165"/>
      <c r="AK112" s="116"/>
      <c r="AL112" s="396"/>
      <c r="AM112" s="98"/>
      <c r="AN112" s="440"/>
      <c r="AO112" s="103"/>
      <c r="AP112" s="104"/>
    </row>
    <row r="113" spans="1:42" ht="15.75">
      <c r="A113" s="113"/>
      <c r="B113" s="116"/>
      <c r="C113" s="98"/>
      <c r="D113" s="96"/>
      <c r="E113" s="96"/>
      <c r="F113" s="96"/>
      <c r="G113" s="97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441"/>
      <c r="T113" s="441"/>
      <c r="U113" s="441"/>
      <c r="V113" s="98"/>
      <c r="W113" s="98"/>
      <c r="X113" s="87"/>
      <c r="Z113" s="76"/>
      <c r="AA113" s="108"/>
      <c r="AB113" s="116"/>
      <c r="AC113" s="142"/>
      <c r="AD113" s="116"/>
      <c r="AE113" s="96"/>
      <c r="AF113" s="98"/>
      <c r="AG113" s="98"/>
      <c r="AH113" s="87"/>
      <c r="AI113" s="396"/>
      <c r="AJ113" s="165"/>
      <c r="AK113" s="116"/>
      <c r="AL113" s="396"/>
      <c r="AM113" s="98"/>
      <c r="AN113" s="440"/>
      <c r="AO113" s="103"/>
      <c r="AP113" s="104"/>
    </row>
    <row r="114" spans="1:42" ht="15.75">
      <c r="A114" s="113"/>
      <c r="B114" s="116"/>
      <c r="C114" s="98"/>
      <c r="D114" s="96"/>
      <c r="E114" s="96"/>
      <c r="F114" s="96"/>
      <c r="G114" s="97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441"/>
      <c r="T114" s="441"/>
      <c r="U114" s="441"/>
      <c r="V114" s="98"/>
      <c r="W114" s="98"/>
      <c r="X114" s="87"/>
      <c r="Z114" s="76"/>
      <c r="AA114" s="108"/>
      <c r="AB114" s="116"/>
      <c r="AC114" s="142"/>
      <c r="AD114" s="116"/>
      <c r="AE114" s="96"/>
      <c r="AF114" s="98"/>
      <c r="AG114" s="98"/>
      <c r="AH114" s="87"/>
      <c r="AI114" s="396"/>
      <c r="AJ114" s="165"/>
      <c r="AK114" s="116"/>
      <c r="AL114" s="396"/>
      <c r="AM114" s="98"/>
      <c r="AN114" s="440"/>
      <c r="AO114" s="103"/>
      <c r="AP114" s="104"/>
    </row>
    <row r="115" spans="1:42" ht="15.75">
      <c r="A115" s="113"/>
      <c r="B115" s="116"/>
      <c r="C115" s="98"/>
      <c r="D115" s="96"/>
      <c r="E115" s="96"/>
      <c r="F115" s="96"/>
      <c r="G115" s="97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441"/>
      <c r="V115" s="98"/>
      <c r="W115" s="98"/>
      <c r="X115" s="87"/>
      <c r="Z115" s="76"/>
      <c r="AA115" s="108"/>
      <c r="AB115" s="116"/>
      <c r="AC115" s="142"/>
      <c r="AD115" s="116"/>
      <c r="AE115" s="96"/>
      <c r="AF115" s="98"/>
      <c r="AG115" s="98"/>
      <c r="AH115" s="87"/>
      <c r="AI115" s="396"/>
      <c r="AJ115" s="165"/>
      <c r="AK115" s="116"/>
      <c r="AL115" s="396"/>
      <c r="AM115" s="98"/>
      <c r="AN115" s="440"/>
      <c r="AO115" s="103"/>
      <c r="AP115" s="104"/>
    </row>
    <row r="116" spans="1:42" ht="15.75">
      <c r="A116" s="113"/>
      <c r="B116" s="116"/>
      <c r="C116" s="98"/>
      <c r="D116" s="96"/>
      <c r="E116" s="96"/>
      <c r="F116" s="96"/>
      <c r="G116" s="97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441"/>
      <c r="V116" s="98"/>
      <c r="W116" s="98"/>
      <c r="X116" s="87"/>
      <c r="Z116" s="76"/>
      <c r="AA116" s="108"/>
      <c r="AB116" s="116"/>
      <c r="AC116" s="142"/>
      <c r="AD116" s="116"/>
      <c r="AE116" s="96"/>
      <c r="AF116" s="98"/>
      <c r="AG116" s="98"/>
      <c r="AH116" s="87"/>
      <c r="AI116" s="396"/>
      <c r="AJ116" s="165"/>
      <c r="AK116" s="116"/>
      <c r="AL116" s="396"/>
      <c r="AM116" s="98"/>
      <c r="AN116" s="440"/>
      <c r="AO116" s="103"/>
      <c r="AP116" s="104"/>
    </row>
    <row r="117" spans="1:42" ht="15.75">
      <c r="A117" s="113"/>
      <c r="B117" s="116"/>
      <c r="C117" s="98"/>
      <c r="D117" s="96"/>
      <c r="E117" s="96"/>
      <c r="F117" s="96"/>
      <c r="G117" s="97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441"/>
      <c r="V117" s="98"/>
      <c r="W117" s="98"/>
      <c r="X117" s="87"/>
      <c r="Z117" s="76"/>
      <c r="AA117" s="108"/>
      <c r="AB117" s="116"/>
      <c r="AC117" s="142"/>
      <c r="AD117" s="116"/>
      <c r="AE117" s="96"/>
      <c r="AF117" s="98"/>
      <c r="AG117" s="98"/>
      <c r="AH117" s="87"/>
      <c r="AI117" s="396"/>
      <c r="AJ117" s="165"/>
      <c r="AK117" s="116"/>
      <c r="AL117" s="396"/>
      <c r="AM117" s="98"/>
      <c r="AN117" s="440"/>
      <c r="AO117" s="103"/>
      <c r="AP117" s="104"/>
    </row>
    <row r="118" spans="1:42" ht="15.75">
      <c r="A118" s="113"/>
      <c r="B118" s="116"/>
      <c r="C118" s="98"/>
      <c r="D118" s="96"/>
      <c r="E118" s="96"/>
      <c r="F118" s="96"/>
      <c r="G118" s="97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441"/>
      <c r="V118" s="98"/>
      <c r="W118" s="98"/>
      <c r="X118" s="87"/>
      <c r="Z118" s="76"/>
      <c r="AA118" s="108"/>
      <c r="AB118" s="116"/>
      <c r="AC118" s="142"/>
      <c r="AD118" s="116"/>
      <c r="AE118" s="96"/>
      <c r="AF118" s="98"/>
      <c r="AG118" s="98"/>
      <c r="AH118" s="87"/>
      <c r="AI118" s="396"/>
      <c r="AJ118" s="165"/>
      <c r="AK118" s="116"/>
      <c r="AL118" s="396"/>
      <c r="AM118" s="98"/>
      <c r="AN118" s="440"/>
      <c r="AO118" s="103"/>
      <c r="AP118" s="104"/>
    </row>
    <row r="119" spans="1:42" ht="15.75">
      <c r="A119" s="113"/>
      <c r="B119" s="116"/>
      <c r="C119" s="98"/>
      <c r="D119" s="96"/>
      <c r="E119" s="96"/>
      <c r="F119" s="96"/>
      <c r="G119" s="97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116"/>
      <c r="T119" s="116"/>
      <c r="U119" s="441"/>
      <c r="V119" s="98"/>
      <c r="W119" s="98"/>
      <c r="X119" s="87"/>
      <c r="Z119" s="76"/>
      <c r="AA119" s="108"/>
      <c r="AB119" s="116"/>
      <c r="AC119" s="142"/>
      <c r="AD119" s="116"/>
      <c r="AE119" s="96"/>
      <c r="AF119" s="98"/>
      <c r="AG119" s="98"/>
      <c r="AH119" s="87"/>
      <c r="AI119" s="396"/>
      <c r="AJ119" s="165"/>
      <c r="AK119" s="116"/>
      <c r="AL119" s="396"/>
      <c r="AM119" s="98"/>
      <c r="AN119" s="440"/>
      <c r="AO119" s="103"/>
      <c r="AP119" s="104"/>
    </row>
    <row r="120" spans="1:42" ht="15.75">
      <c r="A120" s="113"/>
      <c r="B120" s="116"/>
      <c r="C120" s="98"/>
      <c r="D120" s="96"/>
      <c r="E120" s="96"/>
      <c r="F120" s="96"/>
      <c r="G120" s="97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441"/>
      <c r="V120" s="98"/>
      <c r="W120" s="98"/>
      <c r="X120" s="87"/>
      <c r="Z120" s="76"/>
      <c r="AA120" s="108"/>
      <c r="AB120" s="116"/>
      <c r="AC120" s="142"/>
      <c r="AD120" s="116"/>
      <c r="AE120" s="96"/>
      <c r="AF120" s="98"/>
      <c r="AG120" s="98"/>
      <c r="AH120" s="87"/>
      <c r="AI120" s="396"/>
      <c r="AJ120" s="165"/>
      <c r="AK120" s="116"/>
      <c r="AL120" s="396"/>
      <c r="AM120" s="98"/>
      <c r="AN120" s="440"/>
      <c r="AO120" s="103"/>
      <c r="AP120" s="104"/>
    </row>
    <row r="121" spans="1:42" ht="15.75">
      <c r="A121" s="113"/>
      <c r="B121" s="116"/>
      <c r="C121" s="98"/>
      <c r="D121" s="96"/>
      <c r="E121" s="96"/>
      <c r="F121" s="96"/>
      <c r="G121" s="97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441"/>
      <c r="V121" s="98"/>
      <c r="W121" s="98"/>
      <c r="X121" s="87"/>
      <c r="Z121" s="76"/>
      <c r="AA121" s="108"/>
      <c r="AB121" s="116"/>
      <c r="AC121" s="142"/>
      <c r="AD121" s="116"/>
      <c r="AE121" s="96"/>
      <c r="AF121" s="98"/>
      <c r="AG121" s="98"/>
      <c r="AH121" s="87"/>
      <c r="AI121" s="396"/>
      <c r="AJ121" s="165"/>
      <c r="AK121" s="116"/>
      <c r="AL121" s="396"/>
      <c r="AM121" s="98"/>
      <c r="AN121" s="440"/>
      <c r="AO121" s="103"/>
      <c r="AP121" s="104"/>
    </row>
    <row r="122" spans="1:42" ht="15.75">
      <c r="A122" s="113"/>
      <c r="B122" s="116"/>
      <c r="C122" s="98"/>
      <c r="D122" s="96"/>
      <c r="E122" s="96"/>
      <c r="F122" s="96"/>
      <c r="G122" s="97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441"/>
      <c r="V122" s="98"/>
      <c r="W122" s="98"/>
      <c r="X122" s="87"/>
      <c r="Z122" s="76"/>
      <c r="AA122" s="108"/>
      <c r="AB122" s="116"/>
      <c r="AC122" s="142"/>
      <c r="AD122" s="116"/>
      <c r="AE122" s="96"/>
      <c r="AF122" s="98"/>
      <c r="AG122" s="98"/>
      <c r="AH122" s="87"/>
      <c r="AI122" s="396"/>
      <c r="AJ122" s="165"/>
      <c r="AK122" s="116"/>
      <c r="AL122" s="396"/>
      <c r="AM122" s="98"/>
      <c r="AN122" s="440"/>
      <c r="AO122" s="103"/>
      <c r="AP122" s="104"/>
    </row>
    <row r="123" spans="1:42" ht="15.75">
      <c r="A123" s="113"/>
      <c r="B123" s="116"/>
      <c r="C123" s="98"/>
      <c r="D123" s="96"/>
      <c r="E123" s="96"/>
      <c r="F123" s="96"/>
      <c r="G123" s="97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441"/>
      <c r="V123" s="98"/>
      <c r="W123" s="98"/>
      <c r="X123" s="87"/>
      <c r="Z123" s="76"/>
      <c r="AA123" s="108"/>
      <c r="AB123" s="116"/>
      <c r="AC123" s="142"/>
      <c r="AD123" s="116"/>
      <c r="AE123" s="96"/>
      <c r="AF123" s="98"/>
      <c r="AG123" s="98"/>
      <c r="AH123" s="87"/>
      <c r="AI123" s="396"/>
      <c r="AJ123" s="165"/>
      <c r="AK123" s="116"/>
      <c r="AL123" s="396"/>
      <c r="AM123" s="98"/>
      <c r="AN123" s="440"/>
      <c r="AO123" s="103"/>
      <c r="AP123" s="104"/>
    </row>
    <row r="124" spans="1:42" ht="15.75">
      <c r="A124" s="113"/>
      <c r="B124" s="116"/>
      <c r="C124" s="98"/>
      <c r="D124" s="96"/>
      <c r="E124" s="96"/>
      <c r="F124" s="96"/>
      <c r="G124" s="97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441"/>
      <c r="V124" s="98"/>
      <c r="W124" s="98"/>
      <c r="X124" s="87"/>
      <c r="Z124" s="76"/>
      <c r="AA124" s="108"/>
      <c r="AB124" s="116"/>
      <c r="AC124" s="142"/>
      <c r="AD124" s="116"/>
      <c r="AE124" s="96"/>
      <c r="AF124" s="98"/>
      <c r="AG124" s="98"/>
      <c r="AH124" s="87"/>
      <c r="AI124" s="396"/>
      <c r="AJ124" s="165"/>
      <c r="AK124" s="116"/>
      <c r="AL124" s="396"/>
      <c r="AM124" s="98"/>
      <c r="AN124" s="440"/>
      <c r="AO124" s="103"/>
      <c r="AP124" s="104"/>
    </row>
    <row r="125" spans="1:42" ht="15.75">
      <c r="A125" s="113"/>
      <c r="B125" s="116"/>
      <c r="C125" s="98"/>
      <c r="D125" s="96"/>
      <c r="E125" s="96" t="s">
        <v>58</v>
      </c>
      <c r="F125" s="96"/>
      <c r="G125" s="97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441"/>
      <c r="V125" s="98"/>
      <c r="W125" s="98"/>
      <c r="X125" s="87"/>
      <c r="Z125" s="76"/>
      <c r="AA125" s="108"/>
      <c r="AB125" s="116"/>
      <c r="AC125" s="142"/>
      <c r="AD125" s="116"/>
      <c r="AE125" s="96"/>
      <c r="AF125" s="98"/>
      <c r="AG125" s="98"/>
      <c r="AH125" s="87"/>
      <c r="AI125" s="396"/>
      <c r="AJ125" s="165"/>
      <c r="AK125" s="116"/>
      <c r="AL125" s="396"/>
      <c r="AM125" s="98"/>
      <c r="AN125" s="440"/>
      <c r="AO125" s="103"/>
      <c r="AP125" s="104"/>
    </row>
    <row r="126" spans="1:42" ht="15.75">
      <c r="A126" s="113"/>
      <c r="B126" s="116"/>
      <c r="C126" s="98"/>
      <c r="D126" s="96"/>
      <c r="E126" s="96" t="s">
        <v>58</v>
      </c>
      <c r="F126" s="96"/>
      <c r="G126" s="97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441"/>
      <c r="V126" s="98"/>
      <c r="W126" s="98"/>
      <c r="X126" s="87"/>
      <c r="Z126" s="76"/>
      <c r="AA126" s="108"/>
      <c r="AB126" s="116"/>
      <c r="AC126" s="142"/>
      <c r="AD126" s="116"/>
      <c r="AE126" s="96"/>
      <c r="AF126" s="98"/>
      <c r="AG126" s="98"/>
      <c r="AH126" s="87"/>
      <c r="AI126" s="396"/>
      <c r="AJ126" s="165"/>
      <c r="AK126" s="116"/>
      <c r="AL126" s="396"/>
      <c r="AM126" s="98"/>
      <c r="AN126" s="440"/>
      <c r="AO126" s="103"/>
      <c r="AP126" s="104"/>
    </row>
    <row r="127" spans="1:42" ht="15.75">
      <c r="A127" s="113"/>
      <c r="B127" s="116"/>
      <c r="C127" s="98"/>
      <c r="D127" s="96"/>
      <c r="E127" s="96" t="s">
        <v>58</v>
      </c>
      <c r="F127" s="96"/>
      <c r="G127" s="97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441"/>
      <c r="V127" s="98"/>
      <c r="W127" s="98"/>
      <c r="X127" s="87"/>
      <c r="Z127" s="76"/>
      <c r="AA127" s="108"/>
      <c r="AB127" s="116"/>
      <c r="AC127" s="142"/>
      <c r="AD127" s="116"/>
      <c r="AE127" s="96"/>
      <c r="AF127" s="98"/>
      <c r="AG127" s="98"/>
      <c r="AH127" s="87"/>
      <c r="AI127" s="396"/>
      <c r="AJ127" s="165"/>
      <c r="AK127" s="116"/>
      <c r="AL127" s="396"/>
      <c r="AM127" s="98"/>
      <c r="AN127" s="440"/>
      <c r="AO127" s="103"/>
      <c r="AP127" s="104"/>
    </row>
    <row r="128" spans="1:42" ht="15.75">
      <c r="A128" s="113"/>
      <c r="B128" s="116"/>
      <c r="C128" s="98"/>
      <c r="D128" s="96"/>
      <c r="E128" s="96" t="s">
        <v>58</v>
      </c>
      <c r="F128" s="96"/>
      <c r="G128" s="97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441"/>
      <c r="V128" s="98"/>
      <c r="W128" s="98"/>
      <c r="X128" s="87"/>
      <c r="Z128" s="76"/>
      <c r="AA128" s="108"/>
      <c r="AB128" s="116"/>
      <c r="AC128" s="142"/>
      <c r="AD128" s="116"/>
      <c r="AE128" s="96"/>
      <c r="AF128" s="98"/>
      <c r="AG128" s="98"/>
      <c r="AH128" s="87"/>
      <c r="AI128" s="396"/>
      <c r="AJ128" s="165"/>
      <c r="AK128" s="116"/>
      <c r="AL128" s="396"/>
      <c r="AM128" s="98"/>
      <c r="AN128" s="440"/>
      <c r="AO128" s="103"/>
      <c r="AP128" s="104"/>
    </row>
    <row r="129" spans="1:42" ht="15.75">
      <c r="A129" s="113"/>
      <c r="B129" s="116"/>
      <c r="C129" s="98"/>
      <c r="D129" s="96"/>
      <c r="E129" s="96" t="s">
        <v>58</v>
      </c>
      <c r="F129" s="96"/>
      <c r="G129" s="97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441"/>
      <c r="V129" s="98"/>
      <c r="W129" s="98"/>
      <c r="X129" s="87"/>
      <c r="Z129" s="76"/>
      <c r="AA129" s="108"/>
      <c r="AB129" s="116"/>
      <c r="AC129" s="142"/>
      <c r="AD129" s="116"/>
      <c r="AE129" s="96"/>
      <c r="AF129" s="98"/>
      <c r="AG129" s="98"/>
      <c r="AH129" s="87"/>
      <c r="AI129" s="396"/>
      <c r="AJ129" s="165"/>
      <c r="AK129" s="116"/>
      <c r="AL129" s="396"/>
      <c r="AM129" s="98"/>
      <c r="AN129" s="440"/>
      <c r="AO129" s="103"/>
      <c r="AP129" s="104"/>
    </row>
    <row r="130" spans="1:42" ht="15.75">
      <c r="A130" s="113"/>
      <c r="B130" s="116"/>
      <c r="C130" s="98"/>
      <c r="D130" s="96"/>
      <c r="E130" s="96" t="s">
        <v>58</v>
      </c>
      <c r="F130" s="96"/>
      <c r="G130" s="97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441"/>
      <c r="V130" s="98"/>
      <c r="W130" s="98"/>
      <c r="X130" s="87"/>
      <c r="Z130" s="76"/>
      <c r="AA130" s="108"/>
      <c r="AB130" s="116"/>
      <c r="AC130" s="142"/>
      <c r="AD130" s="116"/>
      <c r="AE130" s="96"/>
      <c r="AF130" s="98"/>
      <c r="AG130" s="98"/>
      <c r="AH130" s="87"/>
      <c r="AI130" s="396"/>
      <c r="AJ130" s="165"/>
      <c r="AK130" s="116"/>
      <c r="AL130" s="396"/>
      <c r="AM130" s="98"/>
      <c r="AN130" s="440"/>
      <c r="AO130" s="103"/>
      <c r="AP130" s="104"/>
    </row>
    <row r="131" spans="1:42" ht="15.75">
      <c r="A131" s="113"/>
      <c r="B131" s="116"/>
      <c r="C131" s="98"/>
      <c r="D131" s="96"/>
      <c r="E131" s="96" t="s">
        <v>58</v>
      </c>
      <c r="F131" s="96"/>
      <c r="G131" s="97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441"/>
      <c r="V131" s="98"/>
      <c r="W131" s="98"/>
      <c r="X131" s="87"/>
      <c r="Z131" s="76"/>
      <c r="AA131" s="108"/>
      <c r="AB131" s="116"/>
      <c r="AC131" s="142"/>
      <c r="AD131" s="116"/>
      <c r="AE131" s="96"/>
      <c r="AF131" s="98"/>
      <c r="AG131" s="98"/>
      <c r="AH131" s="87"/>
      <c r="AI131" s="396"/>
      <c r="AJ131" s="165"/>
      <c r="AK131" s="116"/>
      <c r="AL131" s="396"/>
      <c r="AM131" s="98"/>
      <c r="AN131" s="440"/>
      <c r="AO131" s="103"/>
      <c r="AP131" s="104"/>
    </row>
    <row r="132" spans="1:42" ht="15.75">
      <c r="A132" s="113"/>
      <c r="B132" s="116"/>
      <c r="C132" s="98"/>
      <c r="D132" s="96"/>
      <c r="E132" s="96" t="s">
        <v>58</v>
      </c>
      <c r="F132" s="96"/>
      <c r="G132" s="97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441"/>
      <c r="V132" s="98"/>
      <c r="W132" s="98"/>
      <c r="X132" s="87"/>
      <c r="Z132" s="76"/>
      <c r="AA132" s="108"/>
      <c r="AB132" s="116"/>
      <c r="AC132" s="142"/>
      <c r="AD132" s="116"/>
      <c r="AE132" s="96"/>
      <c r="AF132" s="98"/>
      <c r="AG132" s="98"/>
      <c r="AH132" s="87"/>
      <c r="AI132" s="396"/>
      <c r="AJ132" s="165"/>
      <c r="AK132" s="116"/>
      <c r="AL132" s="396"/>
      <c r="AM132" s="98"/>
      <c r="AN132" s="440"/>
      <c r="AO132" s="103"/>
      <c r="AP132" s="104"/>
    </row>
    <row r="133" spans="1:42" ht="15.75">
      <c r="A133" s="113"/>
      <c r="B133" s="116"/>
      <c r="C133" s="98"/>
      <c r="D133" s="96"/>
      <c r="E133" s="96" t="s">
        <v>58</v>
      </c>
      <c r="F133" s="96"/>
      <c r="G133" s="97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441"/>
      <c r="V133" s="98"/>
      <c r="W133" s="98"/>
      <c r="X133" s="87"/>
      <c r="Z133" s="76"/>
      <c r="AA133" s="108"/>
      <c r="AB133" s="116"/>
      <c r="AC133" s="142"/>
      <c r="AD133" s="116"/>
      <c r="AE133" s="96"/>
      <c r="AF133" s="98"/>
      <c r="AG133" s="98"/>
      <c r="AH133" s="87"/>
      <c r="AI133" s="396"/>
      <c r="AJ133" s="165"/>
      <c r="AK133" s="116"/>
      <c r="AL133" s="396"/>
      <c r="AM133" s="98"/>
      <c r="AN133" s="440"/>
      <c r="AO133" s="103"/>
      <c r="AP133" s="104"/>
    </row>
    <row r="134" spans="1:42" ht="15.75">
      <c r="A134" s="113"/>
      <c r="B134" s="116"/>
      <c r="C134" s="98"/>
      <c r="D134" s="96"/>
      <c r="E134" s="96" t="s">
        <v>58</v>
      </c>
      <c r="F134" s="96"/>
      <c r="G134" s="97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441"/>
      <c r="V134" s="98"/>
      <c r="W134" s="98"/>
      <c r="X134" s="87"/>
      <c r="Z134" s="76"/>
      <c r="AA134" s="108"/>
      <c r="AB134" s="116"/>
      <c r="AC134" s="142"/>
      <c r="AD134" s="116"/>
      <c r="AE134" s="96"/>
      <c r="AF134" s="98"/>
      <c r="AG134" s="98"/>
      <c r="AH134" s="87"/>
      <c r="AI134" s="396"/>
      <c r="AJ134" s="165"/>
      <c r="AK134" s="116"/>
      <c r="AL134" s="396"/>
      <c r="AM134" s="98"/>
      <c r="AN134" s="440"/>
      <c r="AO134" s="103"/>
      <c r="AP134" s="104"/>
    </row>
    <row r="135" spans="1:42" ht="15.75">
      <c r="A135" s="113"/>
      <c r="B135" s="116"/>
      <c r="C135" s="98"/>
      <c r="D135" s="96"/>
      <c r="E135" s="96" t="s">
        <v>58</v>
      </c>
      <c r="F135" s="96"/>
      <c r="G135" s="97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441"/>
      <c r="V135" s="98"/>
      <c r="W135" s="98"/>
      <c r="X135" s="87"/>
      <c r="Z135" s="76"/>
      <c r="AA135" s="108"/>
      <c r="AB135" s="116"/>
      <c r="AC135" s="142"/>
      <c r="AD135" s="116"/>
      <c r="AE135" s="96"/>
      <c r="AF135" s="98"/>
      <c r="AG135" s="98"/>
      <c r="AH135" s="87"/>
      <c r="AI135" s="396"/>
      <c r="AJ135" s="165"/>
      <c r="AK135" s="116"/>
      <c r="AL135" s="396"/>
      <c r="AM135" s="98"/>
      <c r="AN135" s="440"/>
      <c r="AO135" s="103"/>
      <c r="AP135" s="104"/>
    </row>
    <row r="136" spans="1:42" ht="15.75">
      <c r="A136" s="113"/>
      <c r="B136" s="116"/>
      <c r="C136" s="98"/>
      <c r="D136" s="96"/>
      <c r="E136" s="96" t="s">
        <v>58</v>
      </c>
      <c r="F136" s="96"/>
      <c r="G136" s="97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441"/>
      <c r="V136" s="98"/>
      <c r="W136" s="98"/>
      <c r="X136" s="87"/>
      <c r="Z136" s="76"/>
      <c r="AA136" s="108"/>
      <c r="AB136" s="116"/>
      <c r="AC136" s="142"/>
      <c r="AD136" s="116"/>
      <c r="AE136" s="96"/>
      <c r="AF136" s="98"/>
      <c r="AG136" s="98"/>
      <c r="AH136" s="87"/>
      <c r="AI136" s="396"/>
      <c r="AJ136" s="165"/>
      <c r="AK136" s="116"/>
      <c r="AL136" s="396"/>
      <c r="AM136" s="98"/>
      <c r="AN136" s="440"/>
      <c r="AO136" s="103"/>
      <c r="AP136" s="104"/>
    </row>
    <row r="137" spans="1:42" ht="15.75">
      <c r="A137" s="113"/>
      <c r="B137" s="116"/>
      <c r="C137" s="98"/>
      <c r="D137" s="96"/>
      <c r="E137" s="96" t="s">
        <v>58</v>
      </c>
      <c r="F137" s="96"/>
      <c r="G137" s="97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441"/>
      <c r="V137" s="98"/>
      <c r="W137" s="98"/>
      <c r="X137" s="87"/>
      <c r="Z137" s="76"/>
      <c r="AA137" s="108"/>
      <c r="AB137" s="116"/>
      <c r="AC137" s="142"/>
      <c r="AD137" s="116"/>
      <c r="AE137" s="96"/>
      <c r="AF137" s="98"/>
      <c r="AG137" s="98"/>
      <c r="AH137" s="87"/>
      <c r="AI137" s="396"/>
      <c r="AJ137" s="165"/>
      <c r="AK137" s="116"/>
      <c r="AL137" s="396"/>
      <c r="AM137" s="98"/>
      <c r="AN137" s="440"/>
      <c r="AO137" s="103"/>
      <c r="AP137" s="104"/>
    </row>
    <row r="138" spans="1:42" ht="15.75">
      <c r="A138" s="113"/>
      <c r="B138" s="116"/>
      <c r="C138" s="98"/>
      <c r="D138" s="96"/>
      <c r="E138" s="96" t="s">
        <v>58</v>
      </c>
      <c r="F138" s="96"/>
      <c r="G138" s="97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441"/>
      <c r="V138" s="98"/>
      <c r="W138" s="98"/>
      <c r="X138" s="87"/>
      <c r="Z138" s="76"/>
      <c r="AA138" s="108"/>
      <c r="AB138" s="116"/>
      <c r="AC138" s="142"/>
      <c r="AD138" s="116"/>
      <c r="AE138" s="96"/>
      <c r="AF138" s="98"/>
      <c r="AG138" s="98"/>
      <c r="AH138" s="87"/>
      <c r="AI138" s="396"/>
      <c r="AJ138" s="165"/>
      <c r="AK138" s="116"/>
      <c r="AL138" s="396"/>
      <c r="AM138" s="98"/>
      <c r="AN138" s="440"/>
      <c r="AO138" s="103"/>
      <c r="AP138" s="104"/>
    </row>
    <row r="139" spans="1:42" ht="15.75">
      <c r="A139" s="113"/>
      <c r="B139" s="116"/>
      <c r="C139" s="98"/>
      <c r="D139" s="96"/>
      <c r="E139" s="96" t="s">
        <v>58</v>
      </c>
      <c r="F139" s="96"/>
      <c r="G139" s="97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441"/>
      <c r="V139" s="98"/>
      <c r="W139" s="98"/>
      <c r="X139" s="87"/>
      <c r="Z139" s="76"/>
      <c r="AA139" s="108"/>
      <c r="AB139" s="116"/>
      <c r="AC139" s="142"/>
      <c r="AD139" s="116"/>
      <c r="AE139" s="96"/>
      <c r="AF139" s="98"/>
      <c r="AG139" s="98"/>
      <c r="AH139" s="87"/>
      <c r="AI139" s="396"/>
      <c r="AJ139" s="165"/>
      <c r="AK139" s="116"/>
      <c r="AL139" s="396"/>
      <c r="AM139" s="98"/>
      <c r="AN139" s="440"/>
      <c r="AO139" s="103"/>
      <c r="AP139" s="104"/>
    </row>
    <row r="140" spans="1:42" ht="15.75">
      <c r="A140" s="113"/>
      <c r="B140" s="116"/>
      <c r="C140" s="98"/>
      <c r="D140" s="96"/>
      <c r="E140" s="96" t="s">
        <v>58</v>
      </c>
      <c r="F140" s="96"/>
      <c r="G140" s="97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441"/>
      <c r="V140" s="98"/>
      <c r="W140" s="98"/>
      <c r="X140" s="87"/>
      <c r="Z140" s="76"/>
      <c r="AA140" s="108"/>
      <c r="AB140" s="116"/>
      <c r="AC140" s="142"/>
      <c r="AD140" s="116"/>
      <c r="AE140" s="96"/>
      <c r="AF140" s="98"/>
      <c r="AG140" s="98"/>
      <c r="AH140" s="87"/>
      <c r="AI140" s="396"/>
      <c r="AJ140" s="165"/>
      <c r="AK140" s="116"/>
      <c r="AL140" s="396"/>
      <c r="AM140" s="98"/>
      <c r="AN140" s="440"/>
      <c r="AO140" s="103"/>
      <c r="AP140" s="104"/>
    </row>
    <row r="141" spans="1:42" ht="15.75">
      <c r="A141" s="113"/>
      <c r="B141" s="116"/>
      <c r="C141" s="98"/>
      <c r="D141" s="96"/>
      <c r="E141" s="96" t="s">
        <v>58</v>
      </c>
      <c r="F141" s="96"/>
      <c r="G141" s="97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441"/>
      <c r="V141" s="98"/>
      <c r="W141" s="98"/>
      <c r="X141" s="87"/>
      <c r="Z141" s="76"/>
      <c r="AA141" s="108"/>
      <c r="AB141" s="116"/>
      <c r="AC141" s="142"/>
      <c r="AD141" s="116"/>
      <c r="AE141" s="96"/>
      <c r="AF141" s="98"/>
      <c r="AG141" s="98"/>
      <c r="AH141" s="87"/>
      <c r="AI141" s="396"/>
      <c r="AJ141" s="165"/>
      <c r="AK141" s="116"/>
      <c r="AL141" s="396"/>
      <c r="AM141" s="98"/>
      <c r="AN141" s="440"/>
      <c r="AO141" s="103"/>
      <c r="AP141" s="104"/>
    </row>
    <row r="142" spans="1:42" ht="15.75">
      <c r="A142" s="113"/>
      <c r="B142" s="116"/>
      <c r="C142" s="98"/>
      <c r="D142" s="96"/>
      <c r="E142" s="96" t="s">
        <v>58</v>
      </c>
      <c r="F142" s="96"/>
      <c r="G142" s="97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441"/>
      <c r="V142" s="98"/>
      <c r="W142" s="98"/>
      <c r="X142" s="87"/>
      <c r="Z142" s="76"/>
      <c r="AA142" s="108"/>
      <c r="AB142" s="116"/>
      <c r="AC142" s="142"/>
      <c r="AD142" s="116"/>
      <c r="AE142" s="96"/>
      <c r="AF142" s="98"/>
      <c r="AG142" s="98"/>
      <c r="AH142" s="87"/>
      <c r="AI142" s="396"/>
      <c r="AJ142" s="165"/>
      <c r="AK142" s="116"/>
      <c r="AL142" s="396"/>
      <c r="AM142" s="98"/>
      <c r="AN142" s="440"/>
      <c r="AO142" s="103"/>
      <c r="AP142" s="104"/>
    </row>
    <row r="143" spans="1:42" ht="15.75">
      <c r="A143" s="113"/>
      <c r="B143" s="116"/>
      <c r="C143" s="98"/>
      <c r="D143" s="96"/>
      <c r="E143" s="96" t="s">
        <v>58</v>
      </c>
      <c r="F143" s="96"/>
      <c r="G143" s="97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441"/>
      <c r="V143" s="98"/>
      <c r="W143" s="98"/>
      <c r="X143" s="87"/>
      <c r="Z143" s="76"/>
      <c r="AA143" s="108"/>
      <c r="AB143" s="116"/>
      <c r="AC143" s="142"/>
      <c r="AD143" s="116"/>
      <c r="AE143" s="96"/>
      <c r="AF143" s="98"/>
      <c r="AG143" s="98"/>
      <c r="AH143" s="87"/>
      <c r="AI143" s="396"/>
      <c r="AJ143" s="165"/>
      <c r="AK143" s="116"/>
      <c r="AL143" s="396"/>
      <c r="AM143" s="98"/>
      <c r="AN143" s="440"/>
      <c r="AO143" s="103"/>
      <c r="AP143" s="104"/>
    </row>
    <row r="144" spans="1:42" ht="15.75">
      <c r="A144" s="113"/>
      <c r="B144" s="116"/>
      <c r="C144" s="98"/>
      <c r="D144" s="96"/>
      <c r="E144" s="96"/>
      <c r="F144" s="96"/>
      <c r="G144" s="97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441"/>
      <c r="V144" s="98"/>
      <c r="W144" s="98"/>
      <c r="X144" s="87"/>
      <c r="Z144" s="76"/>
      <c r="AA144" s="108"/>
      <c r="AB144" s="116"/>
      <c r="AC144" s="142"/>
      <c r="AD144" s="116"/>
      <c r="AE144" s="96"/>
      <c r="AF144" s="98"/>
      <c r="AG144" s="98"/>
      <c r="AH144" s="87"/>
      <c r="AI144" s="396"/>
      <c r="AJ144" s="165"/>
      <c r="AK144" s="116"/>
      <c r="AL144" s="396"/>
      <c r="AM144" s="98"/>
      <c r="AN144" s="440"/>
      <c r="AO144" s="103"/>
      <c r="AP144" s="104"/>
    </row>
    <row r="145" spans="1:42" ht="15.75">
      <c r="A145" s="113"/>
      <c r="B145" s="116"/>
      <c r="C145" s="98"/>
      <c r="D145" s="96"/>
      <c r="E145" s="96"/>
      <c r="F145" s="96"/>
      <c r="G145" s="97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441"/>
      <c r="V145" s="98"/>
      <c r="W145" s="98"/>
      <c r="X145" s="87"/>
      <c r="Z145" s="76"/>
      <c r="AA145" s="108"/>
      <c r="AB145" s="116"/>
      <c r="AC145" s="142"/>
      <c r="AD145" s="116"/>
      <c r="AE145" s="96"/>
      <c r="AF145" s="98"/>
      <c r="AG145" s="98"/>
      <c r="AH145" s="87"/>
      <c r="AI145" s="396"/>
      <c r="AJ145" s="165"/>
      <c r="AK145" s="116"/>
      <c r="AL145" s="396"/>
      <c r="AM145" s="98"/>
      <c r="AN145" s="440"/>
      <c r="AO145" s="103"/>
      <c r="AP145" s="104"/>
    </row>
    <row r="146" spans="1:42" ht="15.75">
      <c r="A146" s="113"/>
      <c r="B146" s="116"/>
      <c r="C146" s="98"/>
      <c r="D146" s="96"/>
      <c r="E146" s="96"/>
      <c r="F146" s="96"/>
      <c r="G146" s="97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441"/>
      <c r="V146" s="98"/>
      <c r="W146" s="98"/>
      <c r="X146" s="87"/>
      <c r="Z146" s="76"/>
      <c r="AA146" s="108"/>
      <c r="AB146" s="116"/>
      <c r="AC146" s="142"/>
      <c r="AD146" s="116"/>
      <c r="AE146" s="96"/>
      <c r="AF146" s="98"/>
      <c r="AG146" s="98"/>
      <c r="AH146" s="87"/>
      <c r="AI146" s="396"/>
      <c r="AJ146" s="165"/>
      <c r="AK146" s="116"/>
      <c r="AL146" s="396"/>
      <c r="AM146" s="98"/>
      <c r="AN146" s="440"/>
      <c r="AO146" s="103"/>
      <c r="AP146" s="104"/>
    </row>
    <row r="147" spans="1:42" ht="15.75">
      <c r="A147" s="113"/>
      <c r="B147" s="116"/>
      <c r="C147" s="98"/>
      <c r="D147" s="96"/>
      <c r="E147" s="96"/>
      <c r="F147" s="96"/>
      <c r="G147" s="97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441"/>
      <c r="V147" s="98"/>
      <c r="W147" s="98"/>
      <c r="X147" s="87"/>
      <c r="Z147" s="76"/>
      <c r="AA147" s="108"/>
      <c r="AB147" s="116"/>
      <c r="AC147" s="142"/>
      <c r="AD147" s="116"/>
      <c r="AE147" s="96"/>
      <c r="AF147" s="98"/>
      <c r="AG147" s="98"/>
      <c r="AH147" s="87"/>
      <c r="AI147" s="396"/>
      <c r="AJ147" s="165"/>
      <c r="AK147" s="116"/>
      <c r="AL147" s="396"/>
      <c r="AM147" s="98"/>
      <c r="AN147" s="440"/>
      <c r="AO147" s="103"/>
      <c r="AP147" s="104"/>
    </row>
    <row r="148" spans="1:42" ht="15.75">
      <c r="A148" s="113"/>
      <c r="B148" s="116"/>
      <c r="C148" s="98"/>
      <c r="D148" s="96"/>
      <c r="E148" s="96"/>
      <c r="F148" s="96"/>
      <c r="G148" s="97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441"/>
      <c r="V148" s="98"/>
      <c r="W148" s="98"/>
      <c r="X148" s="87"/>
      <c r="Z148" s="76"/>
      <c r="AA148" s="108"/>
      <c r="AB148" s="116"/>
      <c r="AC148" s="142"/>
      <c r="AD148" s="116"/>
      <c r="AE148" s="96"/>
      <c r="AF148" s="98"/>
      <c r="AG148" s="98"/>
      <c r="AH148" s="87"/>
      <c r="AI148" s="396"/>
      <c r="AJ148" s="165"/>
      <c r="AK148" s="116"/>
      <c r="AL148" s="396"/>
      <c r="AM148" s="98"/>
      <c r="AN148" s="440"/>
      <c r="AO148" s="103"/>
      <c r="AP148" s="104"/>
    </row>
    <row r="149" spans="1:42" ht="15.75">
      <c r="A149" s="113"/>
      <c r="B149" s="116"/>
      <c r="C149" s="98"/>
      <c r="D149" s="96"/>
      <c r="E149" s="96"/>
      <c r="F149" s="96"/>
      <c r="G149" s="97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441"/>
      <c r="V149" s="98"/>
      <c r="W149" s="98"/>
      <c r="X149" s="87"/>
      <c r="Z149" s="76"/>
      <c r="AA149" s="108"/>
      <c r="AB149" s="116"/>
      <c r="AC149" s="142"/>
      <c r="AD149" s="116"/>
      <c r="AE149" s="96"/>
      <c r="AF149" s="98"/>
      <c r="AG149" s="98"/>
      <c r="AH149" s="87"/>
      <c r="AI149" s="396"/>
      <c r="AJ149" s="165"/>
      <c r="AK149" s="116"/>
      <c r="AL149" s="396"/>
      <c r="AM149" s="98"/>
      <c r="AN149" s="440"/>
      <c r="AO149" s="103"/>
      <c r="AP149" s="104"/>
    </row>
    <row r="150" spans="1:42" ht="15.75">
      <c r="A150" s="113"/>
      <c r="B150" s="116"/>
      <c r="C150" s="98"/>
      <c r="D150" s="96"/>
      <c r="E150" s="96"/>
      <c r="F150" s="96"/>
      <c r="G150" s="97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441"/>
      <c r="V150" s="98"/>
      <c r="W150" s="98"/>
      <c r="X150" s="87"/>
      <c r="Z150" s="76"/>
      <c r="AA150" s="108"/>
      <c r="AB150" s="116"/>
      <c r="AC150" s="142"/>
      <c r="AD150" s="116"/>
      <c r="AE150" s="96"/>
      <c r="AF150" s="98"/>
      <c r="AG150" s="98"/>
      <c r="AH150" s="87"/>
      <c r="AI150" s="396"/>
      <c r="AJ150" s="165"/>
      <c r="AK150" s="116"/>
      <c r="AL150" s="396"/>
      <c r="AM150" s="98"/>
      <c r="AN150" s="440"/>
      <c r="AO150" s="103"/>
      <c r="AP150" s="104"/>
    </row>
    <row r="151" spans="1:42" ht="15.75">
      <c r="A151" s="113"/>
      <c r="B151" s="116"/>
      <c r="C151" s="98"/>
      <c r="D151" s="96"/>
      <c r="E151" s="96"/>
      <c r="F151" s="96"/>
      <c r="G151" s="97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441"/>
      <c r="V151" s="98"/>
      <c r="W151" s="98"/>
      <c r="X151" s="87"/>
      <c r="Z151" s="76"/>
      <c r="AA151" s="108"/>
      <c r="AB151" s="116"/>
      <c r="AC151" s="142"/>
      <c r="AD151" s="116"/>
      <c r="AE151" s="96"/>
      <c r="AF151" s="98"/>
      <c r="AG151" s="98"/>
      <c r="AH151" s="87"/>
      <c r="AI151" s="396"/>
      <c r="AJ151" s="165"/>
      <c r="AK151" s="116"/>
      <c r="AL151" s="396"/>
      <c r="AM151" s="98"/>
      <c r="AN151" s="440"/>
      <c r="AO151" s="103"/>
      <c r="AP151" s="104"/>
    </row>
    <row r="152" spans="1:42" ht="15.75">
      <c r="A152" s="113"/>
      <c r="B152" s="116"/>
      <c r="C152" s="98"/>
      <c r="D152" s="96"/>
      <c r="E152" s="96"/>
      <c r="F152" s="96"/>
      <c r="G152" s="97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441"/>
      <c r="V152" s="98"/>
      <c r="W152" s="98"/>
      <c r="X152" s="87"/>
      <c r="Z152" s="76"/>
      <c r="AA152" s="108"/>
      <c r="AB152" s="116"/>
      <c r="AC152" s="142"/>
      <c r="AD152" s="116"/>
      <c r="AE152" s="96"/>
      <c r="AF152" s="98"/>
      <c r="AG152" s="98"/>
      <c r="AH152" s="87"/>
      <c r="AI152" s="396"/>
      <c r="AJ152" s="165"/>
      <c r="AK152" s="116"/>
      <c r="AL152" s="396"/>
      <c r="AM152" s="98"/>
      <c r="AN152" s="440"/>
      <c r="AO152" s="103"/>
      <c r="AP152" s="104"/>
    </row>
    <row r="153" spans="1:42" ht="15.75">
      <c r="A153" s="113"/>
      <c r="B153" s="116"/>
      <c r="C153" s="98"/>
      <c r="D153" s="96"/>
      <c r="E153" s="96"/>
      <c r="F153" s="96"/>
      <c r="G153" s="97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441"/>
      <c r="V153" s="98"/>
      <c r="W153" s="98"/>
      <c r="X153" s="87"/>
      <c r="Z153" s="76"/>
      <c r="AA153" s="108"/>
      <c r="AB153" s="116"/>
      <c r="AC153" s="142"/>
      <c r="AD153" s="116"/>
      <c r="AE153" s="96"/>
      <c r="AF153" s="98"/>
      <c r="AG153" s="98"/>
      <c r="AH153" s="87"/>
      <c r="AI153" s="396"/>
      <c r="AJ153" s="165"/>
      <c r="AK153" s="116"/>
      <c r="AL153" s="396"/>
      <c r="AM153" s="98"/>
      <c r="AN153" s="440"/>
      <c r="AO153" s="103"/>
      <c r="AP153" s="104"/>
    </row>
    <row r="154" spans="1:42" ht="15.75">
      <c r="A154" s="113"/>
      <c r="B154" s="116"/>
      <c r="C154" s="98"/>
      <c r="D154" s="96"/>
      <c r="E154" s="96"/>
      <c r="F154" s="96"/>
      <c r="G154" s="97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441"/>
      <c r="V154" s="98"/>
      <c r="W154" s="98"/>
      <c r="X154" s="87"/>
      <c r="Z154" s="76"/>
      <c r="AA154" s="108"/>
      <c r="AB154" s="116"/>
      <c r="AC154" s="142"/>
      <c r="AD154" s="116"/>
      <c r="AE154" s="96"/>
      <c r="AF154" s="98"/>
      <c r="AG154" s="98"/>
      <c r="AH154" s="87"/>
      <c r="AI154" s="396"/>
      <c r="AJ154" s="165"/>
      <c r="AK154" s="116"/>
      <c r="AL154" s="396"/>
      <c r="AM154" s="98"/>
      <c r="AN154" s="440"/>
      <c r="AO154" s="103"/>
      <c r="AP154" s="104"/>
    </row>
    <row r="155" spans="1:42" ht="15.75">
      <c r="A155" s="113"/>
      <c r="B155" s="116"/>
      <c r="C155" s="98"/>
      <c r="D155" s="96"/>
      <c r="E155" s="96"/>
      <c r="F155" s="96"/>
      <c r="G155" s="97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441"/>
      <c r="V155" s="98"/>
      <c r="W155" s="98"/>
      <c r="X155" s="87"/>
      <c r="Z155" s="76"/>
      <c r="AA155" s="108"/>
      <c r="AB155" s="116"/>
      <c r="AC155" s="142"/>
      <c r="AD155" s="116"/>
      <c r="AE155" s="96"/>
      <c r="AF155" s="98"/>
      <c r="AG155" s="98"/>
      <c r="AH155" s="87"/>
      <c r="AI155" s="396"/>
      <c r="AJ155" s="165"/>
      <c r="AK155" s="116"/>
      <c r="AL155" s="396"/>
      <c r="AM155" s="98"/>
      <c r="AN155" s="440"/>
      <c r="AO155" s="103"/>
      <c r="AP155" s="104"/>
    </row>
    <row r="156" spans="1:42" ht="15.75">
      <c r="A156" s="113"/>
      <c r="B156" s="116"/>
      <c r="C156" s="98"/>
      <c r="D156" s="96"/>
      <c r="E156" s="96"/>
      <c r="F156" s="96"/>
      <c r="G156" s="97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441"/>
      <c r="V156" s="98"/>
      <c r="W156" s="98"/>
      <c r="X156" s="87"/>
      <c r="Z156" s="76"/>
      <c r="AA156" s="108"/>
      <c r="AB156" s="116"/>
      <c r="AC156" s="142"/>
      <c r="AD156" s="116"/>
      <c r="AE156" s="96"/>
      <c r="AF156" s="98"/>
      <c r="AG156" s="98"/>
      <c r="AH156" s="87"/>
      <c r="AI156" s="396"/>
      <c r="AJ156" s="165"/>
      <c r="AK156" s="116"/>
      <c r="AL156" s="396"/>
      <c r="AM156" s="98"/>
      <c r="AN156" s="440"/>
      <c r="AO156" s="103"/>
      <c r="AP156" s="104"/>
    </row>
    <row r="157" spans="1:42" ht="15.75">
      <c r="A157" s="113"/>
      <c r="B157" s="116"/>
      <c r="C157" s="98"/>
      <c r="D157" s="96"/>
      <c r="E157" s="96"/>
      <c r="F157" s="96"/>
      <c r="G157" s="97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441"/>
      <c r="V157" s="98"/>
      <c r="W157" s="98"/>
      <c r="X157" s="87"/>
      <c r="Z157" s="76"/>
      <c r="AA157" s="108"/>
      <c r="AB157" s="116"/>
      <c r="AC157" s="142"/>
      <c r="AD157" s="116"/>
      <c r="AE157" s="96"/>
      <c r="AF157" s="98"/>
      <c r="AG157" s="98"/>
      <c r="AH157" s="87"/>
      <c r="AI157" s="396"/>
      <c r="AJ157" s="165"/>
      <c r="AK157" s="116"/>
      <c r="AL157" s="396"/>
      <c r="AM157" s="98"/>
      <c r="AN157" s="440"/>
      <c r="AO157" s="103"/>
      <c r="AP157" s="104"/>
    </row>
    <row r="158" spans="1:42" ht="15.75">
      <c r="A158" s="113"/>
      <c r="B158" s="116"/>
      <c r="C158" s="98"/>
      <c r="D158" s="96"/>
      <c r="E158" s="96"/>
      <c r="F158" s="96"/>
      <c r="G158" s="97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441"/>
      <c r="V158" s="98"/>
      <c r="W158" s="98"/>
      <c r="X158" s="87"/>
      <c r="Z158" s="76"/>
      <c r="AA158" s="108"/>
      <c r="AB158" s="116"/>
      <c r="AC158" s="142"/>
      <c r="AD158" s="116"/>
      <c r="AE158" s="96"/>
      <c r="AF158" s="98"/>
      <c r="AG158" s="98"/>
      <c r="AH158" s="87"/>
      <c r="AI158" s="396"/>
      <c r="AJ158" s="165"/>
      <c r="AK158" s="116"/>
      <c r="AL158" s="396"/>
      <c r="AM158" s="98"/>
      <c r="AN158" s="440"/>
      <c r="AO158" s="103"/>
      <c r="AP158" s="104"/>
    </row>
    <row r="159" spans="1:42" ht="15.75">
      <c r="A159" s="113"/>
      <c r="B159" s="116"/>
      <c r="C159" s="98"/>
      <c r="D159" s="96"/>
      <c r="E159" s="96"/>
      <c r="F159" s="96"/>
      <c r="G159" s="97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441"/>
      <c r="V159" s="98"/>
      <c r="W159" s="98"/>
      <c r="X159" s="87"/>
      <c r="Z159" s="76"/>
      <c r="AA159" s="108"/>
      <c r="AB159" s="116"/>
      <c r="AC159" s="142"/>
      <c r="AD159" s="116"/>
      <c r="AE159" s="96"/>
      <c r="AF159" s="98"/>
      <c r="AG159" s="98"/>
      <c r="AH159" s="87"/>
      <c r="AI159" s="396"/>
      <c r="AJ159" s="165"/>
      <c r="AK159" s="116"/>
      <c r="AL159" s="396"/>
      <c r="AM159" s="98"/>
      <c r="AN159" s="440"/>
      <c r="AO159" s="103"/>
      <c r="AP159" s="104"/>
    </row>
    <row r="160" spans="1:42" ht="15.75">
      <c r="A160" s="113"/>
      <c r="B160" s="116"/>
      <c r="C160" s="98"/>
      <c r="D160" s="96"/>
      <c r="E160" s="96"/>
      <c r="F160" s="96"/>
      <c r="G160" s="97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441"/>
      <c r="V160" s="98"/>
      <c r="W160" s="98"/>
      <c r="X160" s="87"/>
      <c r="Z160" s="76"/>
      <c r="AA160" s="108"/>
      <c r="AB160" s="116"/>
      <c r="AC160" s="142"/>
      <c r="AD160" s="116"/>
      <c r="AE160" s="96"/>
      <c r="AF160" s="98"/>
      <c r="AG160" s="98"/>
      <c r="AH160" s="87"/>
      <c r="AI160" s="396"/>
      <c r="AJ160" s="165"/>
      <c r="AK160" s="116"/>
      <c r="AL160" s="396"/>
      <c r="AM160" s="98"/>
      <c r="AN160" s="440"/>
      <c r="AO160" s="103"/>
      <c r="AP160" s="104"/>
    </row>
    <row r="161" spans="1:42" ht="15.75">
      <c r="A161" s="113"/>
      <c r="B161" s="116"/>
      <c r="C161" s="98"/>
      <c r="D161" s="96"/>
      <c r="E161" s="96"/>
      <c r="F161" s="96"/>
      <c r="G161" s="97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441"/>
      <c r="V161" s="98"/>
      <c r="W161" s="98"/>
      <c r="X161" s="87"/>
      <c r="Z161" s="76"/>
      <c r="AA161" s="108"/>
      <c r="AB161" s="116"/>
      <c r="AC161" s="142"/>
      <c r="AD161" s="116"/>
      <c r="AE161" s="96"/>
      <c r="AF161" s="98"/>
      <c r="AG161" s="98"/>
      <c r="AH161" s="87"/>
      <c r="AI161" s="396"/>
      <c r="AJ161" s="165"/>
      <c r="AK161" s="116"/>
      <c r="AL161" s="396"/>
      <c r="AM161" s="98"/>
      <c r="AN161" s="440"/>
      <c r="AO161" s="103"/>
      <c r="AP161" s="104"/>
    </row>
    <row r="162" spans="1:42" ht="15.75">
      <c r="A162" s="113"/>
      <c r="B162" s="116"/>
      <c r="C162" s="98"/>
      <c r="D162" s="96"/>
      <c r="E162" s="96"/>
      <c r="F162" s="96"/>
      <c r="G162" s="97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441"/>
      <c r="V162" s="98"/>
      <c r="W162" s="98"/>
      <c r="X162" s="87"/>
      <c r="Z162" s="76"/>
      <c r="AA162" s="108"/>
      <c r="AB162" s="116"/>
      <c r="AC162" s="142"/>
      <c r="AD162" s="116"/>
      <c r="AE162" s="96"/>
      <c r="AF162" s="98"/>
      <c r="AG162" s="98"/>
      <c r="AH162" s="87"/>
      <c r="AI162" s="396"/>
      <c r="AJ162" s="165"/>
      <c r="AK162" s="116"/>
      <c r="AL162" s="396"/>
      <c r="AM162" s="98"/>
      <c r="AN162" s="440"/>
      <c r="AO162" s="103"/>
      <c r="AP162" s="104"/>
    </row>
    <row r="163" spans="1:42" ht="15.75">
      <c r="A163" s="113"/>
      <c r="B163" s="116"/>
      <c r="C163" s="98"/>
      <c r="D163" s="96"/>
      <c r="E163" s="96"/>
      <c r="F163" s="96"/>
      <c r="G163" s="97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441"/>
      <c r="V163" s="98"/>
      <c r="W163" s="98"/>
      <c r="X163" s="87"/>
      <c r="Z163" s="76"/>
      <c r="AA163" s="108"/>
      <c r="AB163" s="116"/>
      <c r="AC163" s="142"/>
      <c r="AD163" s="116"/>
      <c r="AE163" s="96"/>
      <c r="AF163" s="98"/>
      <c r="AG163" s="98"/>
      <c r="AH163" s="87"/>
      <c r="AI163" s="396"/>
      <c r="AJ163" s="165"/>
      <c r="AK163" s="116"/>
      <c r="AL163" s="396"/>
      <c r="AM163" s="98"/>
      <c r="AN163" s="440"/>
      <c r="AO163" s="103"/>
      <c r="AP163" s="104"/>
    </row>
    <row r="164" spans="1:42" ht="15.75">
      <c r="A164" s="113"/>
      <c r="B164" s="116"/>
      <c r="C164" s="98"/>
      <c r="D164" s="96"/>
      <c r="E164" s="96"/>
      <c r="F164" s="96"/>
      <c r="G164" s="97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441"/>
      <c r="V164" s="98"/>
      <c r="W164" s="98"/>
      <c r="X164" s="87"/>
      <c r="Z164" s="76"/>
      <c r="AA164" s="108"/>
      <c r="AB164" s="116"/>
      <c r="AC164" s="142"/>
      <c r="AD164" s="116"/>
      <c r="AE164" s="96"/>
      <c r="AF164" s="98"/>
      <c r="AG164" s="98"/>
      <c r="AH164" s="87"/>
      <c r="AI164" s="396"/>
      <c r="AJ164" s="165"/>
      <c r="AK164" s="116"/>
      <c r="AL164" s="396"/>
      <c r="AM164" s="98"/>
      <c r="AN164" s="440"/>
      <c r="AO164" s="103"/>
      <c r="AP164" s="104"/>
    </row>
    <row r="165" spans="1:42" ht="15.75">
      <c r="A165" s="113"/>
      <c r="B165" s="116"/>
      <c r="C165" s="98"/>
      <c r="D165" s="96"/>
      <c r="E165" s="96"/>
      <c r="F165" s="96"/>
      <c r="G165" s="97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441"/>
      <c r="V165" s="98"/>
      <c r="W165" s="98"/>
      <c r="X165" s="87"/>
      <c r="Z165" s="76"/>
      <c r="AA165" s="108"/>
      <c r="AB165" s="116"/>
      <c r="AC165" s="142"/>
      <c r="AD165" s="116"/>
      <c r="AE165" s="96"/>
      <c r="AF165" s="98"/>
      <c r="AG165" s="98"/>
      <c r="AH165" s="87"/>
      <c r="AI165" s="396"/>
      <c r="AJ165" s="165"/>
      <c r="AK165" s="116"/>
      <c r="AL165" s="396"/>
      <c r="AM165" s="98"/>
      <c r="AN165" s="440"/>
      <c r="AO165" s="103"/>
      <c r="AP165" s="104"/>
    </row>
    <row r="166" spans="1:42" ht="15.75">
      <c r="A166" s="113"/>
      <c r="B166" s="116"/>
      <c r="C166" s="98"/>
      <c r="D166" s="96"/>
      <c r="E166" s="96"/>
      <c r="F166" s="96"/>
      <c r="G166" s="97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441"/>
      <c r="V166" s="98"/>
      <c r="W166" s="98"/>
      <c r="X166" s="87"/>
      <c r="Z166" s="76"/>
      <c r="AA166" s="108"/>
      <c r="AB166" s="116"/>
      <c r="AC166" s="142"/>
      <c r="AD166" s="116"/>
      <c r="AE166" s="96"/>
      <c r="AF166" s="98"/>
      <c r="AG166" s="98"/>
      <c r="AH166" s="87"/>
      <c r="AI166" s="396"/>
      <c r="AJ166" s="165"/>
      <c r="AK166" s="116"/>
      <c r="AL166" s="396"/>
      <c r="AM166" s="98"/>
      <c r="AN166" s="440"/>
      <c r="AO166" s="103"/>
      <c r="AP166" s="104"/>
    </row>
    <row r="167" spans="1:42" ht="15.75">
      <c r="A167" s="113"/>
      <c r="B167" s="116"/>
      <c r="C167" s="98"/>
      <c r="D167" s="96"/>
      <c r="E167" s="96"/>
      <c r="F167" s="96"/>
      <c r="G167" s="97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441"/>
      <c r="V167" s="98"/>
      <c r="W167" s="98"/>
      <c r="X167" s="87"/>
      <c r="Z167" s="76"/>
      <c r="AA167" s="108"/>
      <c r="AB167" s="116"/>
      <c r="AC167" s="142"/>
      <c r="AD167" s="116"/>
      <c r="AE167" s="96"/>
      <c r="AF167" s="98"/>
      <c r="AG167" s="98"/>
      <c r="AH167" s="87"/>
      <c r="AI167" s="396"/>
      <c r="AJ167" s="165"/>
      <c r="AK167" s="116"/>
      <c r="AL167" s="396"/>
      <c r="AM167" s="98"/>
      <c r="AN167" s="440"/>
      <c r="AO167" s="103"/>
      <c r="AP167" s="104"/>
    </row>
    <row r="168" spans="1:42" ht="15.75">
      <c r="A168" s="113"/>
      <c r="B168" s="116"/>
      <c r="C168" s="98"/>
      <c r="D168" s="96"/>
      <c r="E168" s="96"/>
      <c r="F168" s="96"/>
      <c r="G168" s="97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441"/>
      <c r="V168" s="98"/>
      <c r="W168" s="98"/>
      <c r="X168" s="87"/>
      <c r="Z168" s="76"/>
      <c r="AA168" s="108"/>
      <c r="AB168" s="116"/>
      <c r="AC168" s="142"/>
      <c r="AD168" s="116"/>
      <c r="AE168" s="96"/>
      <c r="AF168" s="98"/>
      <c r="AG168" s="98"/>
      <c r="AH168" s="87"/>
      <c r="AI168" s="396"/>
      <c r="AJ168" s="165"/>
      <c r="AK168" s="116"/>
      <c r="AL168" s="396"/>
      <c r="AM168" s="98"/>
      <c r="AN168" s="440"/>
      <c r="AO168" s="103"/>
      <c r="AP168" s="104"/>
    </row>
    <row r="169" spans="1:42" ht="15.75">
      <c r="A169" s="113"/>
      <c r="B169" s="116"/>
      <c r="C169" s="98"/>
      <c r="D169" s="96"/>
      <c r="E169" s="96"/>
      <c r="F169" s="96"/>
      <c r="G169" s="97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441"/>
      <c r="V169" s="98"/>
      <c r="W169" s="98"/>
      <c r="X169" s="87"/>
      <c r="Z169" s="76"/>
      <c r="AA169" s="108"/>
      <c r="AB169" s="116"/>
      <c r="AC169" s="142"/>
      <c r="AD169" s="116"/>
      <c r="AE169" s="96"/>
      <c r="AF169" s="98"/>
      <c r="AG169" s="98"/>
      <c r="AH169" s="87"/>
      <c r="AI169" s="396"/>
      <c r="AJ169" s="165"/>
      <c r="AK169" s="116"/>
      <c r="AL169" s="396"/>
      <c r="AM169" s="98"/>
      <c r="AN169" s="440"/>
      <c r="AO169" s="103"/>
      <c r="AP169" s="104"/>
    </row>
    <row r="170" spans="1:42" ht="15.75">
      <c r="A170" s="113"/>
      <c r="B170" s="116"/>
      <c r="C170" s="98"/>
      <c r="D170" s="96"/>
      <c r="E170" s="96"/>
      <c r="F170" s="96"/>
      <c r="G170" s="97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441"/>
      <c r="V170" s="98"/>
      <c r="W170" s="98"/>
      <c r="X170" s="87"/>
      <c r="Z170" s="76"/>
      <c r="AA170" s="108"/>
      <c r="AB170" s="116"/>
      <c r="AC170" s="142"/>
      <c r="AD170" s="116"/>
      <c r="AE170" s="96"/>
      <c r="AF170" s="98"/>
      <c r="AG170" s="98"/>
      <c r="AH170" s="87"/>
      <c r="AI170" s="396"/>
      <c r="AJ170" s="165"/>
      <c r="AK170" s="116"/>
      <c r="AL170" s="396"/>
      <c r="AM170" s="98"/>
      <c r="AN170" s="440"/>
      <c r="AO170" s="103"/>
      <c r="AP170" s="104"/>
    </row>
    <row r="171" spans="1:42" ht="15.75">
      <c r="A171" s="113"/>
      <c r="B171" s="116"/>
      <c r="C171" s="98"/>
      <c r="D171" s="96"/>
      <c r="E171" s="96"/>
      <c r="F171" s="96"/>
      <c r="G171" s="97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441"/>
      <c r="V171" s="98"/>
      <c r="W171" s="98"/>
      <c r="X171" s="87"/>
      <c r="Z171" s="76"/>
      <c r="AA171" s="108"/>
      <c r="AB171" s="116"/>
      <c r="AC171" s="142"/>
      <c r="AD171" s="116"/>
      <c r="AE171" s="96"/>
      <c r="AF171" s="98"/>
      <c r="AG171" s="98"/>
      <c r="AH171" s="87"/>
      <c r="AI171" s="396"/>
      <c r="AJ171" s="165"/>
      <c r="AK171" s="116"/>
      <c r="AL171" s="396"/>
      <c r="AM171" s="98"/>
      <c r="AN171" s="440"/>
      <c r="AO171" s="103"/>
      <c r="AP171" s="104"/>
    </row>
    <row r="172" spans="1:42" ht="15.75">
      <c r="A172" s="113"/>
      <c r="B172" s="116"/>
      <c r="C172" s="98"/>
      <c r="D172" s="96"/>
      <c r="E172" s="96"/>
      <c r="F172" s="96"/>
      <c r="G172" s="97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441"/>
      <c r="V172" s="98"/>
      <c r="W172" s="98"/>
      <c r="X172" s="87"/>
      <c r="Z172" s="76"/>
      <c r="AA172" s="108"/>
      <c r="AB172" s="116"/>
      <c r="AC172" s="142"/>
      <c r="AD172" s="116"/>
      <c r="AE172" s="96"/>
      <c r="AF172" s="98"/>
      <c r="AG172" s="98"/>
      <c r="AH172" s="87"/>
      <c r="AI172" s="396"/>
      <c r="AJ172" s="165"/>
      <c r="AK172" s="116"/>
      <c r="AL172" s="396"/>
      <c r="AM172" s="98"/>
      <c r="AN172" s="440"/>
      <c r="AO172" s="103"/>
      <c r="AP172" s="104"/>
    </row>
    <row r="173" spans="1:42" ht="15.75">
      <c r="A173" s="113"/>
      <c r="B173" s="116"/>
      <c r="C173" s="98"/>
      <c r="D173" s="96"/>
      <c r="E173" s="96"/>
      <c r="F173" s="96"/>
      <c r="G173" s="97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441"/>
      <c r="V173" s="98"/>
      <c r="W173" s="98"/>
      <c r="X173" s="87"/>
      <c r="Z173" s="76"/>
      <c r="AA173" s="108"/>
      <c r="AB173" s="116"/>
      <c r="AC173" s="142"/>
      <c r="AD173" s="116"/>
      <c r="AE173" s="96"/>
      <c r="AF173" s="98"/>
      <c r="AG173" s="98"/>
      <c r="AH173" s="87"/>
      <c r="AI173" s="396"/>
      <c r="AJ173" s="165"/>
      <c r="AK173" s="116"/>
      <c r="AL173" s="396"/>
      <c r="AM173" s="98"/>
      <c r="AN173" s="440"/>
      <c r="AO173" s="103"/>
      <c r="AP173" s="104"/>
    </row>
    <row r="174" spans="1:42" ht="15.75">
      <c r="A174" s="113"/>
      <c r="B174" s="116"/>
      <c r="C174" s="98"/>
      <c r="D174" s="96"/>
      <c r="E174" s="96"/>
      <c r="F174" s="96"/>
      <c r="G174" s="97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441"/>
      <c r="V174" s="98"/>
      <c r="W174" s="98"/>
      <c r="X174" s="87"/>
      <c r="Z174" s="76"/>
      <c r="AA174" s="108"/>
      <c r="AB174" s="116"/>
      <c r="AC174" s="142"/>
      <c r="AD174" s="116"/>
      <c r="AE174" s="96"/>
      <c r="AF174" s="98"/>
      <c r="AG174" s="98"/>
      <c r="AH174" s="87"/>
      <c r="AI174" s="396"/>
      <c r="AJ174" s="165"/>
      <c r="AK174" s="116"/>
      <c r="AL174" s="396"/>
      <c r="AM174" s="98"/>
      <c r="AN174" s="440"/>
      <c r="AO174" s="103"/>
      <c r="AP174" s="104"/>
    </row>
    <row r="175" spans="1:42" ht="15.75">
      <c r="A175" s="113"/>
      <c r="B175" s="116"/>
      <c r="C175" s="98"/>
      <c r="D175" s="96"/>
      <c r="E175" s="96"/>
      <c r="F175" s="96"/>
      <c r="G175" s="97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441"/>
      <c r="V175" s="98"/>
      <c r="W175" s="98"/>
      <c r="X175" s="87"/>
      <c r="Z175" s="76"/>
      <c r="AA175" s="108"/>
      <c r="AB175" s="116"/>
      <c r="AC175" s="142"/>
      <c r="AD175" s="116"/>
      <c r="AE175" s="96"/>
      <c r="AF175" s="98"/>
      <c r="AG175" s="98"/>
      <c r="AH175" s="87"/>
      <c r="AI175" s="396"/>
      <c r="AJ175" s="165"/>
      <c r="AK175" s="116"/>
      <c r="AL175" s="396"/>
      <c r="AM175" s="98"/>
      <c r="AN175" s="440"/>
      <c r="AO175" s="103"/>
      <c r="AP175" s="104"/>
    </row>
    <row r="176" spans="1:42" ht="15.75">
      <c r="A176" s="113"/>
      <c r="B176" s="116"/>
      <c r="C176" s="98"/>
      <c r="D176" s="96"/>
      <c r="E176" s="96"/>
      <c r="F176" s="96"/>
      <c r="G176" s="97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441"/>
      <c r="V176" s="98"/>
      <c r="W176" s="98"/>
      <c r="X176" s="87"/>
      <c r="Z176" s="76"/>
      <c r="AA176" s="108"/>
      <c r="AB176" s="116"/>
      <c r="AC176" s="142"/>
      <c r="AD176" s="116"/>
      <c r="AE176" s="96"/>
      <c r="AF176" s="98"/>
      <c r="AG176" s="98"/>
      <c r="AH176" s="87"/>
      <c r="AI176" s="396"/>
      <c r="AJ176" s="165"/>
      <c r="AK176" s="116"/>
      <c r="AL176" s="396"/>
      <c r="AM176" s="98"/>
      <c r="AN176" s="440"/>
      <c r="AO176" s="103"/>
      <c r="AP176" s="104"/>
    </row>
    <row r="177" spans="1:42" ht="15.75">
      <c r="A177" s="113"/>
      <c r="B177" s="116"/>
      <c r="C177" s="98"/>
      <c r="D177" s="96"/>
      <c r="E177" s="96"/>
      <c r="F177" s="96"/>
      <c r="G177" s="97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441"/>
      <c r="V177" s="98"/>
      <c r="W177" s="98"/>
      <c r="X177" s="87"/>
      <c r="Z177" s="76"/>
      <c r="AA177" s="108"/>
      <c r="AB177" s="116"/>
      <c r="AC177" s="142"/>
      <c r="AD177" s="116"/>
      <c r="AE177" s="96"/>
      <c r="AF177" s="98"/>
      <c r="AG177" s="98"/>
      <c r="AH177" s="87"/>
      <c r="AI177" s="396"/>
      <c r="AJ177" s="165"/>
      <c r="AK177" s="116"/>
      <c r="AL177" s="396"/>
      <c r="AM177" s="98"/>
      <c r="AN177" s="440"/>
      <c r="AO177" s="103"/>
      <c r="AP177" s="104"/>
    </row>
    <row r="178" spans="1:42" ht="15.75">
      <c r="A178" s="113"/>
      <c r="B178" s="116"/>
      <c r="C178" s="98"/>
      <c r="D178" s="96"/>
      <c r="E178" s="96"/>
      <c r="F178" s="96"/>
      <c r="G178" s="97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441"/>
      <c r="V178" s="98"/>
      <c r="W178" s="98"/>
      <c r="X178" s="87"/>
      <c r="Z178" s="76"/>
      <c r="AA178" s="108"/>
      <c r="AB178" s="116"/>
      <c r="AC178" s="142"/>
      <c r="AD178" s="116"/>
      <c r="AE178" s="96"/>
      <c r="AF178" s="98"/>
      <c r="AG178" s="98"/>
      <c r="AH178" s="87"/>
      <c r="AI178" s="396"/>
      <c r="AJ178" s="165"/>
      <c r="AK178" s="116"/>
      <c r="AL178" s="396"/>
      <c r="AM178" s="98"/>
      <c r="AN178" s="440"/>
      <c r="AO178" s="103"/>
      <c r="AP178" s="104"/>
    </row>
    <row r="179" spans="1:42" ht="15.75">
      <c r="A179" s="113"/>
      <c r="B179" s="116"/>
      <c r="C179" s="98"/>
      <c r="D179" s="96"/>
      <c r="E179" s="96"/>
      <c r="F179" s="96"/>
      <c r="G179" s="97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441"/>
      <c r="V179" s="98"/>
      <c r="W179" s="98"/>
      <c r="X179" s="87"/>
      <c r="Z179" s="76"/>
      <c r="AA179" s="108"/>
      <c r="AB179" s="116"/>
      <c r="AC179" s="142"/>
      <c r="AD179" s="116"/>
      <c r="AE179" s="96"/>
      <c r="AF179" s="98"/>
      <c r="AG179" s="98"/>
      <c r="AH179" s="87"/>
      <c r="AI179" s="396"/>
      <c r="AJ179" s="165"/>
      <c r="AK179" s="116"/>
      <c r="AL179" s="396"/>
      <c r="AM179" s="98"/>
      <c r="AN179" s="440"/>
      <c r="AO179" s="103"/>
      <c r="AP179" s="104"/>
    </row>
    <row r="180" spans="1:42" ht="15.75">
      <c r="A180" s="113"/>
      <c r="B180" s="116"/>
      <c r="C180" s="98"/>
      <c r="D180" s="96"/>
      <c r="E180" s="96"/>
      <c r="F180" s="96"/>
      <c r="G180" s="97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441"/>
      <c r="V180" s="98"/>
      <c r="W180" s="98"/>
      <c r="X180" s="87"/>
      <c r="Z180" s="76"/>
      <c r="AA180" s="108"/>
      <c r="AB180" s="116"/>
      <c r="AC180" s="142"/>
      <c r="AD180" s="116"/>
      <c r="AE180" s="96"/>
      <c r="AF180" s="98"/>
      <c r="AG180" s="98"/>
      <c r="AH180" s="87"/>
      <c r="AI180" s="396"/>
      <c r="AJ180" s="165"/>
      <c r="AK180" s="116"/>
      <c r="AL180" s="396"/>
      <c r="AM180" s="98"/>
      <c r="AN180" s="440"/>
      <c r="AO180" s="103"/>
      <c r="AP180" s="104"/>
    </row>
    <row r="181" spans="1:42" ht="15.75">
      <c r="A181" s="113"/>
      <c r="B181" s="116"/>
      <c r="C181" s="98"/>
      <c r="D181" s="96"/>
      <c r="E181" s="96"/>
      <c r="F181" s="96"/>
      <c r="G181" s="97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441"/>
      <c r="V181" s="98"/>
      <c r="W181" s="98"/>
      <c r="X181" s="87"/>
      <c r="Z181" s="76"/>
      <c r="AA181" s="108"/>
      <c r="AB181" s="116"/>
      <c r="AC181" s="142"/>
      <c r="AD181" s="116"/>
      <c r="AE181" s="96"/>
      <c r="AF181" s="98"/>
      <c r="AG181" s="98"/>
      <c r="AH181" s="87"/>
      <c r="AI181" s="396"/>
      <c r="AJ181" s="165"/>
      <c r="AK181" s="116"/>
      <c r="AL181" s="396"/>
      <c r="AM181" s="98"/>
      <c r="AN181" s="440"/>
      <c r="AO181" s="103"/>
      <c r="AP181" s="104"/>
    </row>
    <row r="182" spans="1:42" ht="15.75">
      <c r="A182" s="113"/>
      <c r="B182" s="116"/>
      <c r="C182" s="98"/>
      <c r="D182" s="96"/>
      <c r="E182" s="96"/>
      <c r="F182" s="96"/>
      <c r="G182" s="97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441"/>
      <c r="V182" s="98"/>
      <c r="W182" s="98"/>
      <c r="X182" s="87"/>
      <c r="Z182" s="76"/>
      <c r="AA182" s="108"/>
      <c r="AB182" s="116"/>
      <c r="AC182" s="142"/>
      <c r="AD182" s="116"/>
      <c r="AE182" s="96"/>
      <c r="AF182" s="98"/>
      <c r="AG182" s="98"/>
      <c r="AH182" s="87"/>
      <c r="AI182" s="396"/>
      <c r="AJ182" s="165"/>
      <c r="AK182" s="116"/>
      <c r="AL182" s="396"/>
      <c r="AM182" s="98"/>
      <c r="AN182" s="440"/>
      <c r="AO182" s="103"/>
      <c r="AP182" s="104"/>
    </row>
    <row r="183" spans="1:42" ht="15.75">
      <c r="A183" s="113"/>
      <c r="B183" s="116"/>
      <c r="C183" s="98"/>
      <c r="D183" s="96"/>
      <c r="E183" s="96"/>
      <c r="F183" s="96"/>
      <c r="G183" s="97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441"/>
      <c r="V183" s="98"/>
      <c r="W183" s="98"/>
      <c r="X183" s="87"/>
      <c r="Z183" s="76"/>
      <c r="AA183" s="108"/>
      <c r="AB183" s="116"/>
      <c r="AC183" s="142"/>
      <c r="AD183" s="116"/>
      <c r="AE183" s="96"/>
      <c r="AF183" s="98"/>
      <c r="AG183" s="98"/>
      <c r="AH183" s="87"/>
      <c r="AI183" s="396"/>
      <c r="AJ183" s="165"/>
      <c r="AK183" s="116"/>
      <c r="AL183" s="396"/>
      <c r="AM183" s="98"/>
      <c r="AN183" s="440"/>
      <c r="AO183" s="103"/>
      <c r="AP183" s="104"/>
    </row>
    <row r="184" spans="1:42" ht="15.75">
      <c r="A184" s="113"/>
      <c r="B184" s="116"/>
      <c r="C184" s="98"/>
      <c r="D184" s="96"/>
      <c r="E184" s="96"/>
      <c r="F184" s="96"/>
      <c r="G184" s="97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441"/>
      <c r="V184" s="98"/>
      <c r="W184" s="98"/>
      <c r="X184" s="87"/>
      <c r="Z184" s="76"/>
      <c r="AA184" s="108"/>
      <c r="AB184" s="116"/>
      <c r="AC184" s="142"/>
      <c r="AD184" s="116"/>
      <c r="AE184" s="96"/>
      <c r="AF184" s="98"/>
      <c r="AG184" s="98"/>
      <c r="AH184" s="87"/>
      <c r="AI184" s="396"/>
      <c r="AJ184" s="165"/>
      <c r="AK184" s="116"/>
      <c r="AL184" s="396"/>
      <c r="AM184" s="98"/>
      <c r="AN184" s="440"/>
      <c r="AO184" s="103"/>
      <c r="AP184" s="104"/>
    </row>
    <row r="185" spans="1:42" ht="15.75">
      <c r="A185" s="113"/>
      <c r="B185" s="116"/>
      <c r="C185" s="98"/>
      <c r="D185" s="96"/>
      <c r="E185" s="96"/>
      <c r="F185" s="96"/>
      <c r="G185" s="97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441"/>
      <c r="V185" s="98"/>
      <c r="W185" s="98"/>
      <c r="X185" s="87"/>
      <c r="Z185" s="76"/>
      <c r="AA185" s="108"/>
      <c r="AB185" s="116"/>
      <c r="AC185" s="142"/>
      <c r="AD185" s="116"/>
      <c r="AE185" s="96"/>
      <c r="AF185" s="98"/>
      <c r="AG185" s="98"/>
      <c r="AH185" s="87"/>
      <c r="AI185" s="396"/>
      <c r="AJ185" s="165"/>
      <c r="AK185" s="116"/>
      <c r="AL185" s="396"/>
      <c r="AM185" s="98"/>
      <c r="AN185" s="440"/>
      <c r="AO185" s="103"/>
      <c r="AP185" s="104"/>
    </row>
    <row r="186" spans="1:42" ht="15.75">
      <c r="A186" s="113"/>
      <c r="B186" s="116"/>
      <c r="C186" s="98"/>
      <c r="D186" s="96"/>
      <c r="E186" s="96"/>
      <c r="F186" s="96"/>
      <c r="G186" s="97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441"/>
      <c r="V186" s="98"/>
      <c r="W186" s="98"/>
      <c r="X186" s="87"/>
      <c r="Z186" s="76"/>
      <c r="AA186" s="108"/>
      <c r="AB186" s="116"/>
      <c r="AC186" s="142"/>
      <c r="AD186" s="116"/>
      <c r="AE186" s="96"/>
      <c r="AF186" s="98"/>
      <c r="AG186" s="98"/>
      <c r="AH186" s="87"/>
      <c r="AI186" s="396"/>
      <c r="AJ186" s="165"/>
      <c r="AK186" s="116"/>
      <c r="AL186" s="396"/>
      <c r="AM186" s="98"/>
      <c r="AN186" s="440"/>
      <c r="AO186" s="103"/>
      <c r="AP186" s="104"/>
    </row>
    <row r="187" spans="1:42" ht="15.75">
      <c r="A187" s="113"/>
      <c r="B187" s="116"/>
      <c r="C187" s="98"/>
      <c r="D187" s="96"/>
      <c r="E187" s="96"/>
      <c r="F187" s="96"/>
      <c r="G187" s="97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441"/>
      <c r="V187" s="98"/>
      <c r="W187" s="98"/>
      <c r="X187" s="87"/>
      <c r="Z187" s="76"/>
      <c r="AA187" s="108"/>
      <c r="AB187" s="116"/>
      <c r="AC187" s="142"/>
      <c r="AD187" s="116"/>
      <c r="AE187" s="96"/>
      <c r="AF187" s="98"/>
      <c r="AG187" s="98"/>
      <c r="AH187" s="87"/>
      <c r="AI187" s="396"/>
      <c r="AJ187" s="165"/>
      <c r="AK187" s="116"/>
      <c r="AL187" s="396"/>
      <c r="AM187" s="98"/>
      <c r="AN187" s="440"/>
      <c r="AO187" s="103"/>
      <c r="AP187" s="104"/>
    </row>
    <row r="188" spans="1:42" ht="15.75">
      <c r="A188" s="113"/>
      <c r="B188" s="116"/>
      <c r="C188" s="98"/>
      <c r="D188" s="96"/>
      <c r="E188" s="96"/>
      <c r="F188" s="96"/>
      <c r="G188" s="97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441"/>
      <c r="V188" s="98"/>
      <c r="W188" s="98"/>
      <c r="X188" s="87"/>
      <c r="Z188" s="76"/>
      <c r="AA188" s="108"/>
      <c r="AB188" s="116"/>
      <c r="AC188" s="142"/>
      <c r="AD188" s="116"/>
      <c r="AE188" s="96"/>
      <c r="AF188" s="98"/>
      <c r="AG188" s="98"/>
      <c r="AH188" s="87"/>
      <c r="AI188" s="396"/>
      <c r="AJ188" s="165"/>
      <c r="AK188" s="116"/>
      <c r="AL188" s="396"/>
      <c r="AM188" s="98"/>
      <c r="AN188" s="440"/>
      <c r="AO188" s="103"/>
      <c r="AP188" s="104"/>
    </row>
    <row r="189" spans="1:42" ht="15.75">
      <c r="A189" s="113"/>
      <c r="B189" s="116"/>
      <c r="C189" s="98"/>
      <c r="D189" s="96"/>
      <c r="E189" s="96"/>
      <c r="F189" s="96"/>
      <c r="G189" s="97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441"/>
      <c r="V189" s="98"/>
      <c r="W189" s="98"/>
      <c r="X189" s="87"/>
      <c r="Z189" s="76"/>
      <c r="AA189" s="108"/>
      <c r="AB189" s="116"/>
      <c r="AC189" s="142"/>
      <c r="AD189" s="116"/>
      <c r="AE189" s="96"/>
      <c r="AF189" s="98"/>
      <c r="AG189" s="98"/>
      <c r="AH189" s="87"/>
      <c r="AI189" s="396"/>
      <c r="AJ189" s="165"/>
      <c r="AK189" s="116"/>
      <c r="AL189" s="396"/>
      <c r="AM189" s="98"/>
      <c r="AN189" s="440"/>
      <c r="AO189" s="103"/>
      <c r="AP189" s="104"/>
    </row>
    <row r="190" spans="1:42" ht="15.75">
      <c r="A190" s="113"/>
      <c r="B190" s="116"/>
      <c r="C190" s="98"/>
      <c r="D190" s="96"/>
      <c r="E190" s="96"/>
      <c r="F190" s="96"/>
      <c r="G190" s="97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441"/>
      <c r="V190" s="98"/>
      <c r="W190" s="98"/>
      <c r="X190" s="87"/>
      <c r="Z190" s="76"/>
      <c r="AA190" s="108"/>
      <c r="AB190" s="116"/>
      <c r="AC190" s="142"/>
      <c r="AD190" s="116"/>
      <c r="AE190" s="96"/>
      <c r="AF190" s="98"/>
      <c r="AG190" s="98"/>
      <c r="AH190" s="87"/>
      <c r="AI190" s="396"/>
      <c r="AJ190" s="165"/>
      <c r="AK190" s="116"/>
      <c r="AL190" s="396"/>
      <c r="AM190" s="98"/>
      <c r="AN190" s="440"/>
      <c r="AO190" s="103"/>
      <c r="AP190" s="104"/>
    </row>
    <row r="191" spans="1:42" ht="15.75">
      <c r="A191" s="113"/>
      <c r="B191" s="116"/>
      <c r="C191" s="98"/>
      <c r="D191" s="96"/>
      <c r="E191" s="96"/>
      <c r="F191" s="96"/>
      <c r="G191" s="97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441"/>
      <c r="V191" s="98"/>
      <c r="W191" s="98"/>
      <c r="X191" s="87"/>
      <c r="Z191" s="76"/>
      <c r="AA191" s="108"/>
      <c r="AB191" s="116"/>
      <c r="AC191" s="142"/>
      <c r="AD191" s="116"/>
      <c r="AE191" s="96"/>
      <c r="AF191" s="98"/>
      <c r="AG191" s="98"/>
      <c r="AH191" s="87"/>
      <c r="AI191" s="396"/>
      <c r="AJ191" s="165"/>
      <c r="AK191" s="116"/>
      <c r="AL191" s="396"/>
      <c r="AM191" s="98"/>
      <c r="AN191" s="440"/>
      <c r="AO191" s="103"/>
      <c r="AP191" s="104"/>
    </row>
    <row r="192" spans="1:42" ht="15.75">
      <c r="A192" s="113"/>
      <c r="B192" s="116"/>
      <c r="C192" s="98"/>
      <c r="D192" s="96"/>
      <c r="E192" s="96"/>
      <c r="F192" s="96"/>
      <c r="G192" s="97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441"/>
      <c r="V192" s="98"/>
      <c r="W192" s="98"/>
      <c r="X192" s="87"/>
      <c r="Z192" s="76"/>
      <c r="AA192" s="108"/>
      <c r="AB192" s="116"/>
      <c r="AC192" s="142"/>
      <c r="AD192" s="116"/>
      <c r="AE192" s="96"/>
      <c r="AF192" s="98"/>
      <c r="AG192" s="98"/>
      <c r="AH192" s="87"/>
      <c r="AI192" s="396"/>
      <c r="AJ192" s="165"/>
      <c r="AK192" s="116"/>
      <c r="AL192" s="396"/>
      <c r="AM192" s="98"/>
      <c r="AN192" s="440"/>
      <c r="AO192" s="103"/>
      <c r="AP192" s="104"/>
    </row>
    <row r="193" spans="1:42" ht="15.75">
      <c r="A193" s="113"/>
      <c r="B193" s="116"/>
      <c r="C193" s="98"/>
      <c r="D193" s="96"/>
      <c r="E193" s="96"/>
      <c r="F193" s="96"/>
      <c r="G193" s="97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441"/>
      <c r="V193" s="98"/>
      <c r="W193" s="98"/>
      <c r="X193" s="87"/>
      <c r="Z193" s="76"/>
      <c r="AA193" s="108"/>
      <c r="AB193" s="116"/>
      <c r="AC193" s="142"/>
      <c r="AD193" s="116"/>
      <c r="AE193" s="96"/>
      <c r="AF193" s="98"/>
      <c r="AG193" s="98"/>
      <c r="AH193" s="87"/>
      <c r="AI193" s="396"/>
      <c r="AJ193" s="165"/>
      <c r="AK193" s="116"/>
      <c r="AL193" s="396"/>
      <c r="AM193" s="98"/>
      <c r="AN193" s="440"/>
      <c r="AO193" s="103"/>
      <c r="AP193" s="104"/>
    </row>
    <row r="194" spans="1:42" ht="15.75">
      <c r="A194" s="113"/>
      <c r="B194" s="116"/>
      <c r="C194" s="98"/>
      <c r="D194" s="96"/>
      <c r="E194" s="96"/>
      <c r="F194" s="96"/>
      <c r="G194" s="97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441"/>
      <c r="V194" s="98"/>
      <c r="W194" s="98"/>
      <c r="X194" s="87"/>
      <c r="Z194" s="76"/>
      <c r="AA194" s="108"/>
      <c r="AB194" s="116"/>
      <c r="AC194" s="142"/>
      <c r="AD194" s="116"/>
      <c r="AE194" s="96"/>
      <c r="AF194" s="98"/>
      <c r="AG194" s="98"/>
      <c r="AH194" s="87"/>
      <c r="AI194" s="396"/>
      <c r="AJ194" s="165"/>
      <c r="AK194" s="116"/>
      <c r="AL194" s="396"/>
      <c r="AM194" s="98"/>
      <c r="AN194" s="440"/>
      <c r="AO194" s="103"/>
      <c r="AP194" s="104"/>
    </row>
    <row r="195" spans="1:42" ht="15.75">
      <c r="A195" s="113"/>
      <c r="B195" s="116"/>
      <c r="C195" s="98"/>
      <c r="D195" s="96"/>
      <c r="E195" s="96"/>
      <c r="F195" s="96"/>
      <c r="G195" s="97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441"/>
      <c r="V195" s="98"/>
      <c r="W195" s="98"/>
      <c r="X195" s="87"/>
      <c r="Z195" s="76"/>
      <c r="AA195" s="108"/>
      <c r="AB195" s="116"/>
      <c r="AC195" s="142"/>
      <c r="AD195" s="116"/>
      <c r="AE195" s="96"/>
      <c r="AF195" s="98"/>
      <c r="AG195" s="98"/>
      <c r="AH195" s="87"/>
      <c r="AI195" s="396"/>
      <c r="AJ195" s="165"/>
      <c r="AK195" s="116"/>
      <c r="AL195" s="396"/>
      <c r="AM195" s="98"/>
      <c r="AN195" s="440"/>
      <c r="AO195" s="103"/>
      <c r="AP195" s="104"/>
    </row>
    <row r="196" spans="1:42" ht="15.75">
      <c r="A196" s="113"/>
      <c r="B196" s="116"/>
      <c r="C196" s="98"/>
      <c r="D196" s="96"/>
      <c r="E196" s="96"/>
      <c r="F196" s="96"/>
      <c r="G196" s="97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441"/>
      <c r="V196" s="98"/>
      <c r="W196" s="98"/>
      <c r="X196" s="87"/>
      <c r="Z196" s="76"/>
      <c r="AA196" s="108"/>
      <c r="AB196" s="116"/>
      <c r="AC196" s="142"/>
      <c r="AD196" s="116"/>
      <c r="AE196" s="96"/>
      <c r="AF196" s="98"/>
      <c r="AG196" s="98"/>
      <c r="AH196" s="87"/>
      <c r="AI196" s="396"/>
      <c r="AJ196" s="165"/>
      <c r="AK196" s="116"/>
      <c r="AL196" s="396"/>
      <c r="AM196" s="98"/>
      <c r="AN196" s="440"/>
      <c r="AO196" s="103"/>
      <c r="AP196" s="104"/>
    </row>
    <row r="197" spans="1:42" ht="15.75">
      <c r="A197" s="113"/>
      <c r="B197" s="116"/>
      <c r="C197" s="98"/>
      <c r="D197" s="96"/>
      <c r="E197" s="96"/>
      <c r="F197" s="96"/>
      <c r="G197" s="97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441"/>
      <c r="V197" s="98"/>
      <c r="W197" s="98"/>
      <c r="X197" s="87"/>
      <c r="Z197" s="76"/>
      <c r="AA197" s="108"/>
      <c r="AB197" s="116"/>
      <c r="AC197" s="142"/>
      <c r="AD197" s="116"/>
      <c r="AE197" s="96"/>
      <c r="AF197" s="98"/>
      <c r="AG197" s="98"/>
      <c r="AH197" s="87"/>
      <c r="AI197" s="396"/>
      <c r="AJ197" s="165"/>
      <c r="AK197" s="116"/>
      <c r="AL197" s="396"/>
      <c r="AM197" s="98"/>
      <c r="AN197" s="440"/>
      <c r="AO197" s="103"/>
      <c r="AP197" s="104"/>
    </row>
    <row r="198" spans="1:42" ht="15.75">
      <c r="A198" s="113"/>
      <c r="B198" s="116"/>
      <c r="C198" s="98"/>
      <c r="D198" s="96"/>
      <c r="E198" s="96"/>
      <c r="F198" s="96"/>
      <c r="G198" s="97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441"/>
      <c r="V198" s="98"/>
      <c r="W198" s="98"/>
      <c r="X198" s="87"/>
      <c r="Z198" s="76"/>
      <c r="AA198" s="108"/>
      <c r="AB198" s="116"/>
      <c r="AC198" s="142"/>
      <c r="AD198" s="116"/>
      <c r="AE198" s="96"/>
      <c r="AF198" s="98"/>
      <c r="AG198" s="98"/>
      <c r="AH198" s="87"/>
      <c r="AI198" s="396"/>
      <c r="AJ198" s="165"/>
      <c r="AK198" s="116"/>
      <c r="AL198" s="396"/>
      <c r="AM198" s="98"/>
      <c r="AN198" s="440"/>
      <c r="AO198" s="103"/>
      <c r="AP198" s="104"/>
    </row>
    <row r="199" spans="1:42" ht="15.75">
      <c r="A199" s="113"/>
      <c r="B199" s="116"/>
      <c r="C199" s="98"/>
      <c r="D199" s="96"/>
      <c r="E199" s="96"/>
      <c r="F199" s="96"/>
      <c r="G199" s="97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441"/>
      <c r="V199" s="98"/>
      <c r="W199" s="98"/>
      <c r="X199" s="87"/>
      <c r="Z199" s="76"/>
      <c r="AA199" s="108"/>
      <c r="AB199" s="116"/>
      <c r="AC199" s="142"/>
      <c r="AD199" s="116"/>
      <c r="AE199" s="96"/>
      <c r="AF199" s="98"/>
      <c r="AG199" s="98"/>
      <c r="AH199" s="87"/>
      <c r="AI199" s="396"/>
      <c r="AJ199" s="165"/>
      <c r="AK199" s="116"/>
      <c r="AL199" s="396"/>
      <c r="AM199" s="98"/>
      <c r="AN199" s="440"/>
      <c r="AO199" s="103"/>
      <c r="AP199" s="104"/>
    </row>
    <row r="200" spans="1:42" ht="15.75">
      <c r="A200" s="113"/>
      <c r="B200" s="116"/>
      <c r="C200" s="98"/>
      <c r="D200" s="96"/>
      <c r="E200" s="96"/>
      <c r="F200" s="96"/>
      <c r="G200" s="97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441"/>
      <c r="V200" s="98"/>
      <c r="W200" s="98"/>
      <c r="X200" s="87"/>
      <c r="Z200" s="76"/>
      <c r="AA200" s="108"/>
      <c r="AB200" s="116"/>
      <c r="AC200" s="142"/>
      <c r="AD200" s="116"/>
      <c r="AE200" s="96"/>
      <c r="AF200" s="98"/>
      <c r="AG200" s="98"/>
      <c r="AH200" s="87"/>
      <c r="AI200" s="396"/>
      <c r="AJ200" s="165"/>
      <c r="AK200" s="116"/>
      <c r="AL200" s="396"/>
      <c r="AM200" s="98"/>
      <c r="AN200" s="440"/>
      <c r="AO200" s="103"/>
      <c r="AP200" s="104"/>
    </row>
    <row r="201" spans="1:42" ht="15.75">
      <c r="A201" s="157"/>
      <c r="B201" s="116"/>
      <c r="C201" s="98"/>
      <c r="D201" s="96"/>
      <c r="E201" s="96"/>
      <c r="F201" s="96"/>
      <c r="G201" s="97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441"/>
      <c r="V201" s="98"/>
      <c r="W201" s="98"/>
      <c r="X201" s="87"/>
      <c r="Z201" s="76"/>
      <c r="AA201" s="108"/>
      <c r="AB201" s="116"/>
      <c r="AC201" s="142"/>
      <c r="AD201" s="116"/>
      <c r="AE201" s="96"/>
      <c r="AF201" s="98"/>
      <c r="AG201" s="98"/>
      <c r="AH201" s="87"/>
      <c r="AI201" s="396"/>
      <c r="AJ201" s="165"/>
      <c r="AK201" s="116"/>
      <c r="AL201" s="396"/>
      <c r="AM201" s="98"/>
      <c r="AN201" s="440"/>
      <c r="AO201" s="103"/>
      <c r="AP201" s="104"/>
    </row>
    <row r="202" spans="1:42" ht="15.75">
      <c r="A202" s="157"/>
      <c r="B202" s="116"/>
      <c r="C202" s="98"/>
      <c r="D202" s="96"/>
      <c r="E202" s="96"/>
      <c r="F202" s="96"/>
      <c r="G202" s="97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441"/>
      <c r="V202" s="98"/>
      <c r="W202" s="98"/>
      <c r="X202" s="87"/>
      <c r="Z202" s="76"/>
      <c r="AA202" s="108"/>
      <c r="AB202" s="116"/>
      <c r="AC202" s="142"/>
      <c r="AD202" s="116"/>
      <c r="AE202" s="96"/>
      <c r="AF202" s="98"/>
      <c r="AG202" s="98"/>
      <c r="AH202" s="87"/>
      <c r="AI202" s="396"/>
      <c r="AJ202" s="165"/>
      <c r="AK202" s="116"/>
      <c r="AL202" s="396"/>
      <c r="AM202" s="98"/>
      <c r="AN202" s="440"/>
      <c r="AO202" s="103"/>
      <c r="AP202" s="104"/>
    </row>
    <row r="203" spans="1:42" ht="15.75">
      <c r="A203" s="157"/>
      <c r="B203" s="116"/>
      <c r="C203" s="98"/>
      <c r="D203" s="96"/>
      <c r="E203" s="96"/>
      <c r="F203" s="96"/>
      <c r="G203" s="97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441"/>
      <c r="V203" s="98"/>
      <c r="W203" s="98"/>
      <c r="X203" s="87"/>
      <c r="Z203" s="76"/>
      <c r="AA203" s="108"/>
      <c r="AB203" s="116"/>
      <c r="AC203" s="142"/>
      <c r="AD203" s="116"/>
      <c r="AE203" s="96"/>
      <c r="AF203" s="98"/>
      <c r="AG203" s="98"/>
      <c r="AH203" s="87"/>
      <c r="AI203" s="396"/>
      <c r="AJ203" s="165"/>
      <c r="AK203" s="116"/>
      <c r="AL203" s="396"/>
      <c r="AM203" s="98"/>
      <c r="AN203" s="440"/>
      <c r="AO203" s="103"/>
      <c r="AP203" s="104"/>
    </row>
    <row r="204" spans="1:42" ht="15.75">
      <c r="A204" s="157"/>
      <c r="B204" s="116"/>
      <c r="C204" s="98"/>
      <c r="D204" s="96"/>
      <c r="E204" s="96"/>
      <c r="F204" s="96"/>
      <c r="G204" s="97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441"/>
      <c r="V204" s="98"/>
      <c r="W204" s="98"/>
      <c r="X204" s="87"/>
      <c r="Z204" s="76"/>
      <c r="AA204" s="108"/>
      <c r="AB204" s="116"/>
      <c r="AC204" s="142"/>
      <c r="AD204" s="116"/>
      <c r="AE204" s="96"/>
      <c r="AF204" s="98"/>
      <c r="AG204" s="98"/>
      <c r="AH204" s="87"/>
      <c r="AI204" s="396"/>
      <c r="AJ204" s="165"/>
      <c r="AK204" s="116"/>
      <c r="AL204" s="396"/>
      <c r="AM204" s="98"/>
      <c r="AN204" s="440"/>
      <c r="AO204" s="103"/>
      <c r="AP204" s="104"/>
    </row>
    <row r="205" spans="1:42" ht="15.75">
      <c r="B205" s="116"/>
      <c r="C205" s="98"/>
      <c r="D205" s="96"/>
      <c r="E205" s="96"/>
      <c r="F205" s="96"/>
      <c r="G205" s="97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441"/>
      <c r="V205" s="98"/>
      <c r="W205" s="98"/>
      <c r="X205" s="87"/>
      <c r="Z205" s="76"/>
      <c r="AA205" s="108"/>
      <c r="AB205" s="116"/>
      <c r="AC205" s="142"/>
      <c r="AD205" s="116"/>
      <c r="AE205" s="96"/>
      <c r="AF205" s="98"/>
      <c r="AG205" s="98"/>
      <c r="AH205" s="87"/>
      <c r="AI205" s="396"/>
      <c r="AJ205" s="165"/>
      <c r="AK205" s="116"/>
      <c r="AL205" s="396"/>
      <c r="AM205" s="98"/>
      <c r="AN205" s="440"/>
      <c r="AO205" s="103"/>
      <c r="AP205" s="104"/>
    </row>
    <row r="206" spans="1:42" ht="15.75">
      <c r="B206" s="116"/>
      <c r="C206" s="98"/>
      <c r="D206" s="96"/>
      <c r="E206" s="96"/>
      <c r="F206" s="96"/>
      <c r="G206" s="97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441"/>
      <c r="V206" s="98"/>
      <c r="W206" s="98"/>
      <c r="X206" s="87"/>
      <c r="Z206" s="76"/>
      <c r="AA206" s="108"/>
      <c r="AB206" s="116"/>
      <c r="AC206" s="142"/>
      <c r="AD206" s="116"/>
      <c r="AE206" s="96"/>
      <c r="AF206" s="98"/>
      <c r="AG206" s="98"/>
      <c r="AH206" s="87"/>
      <c r="AI206" s="396"/>
      <c r="AJ206" s="165"/>
      <c r="AK206" s="116"/>
      <c r="AL206" s="396"/>
      <c r="AM206" s="98"/>
      <c r="AN206" s="440"/>
      <c r="AO206" s="103"/>
      <c r="AP206" s="104"/>
    </row>
    <row r="207" spans="1:42" ht="15.75">
      <c r="B207" s="116"/>
      <c r="C207" s="98"/>
      <c r="D207" s="96"/>
      <c r="E207" s="96"/>
      <c r="F207" s="96"/>
      <c r="G207" s="97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441"/>
      <c r="V207" s="98"/>
      <c r="W207" s="98"/>
      <c r="X207" s="87"/>
      <c r="Z207" s="76"/>
      <c r="AA207" s="108"/>
      <c r="AB207" s="116"/>
      <c r="AC207" s="142"/>
      <c r="AD207" s="116"/>
      <c r="AE207" s="96"/>
      <c r="AF207" s="98"/>
      <c r="AG207" s="98"/>
      <c r="AH207" s="87"/>
      <c r="AI207" s="396"/>
      <c r="AJ207" s="165"/>
      <c r="AK207" s="116"/>
      <c r="AL207" s="396"/>
      <c r="AM207" s="98"/>
      <c r="AN207" s="440"/>
      <c r="AO207" s="103"/>
      <c r="AP207" s="104"/>
    </row>
    <row r="208" spans="1:42" ht="15.75">
      <c r="B208" s="116"/>
      <c r="C208" s="98"/>
      <c r="D208" s="96"/>
      <c r="E208" s="96"/>
      <c r="F208" s="96"/>
      <c r="G208" s="97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441"/>
      <c r="V208" s="98"/>
      <c r="W208" s="98"/>
      <c r="X208" s="87"/>
      <c r="Z208" s="76"/>
      <c r="AA208" s="108"/>
      <c r="AB208" s="116"/>
      <c r="AC208" s="142"/>
      <c r="AD208" s="116"/>
      <c r="AE208" s="96"/>
      <c r="AF208" s="98"/>
      <c r="AG208" s="98"/>
      <c r="AH208" s="87"/>
      <c r="AI208" s="396"/>
      <c r="AJ208" s="165"/>
      <c r="AK208" s="116"/>
      <c r="AL208" s="396"/>
      <c r="AM208" s="98"/>
      <c r="AN208" s="440"/>
      <c r="AO208" s="103"/>
      <c r="AP208" s="104"/>
    </row>
    <row r="209" spans="2:42" ht="15.75">
      <c r="B209" s="116"/>
      <c r="C209" s="98"/>
      <c r="D209" s="96"/>
      <c r="E209" s="96"/>
      <c r="F209" s="96"/>
      <c r="G209" s="97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441"/>
      <c r="V209" s="98"/>
      <c r="W209" s="98"/>
      <c r="X209" s="87"/>
      <c r="Z209" s="76"/>
      <c r="AA209" s="108"/>
      <c r="AB209" s="116"/>
      <c r="AC209" s="142"/>
      <c r="AD209" s="116"/>
      <c r="AE209" s="96"/>
      <c r="AF209" s="98"/>
      <c r="AG209" s="98"/>
      <c r="AH209" s="87"/>
      <c r="AI209" s="396"/>
      <c r="AJ209" s="165"/>
      <c r="AK209" s="116"/>
      <c r="AL209" s="396"/>
      <c r="AM209" s="98"/>
      <c r="AN209" s="440"/>
      <c r="AO209" s="103"/>
      <c r="AP209" s="104"/>
    </row>
    <row r="210" spans="2:42" ht="15.75">
      <c r="B210" s="116"/>
      <c r="C210" s="98"/>
      <c r="D210" s="96"/>
      <c r="E210" s="96"/>
      <c r="F210" s="96"/>
      <c r="G210" s="97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441"/>
      <c r="V210" s="98"/>
      <c r="W210" s="98"/>
      <c r="X210" s="87"/>
      <c r="Z210" s="76"/>
      <c r="AA210" s="108"/>
      <c r="AB210" s="116"/>
      <c r="AC210" s="142"/>
      <c r="AD210" s="116"/>
      <c r="AE210" s="96"/>
      <c r="AF210" s="98"/>
      <c r="AG210" s="98"/>
      <c r="AH210" s="87"/>
      <c r="AI210" s="396"/>
      <c r="AJ210" s="165"/>
      <c r="AK210" s="116"/>
      <c r="AL210" s="396"/>
      <c r="AM210" s="98"/>
      <c r="AN210" s="440"/>
      <c r="AO210" s="103"/>
      <c r="AP210" s="104"/>
    </row>
    <row r="211" spans="2:42" ht="15.75">
      <c r="B211" s="116"/>
      <c r="C211" s="98"/>
      <c r="D211" s="96"/>
      <c r="E211" s="96"/>
      <c r="F211" s="96"/>
      <c r="G211" s="97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441"/>
      <c r="V211" s="98"/>
      <c r="W211" s="98"/>
      <c r="X211" s="87"/>
      <c r="Z211" s="76"/>
      <c r="AA211" s="108"/>
      <c r="AB211" s="116"/>
      <c r="AC211" s="142"/>
      <c r="AD211" s="116"/>
      <c r="AE211" s="96"/>
      <c r="AF211" s="98"/>
      <c r="AG211" s="98"/>
      <c r="AH211" s="87"/>
      <c r="AI211" s="396"/>
      <c r="AJ211" s="165"/>
      <c r="AK211" s="116"/>
      <c r="AL211" s="396"/>
      <c r="AM211" s="98"/>
      <c r="AN211" s="440"/>
      <c r="AO211" s="103"/>
      <c r="AP211" s="104"/>
    </row>
    <row r="212" spans="2:42" ht="15.75">
      <c r="B212" s="116"/>
      <c r="C212" s="98"/>
      <c r="D212" s="96"/>
      <c r="E212" s="96"/>
      <c r="F212" s="96"/>
      <c r="G212" s="97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441"/>
      <c r="V212" s="98"/>
      <c r="W212" s="98"/>
      <c r="X212" s="87"/>
      <c r="Z212" s="76"/>
      <c r="AA212" s="108"/>
      <c r="AB212" s="116"/>
      <c r="AC212" s="142"/>
      <c r="AD212" s="116"/>
      <c r="AE212" s="96"/>
      <c r="AF212" s="98"/>
      <c r="AG212" s="98"/>
      <c r="AH212" s="87"/>
      <c r="AI212" s="396"/>
      <c r="AJ212" s="165"/>
      <c r="AK212" s="116"/>
      <c r="AL212" s="396"/>
      <c r="AM212" s="98"/>
      <c r="AN212" s="440"/>
      <c r="AO212" s="103"/>
      <c r="AP212" s="104"/>
    </row>
    <row r="213" spans="2:42" ht="15.75">
      <c r="B213" s="116"/>
      <c r="C213" s="98"/>
      <c r="D213" s="96"/>
      <c r="E213" s="96"/>
      <c r="F213" s="96"/>
      <c r="G213" s="97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441"/>
      <c r="V213" s="98"/>
      <c r="W213" s="98"/>
      <c r="X213" s="87"/>
      <c r="Z213" s="76"/>
      <c r="AA213" s="108"/>
      <c r="AB213" s="116"/>
      <c r="AC213" s="142"/>
      <c r="AD213" s="116"/>
      <c r="AE213" s="96"/>
      <c r="AF213" s="98"/>
      <c r="AG213" s="98"/>
      <c r="AH213" s="87"/>
      <c r="AI213" s="396"/>
      <c r="AJ213" s="165"/>
      <c r="AK213" s="116"/>
      <c r="AL213" s="396"/>
      <c r="AM213" s="98"/>
      <c r="AN213" s="440"/>
      <c r="AO213" s="103"/>
      <c r="AP213" s="104"/>
    </row>
    <row r="214" spans="2:42" ht="15.75">
      <c r="B214" s="116"/>
      <c r="C214" s="98"/>
      <c r="D214" s="96"/>
      <c r="E214" s="96"/>
      <c r="F214" s="96"/>
      <c r="G214" s="97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441"/>
      <c r="V214" s="98"/>
      <c r="W214" s="98"/>
      <c r="X214" s="87"/>
      <c r="Z214" s="76"/>
      <c r="AA214" s="108"/>
      <c r="AB214" s="116"/>
      <c r="AC214" s="142"/>
      <c r="AD214" s="116"/>
      <c r="AE214" s="96"/>
      <c r="AF214" s="98"/>
      <c r="AG214" s="98"/>
      <c r="AH214" s="87"/>
      <c r="AI214" s="396"/>
      <c r="AJ214" s="165"/>
      <c r="AK214" s="116"/>
      <c r="AL214" s="396"/>
      <c r="AM214" s="98"/>
      <c r="AN214" s="440"/>
      <c r="AO214" s="103"/>
      <c r="AP214" s="104"/>
    </row>
    <row r="215" spans="2:42" ht="15.75">
      <c r="B215" s="116"/>
      <c r="C215" s="98"/>
      <c r="D215" s="96"/>
      <c r="E215" s="96"/>
      <c r="F215" s="96"/>
      <c r="G215" s="97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441"/>
      <c r="V215" s="98"/>
      <c r="W215" s="98"/>
      <c r="X215" s="87"/>
      <c r="Z215" s="76"/>
      <c r="AA215" s="108"/>
      <c r="AB215" s="116"/>
      <c r="AC215" s="142"/>
      <c r="AD215" s="116"/>
      <c r="AE215" s="96"/>
      <c r="AF215" s="98"/>
      <c r="AG215" s="98"/>
      <c r="AH215" s="87"/>
      <c r="AI215" s="396"/>
      <c r="AJ215" s="165"/>
      <c r="AK215" s="116"/>
      <c r="AL215" s="396"/>
      <c r="AM215" s="98"/>
      <c r="AN215" s="440"/>
      <c r="AO215" s="103"/>
      <c r="AP215" s="104"/>
    </row>
    <row r="216" spans="2:42" ht="15.75">
      <c r="B216" s="116"/>
      <c r="C216" s="98"/>
      <c r="D216" s="96"/>
      <c r="E216" s="96"/>
      <c r="F216" s="96"/>
      <c r="G216" s="97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441"/>
      <c r="V216" s="98"/>
      <c r="W216" s="98"/>
      <c r="X216" s="87"/>
      <c r="Z216" s="76"/>
      <c r="AA216" s="108"/>
      <c r="AB216" s="116"/>
      <c r="AC216" s="142"/>
      <c r="AD216" s="116"/>
      <c r="AE216" s="96"/>
      <c r="AF216" s="98"/>
      <c r="AG216" s="98"/>
      <c r="AH216" s="87"/>
      <c r="AI216" s="396"/>
      <c r="AJ216" s="165"/>
      <c r="AK216" s="116"/>
      <c r="AL216" s="396"/>
      <c r="AM216" s="98"/>
      <c r="AN216" s="440"/>
      <c r="AO216" s="103"/>
      <c r="AP216" s="104"/>
    </row>
    <row r="217" spans="2:42" ht="15.75">
      <c r="B217" s="116"/>
      <c r="C217" s="98"/>
      <c r="D217" s="96"/>
      <c r="E217" s="96"/>
      <c r="F217" s="96"/>
      <c r="G217" s="97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441"/>
      <c r="V217" s="98"/>
      <c r="W217" s="98"/>
      <c r="X217" s="87"/>
      <c r="Z217" s="76"/>
      <c r="AA217" s="108"/>
      <c r="AB217" s="116"/>
      <c r="AC217" s="142"/>
      <c r="AD217" s="116"/>
      <c r="AE217" s="96"/>
      <c r="AF217" s="98"/>
      <c r="AG217" s="98"/>
      <c r="AH217" s="87"/>
      <c r="AI217" s="396"/>
      <c r="AJ217" s="165"/>
      <c r="AK217" s="116"/>
      <c r="AL217" s="396"/>
      <c r="AM217" s="98"/>
      <c r="AN217" s="440"/>
      <c r="AO217" s="103"/>
      <c r="AP217" s="104"/>
    </row>
    <row r="218" spans="2:42" ht="15.75">
      <c r="B218" s="116"/>
      <c r="C218" s="98"/>
      <c r="D218" s="96"/>
      <c r="E218" s="96"/>
      <c r="F218" s="96"/>
      <c r="G218" s="97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441"/>
      <c r="V218" s="98"/>
      <c r="W218" s="98"/>
      <c r="X218" s="87"/>
      <c r="Z218" s="76"/>
      <c r="AA218" s="108"/>
      <c r="AB218" s="116"/>
      <c r="AC218" s="142"/>
      <c r="AD218" s="116"/>
      <c r="AE218" s="96"/>
      <c r="AF218" s="98"/>
      <c r="AG218" s="98"/>
      <c r="AH218" s="87"/>
      <c r="AI218" s="396"/>
      <c r="AJ218" s="165"/>
      <c r="AK218" s="116"/>
      <c r="AL218" s="396"/>
      <c r="AM218" s="98"/>
      <c r="AN218" s="440"/>
      <c r="AO218" s="103"/>
      <c r="AP218" s="104"/>
    </row>
    <row r="219" spans="2:42" ht="15.75">
      <c r="B219" s="116"/>
      <c r="C219" s="98"/>
      <c r="D219" s="96"/>
      <c r="E219" s="96"/>
      <c r="F219" s="96"/>
      <c r="G219" s="97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441"/>
      <c r="V219" s="98"/>
      <c r="W219" s="98"/>
      <c r="X219" s="87"/>
      <c r="Z219" s="76"/>
      <c r="AA219" s="108"/>
      <c r="AB219" s="116"/>
      <c r="AC219" s="142"/>
      <c r="AD219" s="116"/>
      <c r="AE219" s="96"/>
      <c r="AF219" s="98"/>
      <c r="AG219" s="98"/>
      <c r="AH219" s="87"/>
      <c r="AI219" s="396"/>
      <c r="AJ219" s="165"/>
      <c r="AK219" s="116"/>
      <c r="AL219" s="396"/>
      <c r="AM219" s="98"/>
      <c r="AN219" s="440"/>
      <c r="AO219" s="103"/>
      <c r="AP219" s="104"/>
    </row>
    <row r="220" spans="2:42" ht="15.75">
      <c r="B220" s="116"/>
      <c r="C220" s="98"/>
      <c r="D220" s="96"/>
      <c r="E220" s="96"/>
      <c r="F220" s="96"/>
      <c r="G220" s="97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441"/>
      <c r="V220" s="98"/>
      <c r="W220" s="98"/>
      <c r="X220" s="87"/>
      <c r="Z220" s="76"/>
      <c r="AA220" s="108"/>
      <c r="AB220" s="116"/>
      <c r="AC220" s="142"/>
      <c r="AD220" s="116"/>
      <c r="AE220" s="96"/>
      <c r="AF220" s="98"/>
      <c r="AG220" s="98"/>
      <c r="AH220" s="87"/>
      <c r="AI220" s="396"/>
      <c r="AJ220" s="165"/>
      <c r="AK220" s="116"/>
      <c r="AL220" s="396"/>
      <c r="AM220" s="98"/>
      <c r="AN220" s="440"/>
      <c r="AO220" s="103"/>
      <c r="AP220" s="104"/>
    </row>
    <row r="221" spans="2:42" ht="15.75">
      <c r="B221" s="116"/>
      <c r="C221" s="98"/>
      <c r="D221" s="96"/>
      <c r="E221" s="96"/>
      <c r="F221" s="96"/>
      <c r="G221" s="97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441"/>
      <c r="V221" s="98"/>
      <c r="W221" s="98"/>
      <c r="X221" s="87"/>
      <c r="Z221" s="76"/>
      <c r="AA221" s="108"/>
      <c r="AB221" s="116"/>
      <c r="AC221" s="142"/>
      <c r="AD221" s="116"/>
      <c r="AE221" s="96"/>
      <c r="AF221" s="98"/>
      <c r="AG221" s="98"/>
      <c r="AH221" s="87"/>
      <c r="AI221" s="396"/>
      <c r="AJ221" s="165"/>
      <c r="AK221" s="116"/>
      <c r="AL221" s="396"/>
      <c r="AM221" s="98"/>
      <c r="AN221" s="440"/>
      <c r="AO221" s="103"/>
      <c r="AP221" s="104"/>
    </row>
    <row r="222" spans="2:42" ht="15.75">
      <c r="B222" s="116"/>
      <c r="C222" s="98"/>
      <c r="D222" s="96"/>
      <c r="E222" s="96"/>
      <c r="F222" s="96"/>
      <c r="G222" s="97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441"/>
      <c r="V222" s="98"/>
      <c r="W222" s="98"/>
      <c r="X222" s="87"/>
      <c r="Z222" s="76"/>
      <c r="AA222" s="108"/>
      <c r="AB222" s="116"/>
      <c r="AC222" s="142"/>
      <c r="AD222" s="116"/>
      <c r="AE222" s="96"/>
      <c r="AF222" s="98"/>
      <c r="AG222" s="98"/>
      <c r="AH222" s="87"/>
      <c r="AI222" s="396"/>
      <c r="AJ222" s="165"/>
      <c r="AK222" s="116"/>
      <c r="AL222" s="396"/>
      <c r="AM222" s="98"/>
      <c r="AN222" s="440"/>
      <c r="AO222" s="103"/>
      <c r="AP222" s="104"/>
    </row>
    <row r="223" spans="2:42" ht="15.75">
      <c r="B223" s="116"/>
      <c r="C223" s="98"/>
      <c r="D223" s="96"/>
      <c r="E223" s="96"/>
      <c r="F223" s="96"/>
      <c r="G223" s="97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87"/>
      <c r="Z223" s="76"/>
      <c r="AA223" s="108"/>
      <c r="AB223" s="116"/>
      <c r="AC223" s="142"/>
      <c r="AD223" s="116"/>
      <c r="AE223" s="96"/>
      <c r="AF223" s="98"/>
      <c r="AG223" s="98"/>
      <c r="AH223" s="87"/>
      <c r="AI223" s="396"/>
      <c r="AJ223" s="165"/>
      <c r="AK223" s="116"/>
      <c r="AL223" s="396"/>
      <c r="AM223" s="98"/>
      <c r="AN223" s="440"/>
      <c r="AO223" s="103"/>
      <c r="AP223" s="104"/>
    </row>
    <row r="224" spans="2:42" ht="15.75">
      <c r="C224" s="98"/>
      <c r="D224" s="96"/>
      <c r="E224" s="96"/>
      <c r="G224" s="143"/>
      <c r="U224" s="461"/>
      <c r="Z224" s="76"/>
      <c r="AA224" s="144"/>
      <c r="AB224" s="116"/>
      <c r="AC224" s="142"/>
      <c r="AD224" s="116"/>
      <c r="AI224" s="396"/>
      <c r="AJ224" s="158"/>
      <c r="AK224" s="158"/>
      <c r="AL224" s="396"/>
      <c r="AM224" s="98"/>
      <c r="AN224" s="462"/>
      <c r="AO224" s="159"/>
      <c r="AP224" s="159"/>
    </row>
    <row r="225" spans="3:42" ht="15.75">
      <c r="C225" s="98"/>
      <c r="D225" s="96"/>
      <c r="E225" s="96"/>
      <c r="G225" s="143"/>
      <c r="U225" s="461"/>
      <c r="Z225" s="76"/>
      <c r="AA225" s="144"/>
      <c r="AB225" s="116"/>
      <c r="AC225" s="142"/>
      <c r="AD225" s="116"/>
      <c r="AI225" s="396"/>
      <c r="AJ225" s="158"/>
      <c r="AK225" s="158"/>
      <c r="AL225" s="396"/>
      <c r="AM225" s="98"/>
      <c r="AN225" s="462"/>
      <c r="AO225" s="159"/>
      <c r="AP225" s="159"/>
    </row>
    <row r="226" spans="3:42" ht="15.75">
      <c r="C226" s="98"/>
      <c r="D226" s="96"/>
      <c r="E226" s="96"/>
      <c r="G226" s="143"/>
      <c r="U226" s="461"/>
      <c r="Z226" s="76"/>
      <c r="AA226" s="144"/>
      <c r="AB226" s="116"/>
      <c r="AC226" s="142"/>
      <c r="AD226" s="116"/>
      <c r="AI226" s="396"/>
      <c r="AJ226" s="158"/>
      <c r="AK226" s="158"/>
      <c r="AL226" s="396"/>
      <c r="AM226" s="98"/>
      <c r="AN226" s="462"/>
      <c r="AO226" s="159"/>
      <c r="AP226" s="159"/>
    </row>
    <row r="227" spans="3:42" ht="15.75">
      <c r="C227" s="98"/>
      <c r="D227" s="96"/>
      <c r="E227" s="96"/>
      <c r="G227" s="143"/>
      <c r="U227" s="461"/>
      <c r="Z227" s="76"/>
      <c r="AA227" s="144"/>
      <c r="AB227" s="116"/>
      <c r="AC227" s="142"/>
      <c r="AD227" s="116"/>
      <c r="AI227" s="396"/>
      <c r="AJ227" s="158"/>
      <c r="AK227" s="158"/>
      <c r="AL227" s="396"/>
      <c r="AM227" s="98"/>
      <c r="AN227" s="462"/>
      <c r="AO227" s="159"/>
      <c r="AP227" s="159"/>
    </row>
  </sheetData>
  <autoFilter ref="B1:AP143" xr:uid="{69827CDF-F361-493D-89B0-98A70E42611A}">
    <filterColumn colId="13">
      <filters>
        <filter val="AEREO"/>
        <filter val="TERRESTRE"/>
      </filters>
    </filterColumn>
  </autoFilter>
  <conditionalFormatting sqref="C1:D11">
    <cfRule type="containsText" dxfId="31" priority="8" operator="containsText" text="EN TRANSITO">
      <formula>NOT(ISERROR(SEARCH("EN TRANSITO",C1)))</formula>
    </cfRule>
    <cfRule type="containsText" dxfId="30" priority="9" operator="containsText" text="DESPACHADO">
      <formula>NOT(ISERROR(SEARCH("DESPACHADO",C1)))</formula>
    </cfRule>
    <cfRule type="containsText" dxfId="29" priority="10" operator="containsText" text="LIBERADO">
      <formula>NOT(ISERROR(SEARCH("LIBERADO",C1)))</formula>
    </cfRule>
    <cfRule type="containsText" dxfId="28" priority="11" operator="containsText" text="EN ALMACEN">
      <formula>NOT(ISERROR(SEARCH("EN ALMACEN",C1)))</formula>
    </cfRule>
  </conditionalFormatting>
  <conditionalFormatting sqref="C12:D227">
    <cfRule type="containsText" dxfId="27" priority="21" operator="containsText" text="EN TRANSITO">
      <formula>NOT(ISERROR(SEARCH("EN TRANSITO",C12)))</formula>
    </cfRule>
    <cfRule type="containsText" dxfId="26" priority="22" operator="containsText" text="DESPACHADO">
      <formula>NOT(ISERROR(SEARCH("DESPACHADO",C12)))</formula>
    </cfRule>
    <cfRule type="containsText" dxfId="25" priority="23" operator="containsText" text="LIBERADO">
      <formula>NOT(ISERROR(SEARCH("LIBERADO",C12)))</formula>
    </cfRule>
    <cfRule type="containsText" dxfId="24" priority="24" operator="containsText" text="EN ALMACEN">
      <formula>NOT(ISERROR(SEARCH("EN ALMACEN",C12)))</formula>
    </cfRule>
  </conditionalFormatting>
  <conditionalFormatting sqref="C33:D33">
    <cfRule type="containsText" dxfId="23" priority="12" operator="containsText" text="ARRIBADA EN PUERTO">
      <formula>NOT(ISERROR(SEARCH("ARRIBADA EN PUERTO",C33)))</formula>
    </cfRule>
  </conditionalFormatting>
  <conditionalFormatting sqref="C43:D43">
    <cfRule type="containsText" dxfId="22" priority="20" operator="containsText" text="ARRIBADA EN PUERTO">
      <formula>NOT(ISERROR(SEARCH("ARRIBADA EN PUERTO",C43)))</formula>
    </cfRule>
  </conditionalFormatting>
  <conditionalFormatting sqref="E1:E227">
    <cfRule type="containsText" dxfId="21" priority="6" operator="containsText" text="EMITIDA">
      <formula>NOT(ISERROR(SEARCH("EMITIDA",E1)))</formula>
    </cfRule>
    <cfRule type="containsText" dxfId="20" priority="7" operator="containsText" text="PENDIENTE">
      <formula>NOT(ISERROR(SEARCH("PENDIENTE",E1)))</formula>
    </cfRule>
  </conditionalFormatting>
  <conditionalFormatting sqref="G1:G58 G60:G227">
    <cfRule type="containsBlanks" dxfId="19" priority="17">
      <formula>LEN(TRIM(G1))=0</formula>
    </cfRule>
  </conditionalFormatting>
  <conditionalFormatting sqref="AI1 AI6:AI32 AI34 AI36:AI227">
    <cfRule type="containsText" dxfId="18" priority="13" operator="containsText" text="PENDIENTE">
      <formula>NOT(ISERROR(SEARCH("PENDIENTE",AI1)))</formula>
    </cfRule>
  </conditionalFormatting>
  <conditionalFormatting sqref="AJ1:AJ10">
    <cfRule type="containsText" dxfId="17" priority="3" operator="containsText" text="PENDIENTE">
      <formula>NOT(ISERROR(SEARCH("PENDIENTE",AJ1)))</formula>
    </cfRule>
  </conditionalFormatting>
  <conditionalFormatting sqref="AJ12:AJ29 AJ31:AJ32 AJ35:AJ40 AJ42:AJ227">
    <cfRule type="containsText" dxfId="16" priority="15" operator="containsText" text="PENDIENTE">
      <formula>NOT(ISERROR(SEARCH("PENDIENTE",AJ12)))</formula>
    </cfRule>
  </conditionalFormatting>
  <conditionalFormatting sqref="AK1:AK36">
    <cfRule type="containsText" dxfId="15" priority="4" operator="containsText" text="PENDIENTE">
      <formula>NOT(ISERROR(SEARCH("PENDIENTE",AK1)))</formula>
    </cfRule>
  </conditionalFormatting>
  <conditionalFormatting sqref="AK38 AK40:AK227">
    <cfRule type="containsText" dxfId="14" priority="16" operator="containsText" text="PENDIENTE">
      <formula>NOT(ISERROR(SEARCH("PENDIENTE",AK38)))</formula>
    </cfRule>
  </conditionalFormatting>
  <dataValidations count="4">
    <dataValidation type="list" allowBlank="1" showInputMessage="1" showErrorMessage="1" sqref="C12:D83" xr:uid="{781AF622-37EC-4DAF-9C61-90E097567388}">
      <formula1>CARGA</formula1>
    </dataValidation>
    <dataValidation type="list" allowBlank="1" showInputMessage="1" showErrorMessage="1" sqref="X6:X68" xr:uid="{ECABC303-624F-4827-86EB-7A04C945D41D}">
      <formula1>cliente</formula1>
    </dataValidation>
    <dataValidation type="list" allowBlank="1" showInputMessage="1" showErrorMessage="1" sqref="O2:O93" xr:uid="{BDC517C4-D1AD-49D3-B0CF-EC98AD34AADA}">
      <formula1>TIPO_OPERACION</formula1>
    </dataValidation>
    <dataValidation type="list" allowBlank="1" showInputMessage="1" showErrorMessage="1" sqref="M9:M73" xr:uid="{3B38F616-BAA5-4734-948F-55768E5A6330}">
      <formula1>TIPO_CARGA</formula1>
    </dataValidation>
  </dataValidations>
  <hyperlinks>
    <hyperlink ref="AD2" r:id="rId1" xr:uid="{5B52E525-4431-4D6F-B4B8-02E556A082BC}"/>
    <hyperlink ref="AH2" r:id="rId2" display="10/03/2026" xr:uid="{1C21AEDE-6269-4E90-96FE-F2A62B1ECC64}"/>
    <hyperlink ref="AG2" r:id="rId3" display="4090179630" xr:uid="{A56B6915-F264-49FB-9C37-AE130A5282AE}"/>
    <hyperlink ref="AB3" r:id="rId4" display="2605110975" xr:uid="{7ECFC7B8-CD29-4695-B7B3-1952876D3244}"/>
    <hyperlink ref="AD4" r:id="rId5" xr:uid="{06F7BBEF-7A65-411F-A5F4-63CEC63485C6}"/>
    <hyperlink ref="AG4" r:id="rId6" display="4090180082" xr:uid="{80B18691-1CDF-4E6C-8744-31D2B79CB166}"/>
    <hyperlink ref="AG3" r:id="rId7" display="4090180128" xr:uid="{5C839E8E-EF21-4D2D-A419-D78AAB620D53}"/>
    <hyperlink ref="AD3" r:id="rId8" xr:uid="{F8A53FDC-3FD5-4BA6-82D0-11BBBDCD2F86}"/>
    <hyperlink ref="AH3" r:id="rId9" display="13/03/2026" xr:uid="{A99F81A3-DF2E-45C1-9D7E-5B8F0825C4D5}"/>
    <hyperlink ref="AH4" r:id="rId10" display="10/03/2026" xr:uid="{F9BE1552-6743-4B2F-802F-7C1A92A03CA9}"/>
    <hyperlink ref="AC3" r:id="rId11" display="2613134243" xr:uid="{A00FC2DD-80BE-404D-8CD0-E3A08A086DE2}"/>
    <hyperlink ref="AB9" r:id="rId12" display="2605142642" xr:uid="{B13BAA3F-AB17-47F6-9068-C3B613DD7874}"/>
  </hyperlinks>
  <pageMargins left="0.7" right="0.7" top="0.75" bottom="0.75" header="0.3" footer="0.3"/>
  <legacy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CDE6E-DC5B-4341-B22F-7B5BB12C8B76}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A528B-0B32-4EB7-92D3-80838774AD2A}">
  <dimension ref="A1:AR5"/>
  <sheetViews>
    <sheetView workbookViewId="0">
      <pane xSplit="2" topLeftCell="V1" activePane="topRight" state="frozen"/>
      <selection pane="topRight" activeCell="W7" sqref="W7"/>
    </sheetView>
  </sheetViews>
  <sheetFormatPr baseColWidth="10" defaultColWidth="9.140625" defaultRowHeight="15"/>
  <cols>
    <col min="1" max="1" width="18.7109375" style="2" customWidth="1"/>
    <col min="2" max="2" width="19.85546875" style="2" customWidth="1"/>
    <col min="3" max="3" width="12.5703125" style="2" customWidth="1"/>
    <col min="4" max="4" width="19.28515625" style="2" customWidth="1"/>
    <col min="5" max="5" width="19.7109375" style="2" customWidth="1"/>
    <col min="6" max="6" width="19.42578125" style="2" customWidth="1"/>
    <col min="7" max="9" width="17.85546875" style="2" customWidth="1"/>
    <col min="10" max="10" width="17" style="2" customWidth="1"/>
    <col min="11" max="11" width="13.85546875" style="2" customWidth="1"/>
    <col min="12" max="12" width="14.5703125" style="2" customWidth="1"/>
    <col min="13" max="13" width="16.5703125" style="2" customWidth="1"/>
    <col min="14" max="14" width="15" style="2" customWidth="1"/>
    <col min="15" max="15" width="19.7109375" style="2" customWidth="1"/>
    <col min="16" max="16" width="17.140625" style="2" customWidth="1"/>
    <col min="17" max="17" width="29.42578125" style="2" customWidth="1"/>
    <col min="18" max="18" width="19.42578125" style="2" customWidth="1"/>
    <col min="19" max="19" width="13.42578125" style="2" customWidth="1"/>
    <col min="20" max="20" width="15.7109375" style="2" customWidth="1"/>
    <col min="21" max="21" width="12.7109375" style="2" customWidth="1"/>
    <col min="22" max="22" width="29.7109375" style="2" customWidth="1"/>
    <col min="23" max="23" width="16.85546875" style="2" customWidth="1"/>
    <col min="24" max="24" width="17.140625" style="2" customWidth="1"/>
    <col min="25" max="25" width="20.5703125" style="2" customWidth="1"/>
    <col min="26" max="26" width="11.28515625" style="2" customWidth="1"/>
    <col min="27" max="27" width="13.140625" style="2" customWidth="1"/>
    <col min="28" max="29" width="15" style="2" customWidth="1"/>
    <col min="30" max="31" width="14.140625" style="2" customWidth="1"/>
    <col min="32" max="32" width="15" style="2" customWidth="1"/>
    <col min="33" max="33" width="14.28515625" style="2" customWidth="1"/>
    <col min="34" max="34" width="12.140625" style="2" customWidth="1"/>
    <col min="35" max="35" width="12.5703125" style="2" customWidth="1"/>
    <col min="36" max="36" width="11.85546875" style="2" customWidth="1"/>
    <col min="37" max="37" width="13.42578125" style="2" customWidth="1"/>
    <col min="38" max="16384" width="9.140625" style="2"/>
  </cols>
  <sheetData>
    <row r="1" spans="1:44" ht="75">
      <c r="A1" s="61" t="s">
        <v>1929</v>
      </c>
      <c r="B1" s="61" t="s">
        <v>1</v>
      </c>
      <c r="C1" s="61" t="s">
        <v>2</v>
      </c>
      <c r="D1" s="181" t="s">
        <v>1931</v>
      </c>
      <c r="E1" s="182" t="s">
        <v>1932</v>
      </c>
      <c r="F1" s="182" t="s">
        <v>1933</v>
      </c>
      <c r="G1" s="182" t="s">
        <v>1934</v>
      </c>
      <c r="H1" s="182" t="s">
        <v>1935</v>
      </c>
      <c r="I1" s="182" t="s">
        <v>1936</v>
      </c>
      <c r="J1" s="183" t="s">
        <v>10</v>
      </c>
      <c r="K1" s="183" t="s">
        <v>11</v>
      </c>
      <c r="L1" s="183" t="s">
        <v>12</v>
      </c>
      <c r="M1" s="183" t="s">
        <v>2008</v>
      </c>
      <c r="N1" s="183" t="s">
        <v>1938</v>
      </c>
      <c r="O1" s="184" t="s">
        <v>2009</v>
      </c>
      <c r="P1" s="184" t="s">
        <v>1941</v>
      </c>
      <c r="Q1" s="184" t="s">
        <v>2010</v>
      </c>
      <c r="R1" s="184" t="s">
        <v>1943</v>
      </c>
      <c r="S1" s="184" t="s">
        <v>19</v>
      </c>
      <c r="T1" s="184" t="s">
        <v>20</v>
      </c>
      <c r="U1" s="179" t="s">
        <v>1945</v>
      </c>
      <c r="V1" s="179" t="s">
        <v>1946</v>
      </c>
      <c r="W1" s="61" t="s">
        <v>25</v>
      </c>
      <c r="X1" s="61" t="s">
        <v>1947</v>
      </c>
      <c r="Y1" s="61" t="s">
        <v>1948</v>
      </c>
      <c r="Z1" s="61" t="s">
        <v>24</v>
      </c>
      <c r="AA1" s="61" t="s">
        <v>29</v>
      </c>
      <c r="AB1" s="185" t="s">
        <v>30</v>
      </c>
      <c r="AC1" s="61" t="s">
        <v>31</v>
      </c>
      <c r="AD1" s="170" t="s">
        <v>27</v>
      </c>
      <c r="AE1" s="184" t="s">
        <v>1949</v>
      </c>
      <c r="AF1" s="184" t="s">
        <v>1950</v>
      </c>
      <c r="AG1" s="170" t="s">
        <v>34</v>
      </c>
      <c r="AH1" s="44" t="s">
        <v>1951</v>
      </c>
      <c r="AI1" s="463" t="s">
        <v>1952</v>
      </c>
      <c r="AJ1" s="186" t="s">
        <v>36</v>
      </c>
      <c r="AK1" s="186" t="s">
        <v>37</v>
      </c>
      <c r="AL1" s="98"/>
      <c r="AM1" s="98"/>
      <c r="AN1" s="98"/>
      <c r="AO1" s="98"/>
      <c r="AP1" s="98"/>
      <c r="AQ1" s="98"/>
      <c r="AR1" s="98"/>
    </row>
    <row r="2" spans="1:44" ht="15.75">
      <c r="A2" s="187" t="s">
        <v>2011</v>
      </c>
      <c r="B2" s="14">
        <v>180447</v>
      </c>
      <c r="C2" s="2" t="s">
        <v>58</v>
      </c>
      <c r="D2" s="22">
        <v>46093</v>
      </c>
      <c r="J2" s="2" t="s">
        <v>60</v>
      </c>
      <c r="K2" s="2" t="s">
        <v>45</v>
      </c>
      <c r="L2" s="2" t="s">
        <v>2012</v>
      </c>
      <c r="M2" s="2" t="s">
        <v>2013</v>
      </c>
      <c r="O2" s="14">
        <v>54943191131</v>
      </c>
      <c r="Q2" s="14" t="s">
        <v>2014</v>
      </c>
      <c r="S2" s="66"/>
      <c r="T2" s="14"/>
      <c r="U2" s="14"/>
      <c r="V2" s="14" t="s">
        <v>2015</v>
      </c>
      <c r="W2" s="47">
        <v>2613127706</v>
      </c>
      <c r="X2" s="2" t="s">
        <v>1489</v>
      </c>
      <c r="Y2" s="224" t="s">
        <v>2016</v>
      </c>
      <c r="AA2" s="58">
        <v>46098</v>
      </c>
      <c r="AB2" s="5">
        <v>4090180447</v>
      </c>
      <c r="AC2" s="23">
        <v>46099</v>
      </c>
      <c r="AD2" s="14"/>
      <c r="AE2" s="384"/>
      <c r="AH2" s="384"/>
      <c r="AI2" s="328">
        <v>2000000</v>
      </c>
      <c r="AJ2" s="188"/>
      <c r="AK2" s="188"/>
    </row>
    <row r="3" spans="1:44" ht="15.75">
      <c r="A3" s="210" t="s">
        <v>2017</v>
      </c>
      <c r="B3" s="14">
        <v>180447</v>
      </c>
      <c r="C3" s="2" t="s">
        <v>58</v>
      </c>
      <c r="D3" s="22">
        <v>46093</v>
      </c>
      <c r="J3" s="2" t="s">
        <v>60</v>
      </c>
      <c r="K3" s="2" t="s">
        <v>45</v>
      </c>
      <c r="L3" s="2" t="s">
        <v>2012</v>
      </c>
      <c r="M3" s="2" t="s">
        <v>2013</v>
      </c>
      <c r="O3" s="14">
        <v>54943191131</v>
      </c>
      <c r="Q3" s="14" t="s">
        <v>2014</v>
      </c>
      <c r="S3" s="66"/>
      <c r="T3" s="14"/>
      <c r="U3" s="14"/>
      <c r="V3" s="14"/>
      <c r="W3" s="47">
        <v>2613127706</v>
      </c>
      <c r="X3" s="2" t="s">
        <v>1489</v>
      </c>
      <c r="Y3" s="47" t="s">
        <v>2016</v>
      </c>
      <c r="AA3" s="58">
        <v>46098</v>
      </c>
      <c r="AB3" s="5">
        <v>4090180447</v>
      </c>
      <c r="AC3" s="23">
        <v>46099</v>
      </c>
      <c r="AD3" s="14"/>
      <c r="AE3" s="384"/>
      <c r="AH3" s="384"/>
      <c r="AI3" s="328">
        <v>2000000</v>
      </c>
      <c r="AJ3" s="188"/>
      <c r="AK3" s="188"/>
    </row>
    <row r="5" spans="1:44">
      <c r="V5" s="14"/>
    </row>
  </sheetData>
  <conditionalFormatting sqref="C2:C3">
    <cfRule type="containsText" dxfId="13" priority="5" operator="containsText" text="EMITIDA">
      <formula>NOT(ISERROR(SEARCH("EMITIDA",C2)))</formula>
    </cfRule>
    <cfRule type="containsText" dxfId="12" priority="6" operator="containsText" text="PENDIENTE">
      <formula>NOT(ISERROR(SEARCH("PENDIENTE",C2)))</formula>
    </cfRule>
  </conditionalFormatting>
  <conditionalFormatting sqref="C1:D1 G1">
    <cfRule type="containsText" dxfId="11" priority="20" operator="containsText" text="LIBERADO">
      <formula>NOT(ISERROR(SEARCH("LIBERADO",C1)))</formula>
    </cfRule>
    <cfRule type="containsText" dxfId="10" priority="21" operator="containsText" text="EN ALMACEN">
      <formula>NOT(ISERROR(SEARCH("EN ALMACEN",C1)))</formula>
    </cfRule>
  </conditionalFormatting>
  <conditionalFormatting sqref="D1:D2">
    <cfRule type="containsBlanks" dxfId="9" priority="4">
      <formula>LEN(TRIM(D1))=0</formula>
    </cfRule>
  </conditionalFormatting>
  <conditionalFormatting sqref="E1">
    <cfRule type="containsText" dxfId="8" priority="16" operator="containsText" text="EMITIDA">
      <formula>NOT(ISERROR(SEARCH("EMITIDA",E1)))</formula>
    </cfRule>
    <cfRule type="containsText" dxfId="7" priority="17" operator="containsText" text="PENDIENTE">
      <formula>NOT(ISERROR(SEARCH("PENDIENTE",E1)))</formula>
    </cfRule>
  </conditionalFormatting>
  <conditionalFormatting sqref="G1 C1:D1">
    <cfRule type="containsText" dxfId="6" priority="18" operator="containsText" text="EN TRANSITO">
      <formula>NOT(ISERROR(SEARCH("EN TRANSITO",C1)))</formula>
    </cfRule>
    <cfRule type="containsText" dxfId="5" priority="19" operator="containsText" text="DESPACHADO">
      <formula>NOT(ISERROR(SEARCH("DESPACHADO",C1)))</formula>
    </cfRule>
  </conditionalFormatting>
  <conditionalFormatting sqref="G1">
    <cfRule type="containsBlanks" dxfId="4" priority="15">
      <formula>LEN(TRIM(G1))=0</formula>
    </cfRule>
  </conditionalFormatting>
  <conditionalFormatting sqref="AD1">
    <cfRule type="containsText" dxfId="3" priority="12" operator="containsText" text="PENDIENTE">
      <formula>NOT(ISERROR(SEARCH("PENDIENTE",AD1)))</formula>
    </cfRule>
  </conditionalFormatting>
  <conditionalFormatting sqref="AD2:AD3">
    <cfRule type="containsText" dxfId="2" priority="3" operator="containsText" text="PENDIENTE">
      <formula>NOT(ISERROR(SEARCH("PENDIENTE",AD2)))</formula>
    </cfRule>
  </conditionalFormatting>
  <conditionalFormatting sqref="AE1">
    <cfRule type="containsText" dxfId="1" priority="13" operator="containsText" text="PENDIENTE">
      <formula>NOT(ISERROR(SEARCH("PENDIENTE",AE1)))</formula>
    </cfRule>
  </conditionalFormatting>
  <conditionalFormatting sqref="AF1">
    <cfRule type="containsText" dxfId="0" priority="14" operator="containsText" text="PENDIENTE">
      <formula>NOT(ISERROR(SEARCH("PENDIENTE",AF1)))</formula>
    </cfRule>
  </conditionalFormatting>
  <hyperlinks>
    <hyperlink ref="Y2" r:id="rId1" xr:uid="{F9377E80-F615-4E0D-80B8-BD891DD4388B}"/>
    <hyperlink ref="Y3" r:id="rId2" xr:uid="{2FCFE847-FC3D-43FD-8500-4887B9EA421B}"/>
    <hyperlink ref="AC2" r:id="rId3" display="18/03/2026" xr:uid="{B425C7EE-D378-4215-A8B1-8F97AE3DAC8B}"/>
    <hyperlink ref="AC3" r:id="rId4" display="18/03/2026" xr:uid="{BC85437E-4AB4-4BCA-9D4D-7E816099F9E0}"/>
    <hyperlink ref="AB2" r:id="rId5" display="4090180447" xr:uid="{AD6C94B7-C06A-4112-9E16-5F946F7AB6CE}"/>
    <hyperlink ref="AB3" r:id="rId6" display="4090180447" xr:uid="{EEC55AF5-5497-45A6-B0DE-4B82F3654A11}"/>
    <hyperlink ref="W2" r:id="rId7" display="2613127706" xr:uid="{42378D78-F84B-4B1E-B7B5-DD26F0090B22}"/>
    <hyperlink ref="W3" r:id="rId8" display="2613127706" xr:uid="{A3A8DE6A-EFA1-436F-BDA9-3F79218A2554}"/>
  </hyperlinks>
  <pageMargins left="0.7" right="0.7" top="0.75" bottom="0.75" header="0.3" footer="0.3"/>
  <legacy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898A0-50DC-4248-B4D3-1E1F1C494B94}">
  <dimension ref="A1:K10"/>
  <sheetViews>
    <sheetView workbookViewId="0">
      <selection activeCell="E5" sqref="E5"/>
    </sheetView>
  </sheetViews>
  <sheetFormatPr baseColWidth="10" defaultColWidth="9.140625" defaultRowHeight="15"/>
  <cols>
    <col min="1" max="1" width="23.5703125" customWidth="1"/>
    <col min="2" max="5" width="23.42578125" customWidth="1"/>
    <col min="6" max="6" width="38.42578125" customWidth="1"/>
    <col min="7" max="7" width="23.28515625" customWidth="1"/>
    <col min="8" max="8" width="35.42578125" customWidth="1"/>
    <col min="9" max="9" width="26.42578125" customWidth="1"/>
    <col min="10" max="10" width="19.5703125" customWidth="1"/>
    <col min="11" max="11" width="58.140625" customWidth="1"/>
  </cols>
  <sheetData>
    <row r="1" spans="1:11">
      <c r="A1" s="25" t="s">
        <v>2018</v>
      </c>
      <c r="B1" s="25" t="s">
        <v>2019</v>
      </c>
      <c r="C1" s="25" t="s">
        <v>10</v>
      </c>
      <c r="D1" s="25" t="s">
        <v>2020</v>
      </c>
      <c r="E1" s="25" t="s">
        <v>2021</v>
      </c>
      <c r="F1" s="25"/>
      <c r="G1" s="25" t="s">
        <v>2022</v>
      </c>
      <c r="I1" t="s">
        <v>2023</v>
      </c>
      <c r="J1" t="s">
        <v>2024</v>
      </c>
      <c r="K1" t="s">
        <v>2025</v>
      </c>
    </row>
    <row r="2" spans="1:11">
      <c r="A2" t="s">
        <v>2026</v>
      </c>
      <c r="B2" t="s">
        <v>995</v>
      </c>
      <c r="C2" t="s">
        <v>60</v>
      </c>
      <c r="D2" t="s">
        <v>2027</v>
      </c>
      <c r="E2" t="s">
        <v>2028</v>
      </c>
      <c r="F2" t="s">
        <v>2029</v>
      </c>
      <c r="G2" t="s">
        <v>58</v>
      </c>
      <c r="H2" t="s">
        <v>2030</v>
      </c>
      <c r="I2" t="s">
        <v>2031</v>
      </c>
      <c r="J2" s="3" t="s">
        <v>52</v>
      </c>
      <c r="K2" t="s">
        <v>2032</v>
      </c>
    </row>
    <row r="3" spans="1:11">
      <c r="A3" s="25" t="s">
        <v>2033</v>
      </c>
      <c r="B3" t="s">
        <v>2034</v>
      </c>
      <c r="C3" t="s">
        <v>44</v>
      </c>
      <c r="D3" t="s">
        <v>46</v>
      </c>
      <c r="E3" t="s">
        <v>2035</v>
      </c>
      <c r="F3" t="s">
        <v>2036</v>
      </c>
      <c r="G3" t="s">
        <v>2037</v>
      </c>
      <c r="H3" t="s">
        <v>2038</v>
      </c>
      <c r="I3" t="s">
        <v>2039</v>
      </c>
      <c r="J3" s="3" t="s">
        <v>66</v>
      </c>
      <c r="K3" t="s">
        <v>2040</v>
      </c>
    </row>
    <row r="4" spans="1:11">
      <c r="A4" t="s">
        <v>2041</v>
      </c>
      <c r="B4" t="s">
        <v>935</v>
      </c>
      <c r="C4" t="s">
        <v>1956</v>
      </c>
      <c r="D4" t="s">
        <v>1957</v>
      </c>
      <c r="E4" t="s">
        <v>24</v>
      </c>
      <c r="F4" t="s">
        <v>2042</v>
      </c>
      <c r="H4" t="s">
        <v>2043</v>
      </c>
      <c r="I4" t="s">
        <v>2044</v>
      </c>
      <c r="J4" s="3" t="s">
        <v>76</v>
      </c>
      <c r="K4" t="s">
        <v>1592</v>
      </c>
    </row>
    <row r="5" spans="1:11">
      <c r="B5" t="s">
        <v>2045</v>
      </c>
      <c r="F5" t="s">
        <v>2046</v>
      </c>
      <c r="J5" s="3" t="s">
        <v>102</v>
      </c>
      <c r="K5" t="s">
        <v>1437</v>
      </c>
    </row>
    <row r="6" spans="1:11">
      <c r="B6" t="s">
        <v>39</v>
      </c>
      <c r="J6" s="3" t="s">
        <v>196</v>
      </c>
      <c r="K6" t="s">
        <v>2047</v>
      </c>
    </row>
    <row r="7" spans="1:11">
      <c r="J7" s="2" t="s">
        <v>366</v>
      </c>
      <c r="K7" t="s">
        <v>1437</v>
      </c>
    </row>
    <row r="8" spans="1:11">
      <c r="J8" s="2" t="s">
        <v>441</v>
      </c>
      <c r="K8" t="s">
        <v>2048</v>
      </c>
    </row>
    <row r="9" spans="1:11">
      <c r="J9" s="2" t="s">
        <v>450</v>
      </c>
      <c r="K9" t="s">
        <v>2049</v>
      </c>
    </row>
    <row r="10" spans="1:11">
      <c r="J10" s="2" t="s">
        <v>535</v>
      </c>
      <c r="K10" t="s">
        <v>2050</v>
      </c>
    </row>
  </sheetData>
  <dataValidations count="1">
    <dataValidation type="list" allowBlank="1" showInputMessage="1" showErrorMessage="1" sqref="A3:A4 B2" xr:uid="{08504AB6-1943-4CDB-9966-7845C91C5653}">
      <formula1>$A$3:$A$4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762AEE074382F459D1866064B8447D4" ma:contentTypeVersion="3" ma:contentTypeDescription="Crear nuevo documento." ma:contentTypeScope="" ma:versionID="fbcb6eca3569625aa3da17f0ecd31501">
  <xsd:schema xmlns:xsd="http://www.w3.org/2001/XMLSchema" xmlns:xs="http://www.w3.org/2001/XMLSchema" xmlns:p="http://schemas.microsoft.com/office/2006/metadata/properties" xmlns:ns2="4662f0e3-f4c4-4931-8e76-960ae722852f" targetNamespace="http://schemas.microsoft.com/office/2006/metadata/properties" ma:root="true" ma:fieldsID="63821c1fe76ba995fd6cb1d2c442ca7a" ns2:_="">
    <xsd:import namespace="4662f0e3-f4c4-4931-8e76-960ae72285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62f0e3-f4c4-4931-8e76-960ae72285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5864D4-4D75-4318-98FB-08B4DB48CFF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733FB95-B7F1-4430-9D8C-98621A69FC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62f0e3-f4c4-4931-8e76-960ae72285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3E6228-D059-4D4A-9844-9FB7E4EC76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IMPO TERR</vt:lpstr>
      <vt:lpstr>IMPO MAR</vt:lpstr>
      <vt:lpstr>Hoja1</vt:lpstr>
      <vt:lpstr>IMPO AEREA</vt:lpstr>
      <vt:lpstr>Matriz datos</vt:lpstr>
      <vt:lpstr>CARGA</vt:lpstr>
      <vt:lpstr>cliente</vt:lpstr>
      <vt:lpstr>INSTRUCCIONES</vt:lpstr>
      <vt:lpstr>TIPO_CARGA</vt:lpstr>
      <vt:lpstr>TIPO_OPERACION</vt:lpstr>
      <vt:lpstr>TIPO_TRAMITE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Pirazzoli</dc:creator>
  <cp:keywords/>
  <dc:description/>
  <cp:lastModifiedBy>Alejandro Cifuentes</cp:lastModifiedBy>
  <cp:revision/>
  <dcterms:created xsi:type="dcterms:W3CDTF">2026-03-04T12:39:48Z</dcterms:created>
  <dcterms:modified xsi:type="dcterms:W3CDTF">2026-03-29T19:29:29Z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0x0101004762AEE074382F459D1866064B8447D4</vt:lpwstr>
  </property>
</Properties>
</file>