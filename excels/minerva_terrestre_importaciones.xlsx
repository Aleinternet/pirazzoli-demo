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\zz_ale_cosas\otras_personas\Pirazzoli\pirazzoli-demo\excels\"/>
    </mc:Choice>
  </mc:AlternateContent>
  <xr:revisionPtr revIDLastSave="0" documentId="13_ncr:1_{48B358F2-41C1-4A72-9F43-F8C595142468}" xr6:coauthVersionLast="47" xr6:coauthVersionMax="47" xr10:uidLastSave="{00000000-0000-0000-0000-000000000000}"/>
  <bookViews>
    <workbookView xWindow="28680" yWindow="-120" windowWidth="29040" windowHeight="15720" activeTab="1" xr2:uid="{7618C72B-C967-4346-827E-EFA46EAC6289}"/>
  </bookViews>
  <sheets>
    <sheet name="IMPO TERR" sheetId="1" r:id="rId1"/>
    <sheet name="Matriz datos" sheetId="2" r:id="rId2"/>
  </sheets>
  <definedNames>
    <definedName name="_xlnm._FilterDatabase" localSheetId="0" hidden="1">'IMPO TERR'!$A$1:$AL$1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8" i="1" l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29" i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9" i="1"/>
  <c r="U100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G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H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sharedStrings.xml><?xml version="1.0" encoding="utf-8"?>
<sst xmlns="http://schemas.openxmlformats.org/spreadsheetml/2006/main" count="2597" uniqueCount="1182">
  <si>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</si>
  <si>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</si>
  <si>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</si>
  <si>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</si>
  <si>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</si>
  <si>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</si>
  <si>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</si>
  <si>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</si>
  <si>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</si>
  <si>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</si>
  <si>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</si>
  <si>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</si>
  <si>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</si>
  <si>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</si>
  <si>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</si>
  <si>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</si>
  <si>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</si>
  <si>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</si>
  <si>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</si>
  <si>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</si>
  <si>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</si>
  <si>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</si>
  <si>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</si>
  <si>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CDA SAG</t>
  </si>
  <si>
    <t>IIPA</t>
  </si>
  <si>
    <t>CDA SEREMI</t>
  </si>
  <si>
    <t>UYD SEREMI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</si>
  <si>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</si>
  <si>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</si>
  <si>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</si>
  <si>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</si>
  <si>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</si>
  <si>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</si>
  <si>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</si>
  <si>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</si>
  <si>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</si>
  <si>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</si>
  <si>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</si>
  <si>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</si>
  <si>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</si>
  <si>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</si>
  <si>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</si>
  <si>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</si>
  <si>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</si>
  <si>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</si>
  <si>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</si>
  <si>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</si>
  <si>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</si>
  <si>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</si>
  <si>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</si>
  <si>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</si>
  <si>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</si>
  <si>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</si>
  <si>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</si>
  <si>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</si>
  <si>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>0520260012446CDA</t>
  </si>
  <si>
    <t>0520260018764IIPA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</si>
  <si>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</si>
  <si>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</si>
  <si>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</si>
  <si>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</si>
  <si>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</si>
  <si>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</si>
  <si>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</si>
  <si>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</si>
  <si>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</si>
  <si>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</si>
  <si>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</si>
  <si>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</si>
  <si>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0520260011071CDA</t>
  </si>
  <si>
    <t>0520260017940IIPA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</si>
  <si>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</si>
  <si>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</si>
  <si>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</si>
  <si>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</si>
  <si>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</si>
  <si>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</si>
  <si>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</si>
  <si>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</si>
  <si>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>0520260011763CDA</t>
  </si>
  <si>
    <t>0520260017950IIPA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</si>
  <si>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</si>
  <si>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</si>
  <si>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</si>
  <si>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</si>
  <si>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</si>
  <si>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</si>
  <si>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0520260010619CDA</t>
  </si>
  <si>
    <t>0520260018425IIPA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</si>
  <si>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</si>
  <si>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</si>
  <si>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</si>
  <si>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</si>
  <si>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</si>
  <si>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</si>
  <si>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0520260010919CDA</t>
  </si>
  <si>
    <t>0520260017584IIPA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</si>
  <si>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</si>
  <si>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</si>
  <si>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</si>
  <si>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</si>
  <si>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</si>
  <si>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</si>
  <si>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</si>
  <si>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</si>
  <si>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0520260011333CDA</t>
  </si>
  <si>
    <t>0520260017640IIPA</t>
  </si>
  <si>
    <t>SO/6360-28</t>
  </si>
  <si>
    <t>BR547044939</t>
  </si>
  <si>
    <t>RXQ0G36</t>
  </si>
  <si>
    <t>RYK0I89</t>
  </si>
  <si>
    <t>EEDISON JORGE NUNES</t>
  </si>
  <si>
    <t>CPF: 035.606.250-33</t>
  </si>
  <si>
    <t>0520260011336CDA</t>
  </si>
  <si>
    <t>0520260018429IIPA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</si>
  <si>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</si>
  <si>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</si>
  <si>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</si>
  <si>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</si>
  <si>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</si>
  <si>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</si>
  <si>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</si>
  <si>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>0520260011220CDA</t>
  </si>
  <si>
    <t>0520260017649IIPA</t>
  </si>
  <si>
    <t xml:space="preserve">SO/6356-4 </t>
  </si>
  <si>
    <t>BR453909363</t>
  </si>
  <si>
    <t>BRILHANTE</t>
  </si>
  <si>
    <t>RHG9B61</t>
  </si>
  <si>
    <t>RLA8I71</t>
  </si>
  <si>
    <t>LUCAS PAULO MAIA QUEIROZ DA SILVA</t>
  </si>
  <si>
    <t>CPF: 903.000.332-4</t>
  </si>
  <si>
    <t>0520260011285CDA</t>
  </si>
  <si>
    <t>0520260018513IIPA</t>
  </si>
  <si>
    <t xml:space="preserve">O/87304-3 </t>
  </si>
  <si>
    <t>BR261615121</t>
  </si>
  <si>
    <t>BELMAT</t>
  </si>
  <si>
    <t>GHG7D55</t>
  </si>
  <si>
    <t>RLB4D02</t>
  </si>
  <si>
    <t>MARCELO DINIZ</t>
  </si>
  <si>
    <t>0520260011841CDA</t>
  </si>
  <si>
    <t>0520260019347IIPA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</si>
  <si>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</si>
  <si>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</si>
  <si>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</si>
  <si>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</si>
  <si>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</si>
  <si>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</si>
  <si>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CPF: 225.355.138-46</t>
  </si>
  <si>
    <t>0520260011208CDA</t>
  </si>
  <si>
    <t>0520260018794IIPA</t>
  </si>
  <si>
    <t>09-03-2026 </t>
  </si>
  <si>
    <t>CN 6357-10</t>
  </si>
  <si>
    <t>2026PYSANJOSE049</t>
  </si>
  <si>
    <t>LJWL11</t>
  </si>
  <si>
    <t>KDHS40</t>
  </si>
  <si>
    <t>0520260011782CDA</t>
  </si>
  <si>
    <t>0520260017968IIPA</t>
  </si>
  <si>
    <t>CN 6358-10</t>
  </si>
  <si>
    <t>26PYFOODS314</t>
  </si>
  <si>
    <t>FRIGOMERC</t>
  </si>
  <si>
    <t>AAAE804</t>
  </si>
  <si>
    <t>AAAE476</t>
  </si>
  <si>
    <t>0520260011535CDA</t>
  </si>
  <si>
    <t>0520260018254IIPA</t>
  </si>
  <si>
    <t>CN 6359-8</t>
  </si>
  <si>
    <t>PYLG066/2026</t>
  </si>
  <si>
    <t>LUCERY</t>
  </si>
  <si>
    <t>AAGN977</t>
  </si>
  <si>
    <t>AAAE634</t>
  </si>
  <si>
    <t>0520260011407CDA</t>
  </si>
  <si>
    <t>0520260017775IIPA</t>
  </si>
  <si>
    <t xml:space="preserve">SO/6354-43 </t>
  </si>
  <si>
    <t>C.O. VALIDAR</t>
  </si>
  <si>
    <t>BR547044989</t>
  </si>
  <si>
    <t>JBG8A84</t>
  </si>
  <si>
    <t>RYM5E22</t>
  </si>
  <si>
    <t>0520260011476CDA</t>
  </si>
  <si>
    <t>0520260018502IIPA</t>
  </si>
  <si>
    <t xml:space="preserve">SO/6354-37 </t>
  </si>
  <si>
    <t>BR547044911</t>
  </si>
  <si>
    <t>RYB8I87</t>
  </si>
  <si>
    <t xml:space="preserve"> ALESSANDRO VIEIRA</t>
  </si>
  <si>
    <t>0520260011359CDA</t>
  </si>
  <si>
    <t>0520260018718IIPA</t>
  </si>
  <si>
    <t>CN 25320-6</t>
  </si>
  <si>
    <t>PYLG070/2026</t>
  </si>
  <si>
    <t>AAHI130</t>
  </si>
  <si>
    <t>AAKB750</t>
  </si>
  <si>
    <t>RAMIREZ</t>
  </si>
  <si>
    <t>0520260011416CDA</t>
  </si>
  <si>
    <t>0520260018430IIPA</t>
  </si>
  <si>
    <t xml:space="preserve">SO/6354-41 </t>
  </si>
  <si>
    <t>BR547044956</t>
  </si>
  <si>
    <t>RYX9E71</t>
  </si>
  <si>
    <t>RYP2J71</t>
  </si>
  <si>
    <t>0520260011864CDA</t>
  </si>
  <si>
    <t>0520260018359IIPA</t>
  </si>
  <si>
    <t>O/87315-2</t>
  </si>
  <si>
    <t>BR547044967</t>
  </si>
  <si>
    <t>RXT9I23</t>
  </si>
  <si>
    <t>RXO5E92</t>
  </si>
  <si>
    <t>0520260011897CDA</t>
  </si>
  <si>
    <t>0520260018420IIPA</t>
  </si>
  <si>
    <t xml:space="preserve">O/87568 </t>
  </si>
  <si>
    <t>BR698100492</t>
  </si>
  <si>
    <t>VIZZOTTO</t>
  </si>
  <si>
    <t>RYC0I37</t>
  </si>
  <si>
    <t>RLI0I42</t>
  </si>
  <si>
    <t>0520260011917CDA</t>
  </si>
  <si>
    <t>0520260018423IIPA</t>
  </si>
  <si>
    <t xml:space="preserve">CN 6360-30 </t>
  </si>
  <si>
    <t>PYLG072/2026</t>
  </si>
  <si>
    <t>AAIE199</t>
  </si>
  <si>
    <t>AAMA137</t>
  </si>
  <si>
    <t>FERNANDO ACOSTA AGUILAR</t>
  </si>
  <si>
    <t>0520260011516CDA</t>
  </si>
  <si>
    <t>0520260018850IIPA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</si>
  <si>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</si>
  <si>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</si>
  <si>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</si>
  <si>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</si>
  <si>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</si>
  <si>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</si>
  <si>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</si>
  <si>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</si>
  <si>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</si>
  <si>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>0520260011946CDA</t>
  </si>
  <si>
    <t>0520260018771IIPA</t>
  </si>
  <si>
    <t xml:space="preserve"> SO/6456-3 </t>
  </si>
  <si>
    <t>BR512203456</t>
  </si>
  <si>
    <t>VENEZA</t>
  </si>
  <si>
    <t>RGM7C35</t>
  </si>
  <si>
    <t>QJB2B11</t>
  </si>
  <si>
    <t>0520260012067CDA</t>
  </si>
  <si>
    <t>0520260018434IIPA</t>
  </si>
  <si>
    <t>SO/6354-39</t>
  </si>
  <si>
    <t>BR547044938</t>
  </si>
  <si>
    <t>SXA9J22</t>
  </si>
  <si>
    <t>SXA1F12</t>
  </si>
  <si>
    <t>0520260011881CDA</t>
  </si>
  <si>
    <t>0520260018267IIPA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</si>
  <si>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</si>
  <si>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</si>
  <si>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</si>
  <si>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</si>
  <si>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</si>
  <si>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</si>
  <si>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0520260012044CDA</t>
  </si>
  <si>
    <t>0520260018943IIPA</t>
  </si>
  <si>
    <t>SO/6354-42</t>
  </si>
  <si>
    <t>BR547044969</t>
  </si>
  <si>
    <t>QTL0655</t>
  </si>
  <si>
    <t>RYL9J02</t>
  </si>
  <si>
    <t>0520260012066CDA</t>
  </si>
  <si>
    <t>0520260018462IIPA</t>
  </si>
  <si>
    <t>SO/6331-15</t>
  </si>
  <si>
    <t>Argentina</t>
  </si>
  <si>
    <t>052024TC2026</t>
  </si>
  <si>
    <t>TRES CRUCES</t>
  </si>
  <si>
    <t>AG826IT</t>
  </si>
  <si>
    <t>AG337WM</t>
  </si>
  <si>
    <t xml:space="preserve">0520260012059CDA </t>
  </si>
  <si>
    <t>0520260018004IIPA</t>
  </si>
  <si>
    <t>SO/6330-11</t>
  </si>
  <si>
    <t>052AR219400890</t>
  </si>
  <si>
    <t>RIO COLORADO</t>
  </si>
  <si>
    <t>RBTW67</t>
  </si>
  <si>
    <t>JB6491</t>
  </si>
  <si>
    <t>0520260011708CDA</t>
  </si>
  <si>
    <t>0520260017620IIPA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</si>
  <si>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</si>
  <si>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</si>
  <si>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</si>
  <si>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</si>
  <si>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</si>
  <si>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</si>
  <si>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>0520260012068CDA</t>
  </si>
  <si>
    <t>0520260019904IIPA</t>
  </si>
  <si>
    <t xml:space="preserve">O/87772-1 </t>
  </si>
  <si>
    <t>BR547044927</t>
  </si>
  <si>
    <t>RLM6H97</t>
  </si>
  <si>
    <t>QIT8604</t>
  </si>
  <si>
    <t>0520260011858CDA</t>
  </si>
  <si>
    <t xml:space="preserve">O/87772-2 </t>
  </si>
  <si>
    <t>BR547045030</t>
  </si>
  <si>
    <t>TDQ9I41</t>
  </si>
  <si>
    <t>SXV1F31</t>
  </si>
  <si>
    <t xml:space="preserve"> JOSE PAGOTTI</t>
  </si>
  <si>
    <t>0520260012143CDA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</si>
  <si>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</si>
  <si>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</si>
  <si>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</si>
  <si>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</si>
  <si>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</si>
  <si>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</si>
  <si>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0520260012308CDA</t>
  </si>
  <si>
    <t>0520260019893IIPA</t>
  </si>
  <si>
    <t>SO/6354-45</t>
  </si>
  <si>
    <t>BR547045016</t>
  </si>
  <si>
    <t>RXY9E54</t>
  </si>
  <si>
    <t>RXK1C65</t>
  </si>
  <si>
    <t xml:space="preserve"> MARCIO DA SILVA</t>
  </si>
  <si>
    <t>0520260011913CDA</t>
  </si>
  <si>
    <t>0520260019321IIPA</t>
  </si>
  <si>
    <t>SO/6370-29</t>
  </si>
  <si>
    <t>BR547045026</t>
  </si>
  <si>
    <t>SXI7A02</t>
  </si>
  <si>
    <t>RYW5J12</t>
  </si>
  <si>
    <t xml:space="preserve"> ELIO PEREIRA DE OLIVEIRA</t>
  </si>
  <si>
    <t>0520260012190CDA</t>
  </si>
  <si>
    <t>0520260019259IIPA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</si>
  <si>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</si>
  <si>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</si>
  <si>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</si>
  <si>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</si>
  <si>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</si>
  <si>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</si>
  <si>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>0520260012109CDA</t>
  </si>
  <si>
    <t>0520260020948IIPA</t>
  </si>
  <si>
    <t xml:space="preserve">CN 6360-29 </t>
  </si>
  <si>
    <t>PY23TMA1138</t>
  </si>
  <si>
    <t>ADRI003</t>
  </si>
  <si>
    <t>ADRI002</t>
  </si>
  <si>
    <t xml:space="preserve"> ALCIDES AVALOS</t>
  </si>
  <si>
    <t>0520260012345CDA</t>
  </si>
  <si>
    <t>0520260018836IIPA</t>
  </si>
  <si>
    <t xml:space="preserve">AR/18899-1 </t>
  </si>
  <si>
    <t>052AR219400891</t>
  </si>
  <si>
    <t>HDLX77</t>
  </si>
  <si>
    <t>HGKX36</t>
  </si>
  <si>
    <t>TOTTUS</t>
  </si>
  <si>
    <t>0520260012228CDA</t>
  </si>
  <si>
    <t>0520260018428IIPA</t>
  </si>
  <si>
    <t xml:space="preserve">SO/6362-3 </t>
  </si>
  <si>
    <t>BR453909370</t>
  </si>
  <si>
    <t>RHR6J21</t>
  </si>
  <si>
    <t>RLG5E30</t>
  </si>
  <si>
    <t xml:space="preserve"> ADRIANO DE SOUZA</t>
  </si>
  <si>
    <t>0520260011922CDA</t>
  </si>
  <si>
    <t>0520260019337IIPA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</si>
  <si>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</si>
  <si>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</si>
  <si>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</si>
  <si>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</si>
  <si>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</si>
  <si>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</si>
  <si>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0520260012239CDA</t>
  </si>
  <si>
    <t>0520260022045IIPA</t>
  </si>
  <si>
    <t>SO/6362-1</t>
  </si>
  <si>
    <t>BR633202432</t>
  </si>
  <si>
    <t>MIRO</t>
  </si>
  <si>
    <t>SVR4A13</t>
  </si>
  <si>
    <t>SXJ3J97</t>
  </si>
  <si>
    <t xml:space="preserve"> JONATHAN EDUARTS</t>
  </si>
  <si>
    <t>0520260011936CDA</t>
  </si>
  <si>
    <t>0520260019328IIPA</t>
  </si>
  <si>
    <t>CN 6357-8</t>
  </si>
  <si>
    <t>26PYFOODS316</t>
  </si>
  <si>
    <t>PYFOOD</t>
  </si>
  <si>
    <t>AARP790</t>
  </si>
  <si>
    <t>AAAE475</t>
  </si>
  <si>
    <t>0520260012113CDA</t>
  </si>
  <si>
    <t>0520260018426IIPA</t>
  </si>
  <si>
    <t>06-03-2026 </t>
  </si>
  <si>
    <t xml:space="preserve">SO/6456-4 </t>
  </si>
  <si>
    <t>BR453909378</t>
  </si>
  <si>
    <t>SEK6H34</t>
  </si>
  <si>
    <t>SXX0174</t>
  </si>
  <si>
    <t xml:space="preserve"> LUCAS DE OLIVEIRA SOUZA</t>
  </si>
  <si>
    <t>0520260012536CDA</t>
  </si>
  <si>
    <t>0520260019917IIPA</t>
  </si>
  <si>
    <t xml:space="preserve">SO/6356-6 </t>
  </si>
  <si>
    <t>BR453909383</t>
  </si>
  <si>
    <t>SDZ5E28</t>
  </si>
  <si>
    <t>REA1E31</t>
  </si>
  <si>
    <t>JOSENILDO FREIRE DA SILVA</t>
  </si>
  <si>
    <t>0520260012538CDA</t>
  </si>
  <si>
    <t>0520260018936IIPA</t>
  </si>
  <si>
    <t>SO/6330-13</t>
  </si>
  <si>
    <t>052AR219400892</t>
  </si>
  <si>
    <t>HFST22</t>
  </si>
  <si>
    <t>JL7542</t>
  </si>
  <si>
    <t>0520260011930CDA</t>
  </si>
  <si>
    <t>0520260018407IIPA</t>
  </si>
  <si>
    <t>CN 25314-3</t>
  </si>
  <si>
    <t>2026PYSANJOSE053</t>
  </si>
  <si>
    <t>AAHX504</t>
  </si>
  <si>
    <t>BETO050</t>
  </si>
  <si>
    <t xml:space="preserve"> JORGE GEDEON</t>
  </si>
  <si>
    <t>0520260012240CDA</t>
  </si>
  <si>
    <t>0520260018948IIPA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</si>
  <si>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</si>
  <si>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</si>
  <si>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</si>
  <si>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</si>
  <si>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</si>
  <si>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</si>
  <si>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</si>
  <si>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0520260011949CDA</t>
  </si>
  <si>
    <t>CN 25235-2</t>
  </si>
  <si>
    <t>PYLG073/2026</t>
  </si>
  <si>
    <t>AAJK151</t>
  </si>
  <si>
    <t>AAIL683</t>
  </si>
  <si>
    <t>KARMAC</t>
  </si>
  <si>
    <t xml:space="preserve"> DAVID GALEANO</t>
  </si>
  <si>
    <t>0520260012542CDA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</si>
  <si>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</si>
  <si>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</si>
  <si>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</si>
  <si>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</si>
  <si>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</si>
  <si>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</si>
  <si>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</si>
  <si>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0520260012282CDA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</si>
  <si>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</si>
  <si>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</si>
  <si>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</si>
  <si>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</si>
  <si>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</si>
  <si>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</si>
  <si>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0520260012566CDA</t>
  </si>
  <si>
    <t>SO/6362-4</t>
  </si>
  <si>
    <t>BR512203463</t>
  </si>
  <si>
    <t>SXB9E75</t>
  </si>
  <si>
    <t>SXA8C05</t>
  </si>
  <si>
    <t>IVONEI FRANCHINI</t>
  </si>
  <si>
    <t>CPF: 028.716.939-19</t>
  </si>
  <si>
    <t>0520260012574CDA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</si>
  <si>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</si>
  <si>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</si>
  <si>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</si>
  <si>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</si>
  <si>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</si>
  <si>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</si>
  <si>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</si>
  <si>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>0520260012603CDA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</si>
  <si>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</si>
  <si>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</si>
  <si>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</si>
  <si>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</si>
  <si>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</si>
  <si>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</si>
  <si>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</si>
  <si>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</si>
  <si>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0520260012454CDA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</si>
  <si>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</si>
  <si>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</si>
  <si>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</si>
  <si>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</si>
  <si>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</si>
  <si>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</si>
  <si>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0520260012350CDA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</si>
  <si>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</si>
  <si>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</si>
  <si>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</si>
  <si>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</si>
  <si>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</si>
  <si>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</si>
  <si>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</si>
  <si>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</si>
  <si>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0520260012510CDA</t>
  </si>
  <si>
    <t>CN 25320-5</t>
  </si>
  <si>
    <t>PYLG074/2026</t>
  </si>
  <si>
    <t>AAIE005</t>
  </si>
  <si>
    <t>AAIE004</t>
  </si>
  <si>
    <t>ANTONIO RIOS</t>
  </si>
  <si>
    <t>0520260012580CDA</t>
  </si>
  <si>
    <t>CN 25412-1</t>
  </si>
  <si>
    <t>PY23TMA1140</t>
  </si>
  <si>
    <t>AASC567</t>
  </si>
  <si>
    <t>AARP529</t>
  </si>
  <si>
    <t xml:space="preserve"> NELSON GONZALEZ</t>
  </si>
  <si>
    <t>CI: 4.926.875</t>
  </si>
  <si>
    <t>0520260012505CDA</t>
  </si>
  <si>
    <t>CN 25368-2</t>
  </si>
  <si>
    <t>PYLG075/2026</t>
  </si>
  <si>
    <t>AAGN704</t>
  </si>
  <si>
    <t>AAIN016</t>
  </si>
  <si>
    <t>FRIGOZETA</t>
  </si>
  <si>
    <t>DIEGO SAMUDIO BARRIOS</t>
  </si>
  <si>
    <t>0520260012739CDA</t>
  </si>
  <si>
    <t>CN 6358-13</t>
  </si>
  <si>
    <t>PYLG076/2026</t>
  </si>
  <si>
    <t>AAHI478</t>
  </si>
  <si>
    <t>AAMS803</t>
  </si>
  <si>
    <t>SERGIO RAMON OVELAR</t>
  </si>
  <si>
    <t>0520260012865CDA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</si>
  <si>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</si>
  <si>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</si>
  <si>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</si>
  <si>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</si>
  <si>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</si>
  <si>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</si>
  <si>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0520260012663CDA</t>
  </si>
  <si>
    <t>SO/6354-48</t>
  </si>
  <si>
    <t>EN TRANSITO</t>
  </si>
  <si>
    <t>BR547046096</t>
  </si>
  <si>
    <t>RLH5195</t>
  </si>
  <si>
    <t>RAD1204</t>
  </si>
  <si>
    <t>AGLAYR VAGNER DA SILVA BENICIO</t>
  </si>
  <si>
    <t>CPF: 094.932.184-22</t>
  </si>
  <si>
    <t>0520260012881CDA</t>
  </si>
  <si>
    <t>SO/6362-5</t>
  </si>
  <si>
    <t>EN ALMACEN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</si>
  <si>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</si>
  <si>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</si>
  <si>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</si>
  <si>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</si>
  <si>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</si>
  <si>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</si>
  <si>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>0520260012979CDA</t>
  </si>
  <si>
    <t xml:space="preserve">PENDIENTE 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</si>
  <si>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</si>
  <si>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</si>
  <si>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</si>
  <si>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</si>
  <si>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</si>
  <si>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</si>
  <si>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</si>
  <si>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0520260012720CDA</t>
  </si>
  <si>
    <t>SO/6362-2</t>
  </si>
  <si>
    <t>BR547045042</t>
  </si>
  <si>
    <t>RLJ2171</t>
  </si>
  <si>
    <t>RYF0E17</t>
  </si>
  <si>
    <t>ROBSON ROSA DO NASCIMENTO</t>
  </si>
  <si>
    <t>CPF: 194.816.998-38</t>
  </si>
  <si>
    <t>0520260012894CDA</t>
  </si>
  <si>
    <t>SO/6370-32</t>
  </si>
  <si>
    <t>BR547046082</t>
  </si>
  <si>
    <t>RLK5H25</t>
  </si>
  <si>
    <t>SILVANA ADRIA</t>
  </si>
  <si>
    <t>CPF:059.254.209-26</t>
  </si>
  <si>
    <t>0520260012751CDA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</si>
  <si>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</si>
  <si>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</si>
  <si>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</si>
  <si>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</si>
  <si>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</si>
  <si>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</si>
  <si>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0520260012889CDA</t>
  </si>
  <si>
    <t>SO/6497-1</t>
  </si>
  <si>
    <t>BR512203472</t>
  </si>
  <si>
    <t>RXY6J89</t>
  </si>
  <si>
    <t>RLH9C86</t>
  </si>
  <si>
    <t>LETICIA DE CARVALHO</t>
  </si>
  <si>
    <t>0520260013160CDA</t>
  </si>
  <si>
    <t>SO/6350-5</t>
  </si>
  <si>
    <t>BR547046119</t>
  </si>
  <si>
    <t>RLN9J25</t>
  </si>
  <si>
    <t>RLM7H95</t>
  </si>
  <si>
    <t>NATANAEL DOS SANTOS FERTONANE</t>
  </si>
  <si>
    <t>CPF:038.213.502-45</t>
  </si>
  <si>
    <t>0520260013030CDA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</si>
  <si>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</si>
  <si>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</si>
  <si>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</si>
  <si>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</si>
  <si>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</si>
  <si>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</si>
  <si>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0520260012912CDA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</si>
  <si>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</si>
  <si>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</si>
  <si>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</si>
  <si>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</si>
  <si>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</si>
  <si>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</si>
  <si>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</si>
  <si>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0520260012789CDA</t>
  </si>
  <si>
    <t>CN 6357-13</t>
  </si>
  <si>
    <t>PY23TMA1141</t>
  </si>
  <si>
    <t>BRNA075</t>
  </si>
  <si>
    <t>TINI074</t>
  </si>
  <si>
    <t>LUIS BENITZ</t>
  </si>
  <si>
    <t>CI: 3.508.310</t>
  </si>
  <si>
    <t>0520260012903CDA</t>
  </si>
  <si>
    <t>SO/6354-47</t>
  </si>
  <si>
    <t>BR547046065</t>
  </si>
  <si>
    <t>RXV7D73</t>
  </si>
  <si>
    <t>OJL0526</t>
  </si>
  <si>
    <t>FERNANDO SCHMITT</t>
  </si>
  <si>
    <t>CPF: 022.714.529-10</t>
  </si>
  <si>
    <t>0520260013175CDA</t>
  </si>
  <si>
    <t>CN 25412-2</t>
  </si>
  <si>
    <t>PY23TMA1142</t>
  </si>
  <si>
    <t>AAVP142</t>
  </si>
  <si>
    <t>AAFR256</t>
  </si>
  <si>
    <t>JUAN CARLOS GONZALES</t>
  </si>
  <si>
    <t>CI: 4.550.729</t>
  </si>
  <si>
    <t>0520260013042CDA</t>
  </si>
  <si>
    <t>SO/6397-9</t>
  </si>
  <si>
    <t xml:space="preserve"> Pendiente Factura </t>
  </si>
  <si>
    <t>BR707400452</t>
  </si>
  <si>
    <t>SPX6D65</t>
  </si>
  <si>
    <t>SPU3D81</t>
  </si>
  <si>
    <t>RENILDO DE SOUZA</t>
  </si>
  <si>
    <t>0520260013327CDA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</si>
  <si>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</si>
  <si>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</si>
  <si>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</si>
  <si>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</si>
  <si>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</si>
  <si>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</si>
  <si>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</si>
  <si>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0520260012980CDA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</si>
  <si>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</si>
  <si>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</si>
  <si>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</si>
  <si>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</si>
  <si>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</si>
  <si>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</si>
  <si>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</si>
  <si>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</si>
  <si>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</si>
  <si>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</si>
  <si>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0520260013114CDA</t>
  </si>
  <si>
    <t>CN 6358-12</t>
  </si>
  <si>
    <t>2026PYSANJOSE056B</t>
  </si>
  <si>
    <t>CFGY84</t>
  </si>
  <si>
    <t>GRJZ25</t>
  </si>
  <si>
    <t xml:space="preserve"> JUAN LEDEZMA</t>
  </si>
  <si>
    <t>0520260013190CDA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</si>
  <si>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</si>
  <si>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</si>
  <si>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</si>
  <si>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</si>
  <si>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</si>
  <si>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</si>
  <si>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</si>
  <si>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</si>
  <si>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0520260013059CDA</t>
  </si>
  <si>
    <t>SO/6331-16</t>
  </si>
  <si>
    <t>052030TC2026</t>
  </si>
  <si>
    <t>AE484FV</t>
  </si>
  <si>
    <t>AE515QK</t>
  </si>
  <si>
    <t>ARIEL MUÑOZ</t>
  </si>
  <si>
    <t>DNI: 26.395.174</t>
  </si>
  <si>
    <t>0520260012984CDA</t>
  </si>
  <si>
    <t>CN 6355-2P</t>
  </si>
  <si>
    <t>PY23TMA1143</t>
  </si>
  <si>
    <t>CRIS006</t>
  </si>
  <si>
    <t>CRIS008</t>
  </si>
  <si>
    <t>IVAN CESPEDES</t>
  </si>
  <si>
    <t>CI: 4.487.343</t>
  </si>
  <si>
    <t>0520260013234CDA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</si>
  <si>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</si>
  <si>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</si>
  <si>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</si>
  <si>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</si>
  <si>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</si>
  <si>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</si>
  <si>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0520260013230CDA</t>
  </si>
  <si>
    <t>CN 6359-10A</t>
  </si>
  <si>
    <t>10/0372026</t>
  </si>
  <si>
    <t>26PYFOODS320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</si>
  <si>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</si>
  <si>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</si>
  <si>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</si>
  <si>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</si>
  <si>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</si>
  <si>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</si>
  <si>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</si>
  <si>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0520260013238CDA</t>
  </si>
  <si>
    <t>SO/6330-14</t>
  </si>
  <si>
    <t>052032TC2026</t>
  </si>
  <si>
    <t>AE443QX</t>
  </si>
  <si>
    <t>AG364RE</t>
  </si>
  <si>
    <t xml:space="preserve">HUGO GASTON CORTES </t>
  </si>
  <si>
    <t>DNI 27.390.951</t>
  </si>
  <si>
    <t>0520260013300CDA</t>
  </si>
  <si>
    <t>SO/6558-1</t>
  </si>
  <si>
    <t>BR707400454</t>
  </si>
  <si>
    <t>RRP4E97</t>
  </si>
  <si>
    <t>RRL1G49</t>
  </si>
  <si>
    <t xml:space="preserve"> Las Mercedes Sitio 6(Ex San Pablo Ant) N14212, Pudahuel</t>
  </si>
  <si>
    <t>JUSSARA ZAMIATOVSKI</t>
  </si>
  <si>
    <t>0520260013605CDA</t>
  </si>
  <si>
    <t>19-03-2026 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</si>
  <si>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</si>
  <si>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</si>
  <si>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</si>
  <si>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</si>
  <si>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</si>
  <si>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</si>
  <si>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0520260013402CDA</t>
  </si>
  <si>
    <t>CN 25235-1</t>
  </si>
  <si>
    <t>PY23TMA1144</t>
  </si>
  <si>
    <t>AAAU361</t>
  </si>
  <si>
    <t>AARP524</t>
  </si>
  <si>
    <t>ANTONIO RECALDE</t>
  </si>
  <si>
    <t>CI: 4.996.980</t>
  </si>
  <si>
    <t>0520260013424CDA</t>
  </si>
  <si>
    <t>CN 25320-7</t>
  </si>
  <si>
    <t>26PYFOODS321</t>
  </si>
  <si>
    <t>PY FOODS</t>
  </si>
  <si>
    <t>AAAE437</t>
  </si>
  <si>
    <t>AAAE603</t>
  </si>
  <si>
    <t>DERLIS PARANDERI</t>
  </si>
  <si>
    <t>0520260013610CDA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</si>
  <si>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</si>
  <si>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</si>
  <si>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</si>
  <si>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</si>
  <si>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</si>
  <si>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</si>
  <si>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0520260013477CDA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</si>
  <si>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</si>
  <si>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</si>
  <si>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</si>
  <si>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</si>
  <si>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</si>
  <si>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</si>
  <si>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0520260013309CDA</t>
  </si>
  <si>
    <t>SO/6558-2</t>
  </si>
  <si>
    <t>BR707400456</t>
  </si>
  <si>
    <t>RRT1E57</t>
  </si>
  <si>
    <t>RRU8J60</t>
  </si>
  <si>
    <t>CLEITON DE OLIVEIRA MARCONES</t>
  </si>
  <si>
    <t xml:space="preserve"> CPF: 094.988.706-40</t>
  </si>
  <si>
    <t>0520260013435CDA</t>
  </si>
  <si>
    <t>SO/6354-50</t>
  </si>
  <si>
    <t>BR547046137</t>
  </si>
  <si>
    <t>RVD3G89</t>
  </si>
  <si>
    <t>RYV0F08</t>
  </si>
  <si>
    <t xml:space="preserve">VALTEIR HIPOLITO DA SILVA </t>
  </si>
  <si>
    <t>CPF: 102.840.658-46</t>
  </si>
  <si>
    <t>0520260013737CDA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</si>
  <si>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</si>
  <si>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</si>
  <si>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</si>
  <si>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</si>
  <si>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</si>
  <si>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</si>
  <si>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0520260013473CDA</t>
  </si>
  <si>
    <t>SO/6362-7</t>
  </si>
  <si>
    <t>BR547046103</t>
  </si>
  <si>
    <t>QTK6657</t>
  </si>
  <si>
    <t>QJX4177</t>
  </si>
  <si>
    <t>ROGER SANDRO DE SANTANA</t>
  </si>
  <si>
    <t>0520260013572CDA</t>
  </si>
  <si>
    <t>SO/6362-9</t>
  </si>
  <si>
    <t>BR512203481</t>
  </si>
  <si>
    <t>RGM7C44</t>
  </si>
  <si>
    <t>RXM9F24</t>
  </si>
  <si>
    <t xml:space="preserve">FRENANDO MARTINS DA SALIVA </t>
  </si>
  <si>
    <t>CPF: 061.008.759-26</t>
  </si>
  <si>
    <t>0520260013653CDA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</si>
  <si>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</si>
  <si>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</si>
  <si>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</si>
  <si>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</si>
  <si>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</si>
  <si>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</si>
  <si>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0520260013830CDA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</si>
  <si>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</si>
  <si>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</si>
  <si>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</si>
  <si>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</si>
  <si>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</si>
  <si>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</si>
  <si>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</si>
  <si>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</si>
  <si>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0520260014178CDA</t>
  </si>
  <si>
    <t>SO/6357-14</t>
  </si>
  <si>
    <t xml:space="preserve">CAMION INMOBILIZADO HASTA LA DESTRUCCION DE 3 CAJAS </t>
  </si>
  <si>
    <t>BR547046134</t>
  </si>
  <si>
    <t>RYBOC99</t>
  </si>
  <si>
    <t>RYS2F72</t>
  </si>
  <si>
    <t xml:space="preserve">DARLOU FERNANDES BATISTA </t>
  </si>
  <si>
    <t>CPF: 0209.783.370-79</t>
  </si>
  <si>
    <t>0520260013591CDA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</si>
  <si>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</si>
  <si>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</si>
  <si>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</si>
  <si>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</si>
  <si>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</si>
  <si>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</si>
  <si>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</si>
  <si>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0520260013521CDA</t>
  </si>
  <si>
    <t>CN 25320-8</t>
  </si>
  <si>
    <t>2026PYSANJOSE057</t>
  </si>
  <si>
    <t>TISJ007</t>
  </si>
  <si>
    <t>TISJ009</t>
  </si>
  <si>
    <t>FAVIO ESPINOZA</t>
  </si>
  <si>
    <t>CI: 2.348.296</t>
  </si>
  <si>
    <t>0520260013863CDA</t>
  </si>
  <si>
    <t>CN 25403-1</t>
  </si>
  <si>
    <t>26PYFOODS323</t>
  </si>
  <si>
    <t>AAAE496</t>
  </si>
  <si>
    <t>AAAE511</t>
  </si>
  <si>
    <t>MIGUEL DAVID VARELA FERNANDEZ</t>
  </si>
  <si>
    <t>CI: 2.141.136</t>
  </si>
  <si>
    <t>0520260013582CDA</t>
  </si>
  <si>
    <t>SO/6370-34</t>
  </si>
  <si>
    <t>BR547046135</t>
  </si>
  <si>
    <t>SYU4D00</t>
  </si>
  <si>
    <t>RYV2F90</t>
  </si>
  <si>
    <t>ANDERSON ANTONIO DA SILVA</t>
  </si>
  <si>
    <t>CPF: 068.583.204-07</t>
  </si>
  <si>
    <t>0520260013604CDA</t>
  </si>
  <si>
    <t>SO/6370-31</t>
  </si>
  <si>
    <t xml:space="preserve">CAMION QUEDA INMOBILIZADO PRESENTA DOS CORTES QUE NO CORRESPONDE A LA ETIQUETA </t>
  </si>
  <si>
    <t>BR261615152</t>
  </si>
  <si>
    <t>RXW7G05</t>
  </si>
  <si>
    <t>RDZ3D73</t>
  </si>
  <si>
    <t>MARCO AURELIO BEZERRA DE OLIVEIRA</t>
  </si>
  <si>
    <t>CPF: 080.746.487-29</t>
  </si>
  <si>
    <t>0520260013864CDA</t>
  </si>
  <si>
    <t>CN 6359-11</t>
  </si>
  <si>
    <t>PYLG0812026</t>
  </si>
  <si>
    <t>AAIL505</t>
  </si>
  <si>
    <t>MIVA102</t>
  </si>
  <si>
    <t xml:space="preserve"> PEDRO ALVARENGA</t>
  </si>
  <si>
    <t>0520260013740CDA</t>
  </si>
  <si>
    <t>2605127576 </t>
  </si>
  <si>
    <t>CN 6359-11A</t>
  </si>
  <si>
    <t>PYLG0822026</t>
  </si>
  <si>
    <t>PEDRO ALVARENGA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</si>
  <si>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</si>
  <si>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</si>
  <si>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</si>
  <si>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</si>
  <si>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</si>
  <si>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</si>
  <si>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0520260013597CDA</t>
  </si>
  <si>
    <t>O/87304-4</t>
  </si>
  <si>
    <t>BR547046185</t>
  </si>
  <si>
    <t>FYO6H53</t>
  </si>
  <si>
    <t>RXX9D74</t>
  </si>
  <si>
    <t>NEUDI CAETANO GRICULO</t>
  </si>
  <si>
    <t>CPF:385.704.409-87</t>
  </si>
  <si>
    <t>0520260013701CDA</t>
  </si>
  <si>
    <t>O/87243-1</t>
  </si>
  <si>
    <t xml:space="preserve">CERTIFICADO DE ORIGEN NO SE PUDO VALIDAR </t>
  </si>
  <si>
    <t>BR698100497</t>
  </si>
  <si>
    <t>MKJ5565</t>
  </si>
  <si>
    <t>MKT8236</t>
  </si>
  <si>
    <t>SILVINO CABRAL</t>
  </si>
  <si>
    <t>CPF: 388.375.529-04</t>
  </si>
  <si>
    <t>0520260013697SCD</t>
  </si>
  <si>
    <t>PEND</t>
  </si>
  <si>
    <t>O/87243-1A</t>
  </si>
  <si>
    <t>CERTIFICADO DE ORIGEN YA CORREGIDO</t>
  </si>
  <si>
    <t>BR698100496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</si>
  <si>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</si>
  <si>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</si>
  <si>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</si>
  <si>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</si>
  <si>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</si>
  <si>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</si>
  <si>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</si>
  <si>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0520260013994CDA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</si>
  <si>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</si>
  <si>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</si>
  <si>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</si>
  <si>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</si>
  <si>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</si>
  <si>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</si>
  <si>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0520260013787CDA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</si>
  <si>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</si>
  <si>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</si>
  <si>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</si>
  <si>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</si>
  <si>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</si>
  <si>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</si>
  <si>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</si>
  <si>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0520260013868CDA</t>
  </si>
  <si>
    <t>SO/6362-6</t>
  </si>
  <si>
    <t xml:space="preserve">CAMION INMOBILIZADO SE DETECTA 1 CAJA CON CONTENIDO Y ETIQUETA DIFERENTE </t>
  </si>
  <si>
    <t>BR512203480</t>
  </si>
  <si>
    <t>SXT6E17</t>
  </si>
  <si>
    <t>SXH3167</t>
  </si>
  <si>
    <t>ANDERSON LUIZ ALVES DOS SANTOS</t>
  </si>
  <si>
    <t>CPF: 029.383.289-74</t>
  </si>
  <si>
    <t>0520260013878CDA</t>
  </si>
  <si>
    <t>CN 6358-11</t>
  </si>
  <si>
    <t>2026PYSANJOSE059</t>
  </si>
  <si>
    <t>JHFW70</t>
  </si>
  <si>
    <t>GRCV65</t>
  </si>
  <si>
    <t>GABRIEL ISLA</t>
  </si>
  <si>
    <t>CI: 12686397-7</t>
  </si>
  <si>
    <t>0520260013772CDA</t>
  </si>
  <si>
    <t>SO/6350-8</t>
  </si>
  <si>
    <t>BR547046203</t>
  </si>
  <si>
    <t>0520260014263CDA</t>
  </si>
  <si>
    <t>CN 25314-4</t>
  </si>
  <si>
    <t>PYLG0832026</t>
  </si>
  <si>
    <t>GERT002</t>
  </si>
  <si>
    <t>VIGI002</t>
  </si>
  <si>
    <t>JUAN CARLOS MARECOS</t>
  </si>
  <si>
    <t>0520260013869CDA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</si>
  <si>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</si>
  <si>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</si>
  <si>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</si>
  <si>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</si>
  <si>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</si>
  <si>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</si>
  <si>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5926181  </t>
  </si>
  <si>
    <t>0520260013916CDA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</si>
  <si>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</si>
  <si>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</si>
  <si>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</si>
  <si>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</si>
  <si>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</si>
  <si>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</si>
  <si>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0520260013809CDA</t>
  </si>
  <si>
    <t>CN 25289-1</t>
  </si>
  <si>
    <t>2026PYSANJOSE061</t>
  </si>
  <si>
    <t>AANU301</t>
  </si>
  <si>
    <t>AANU328</t>
  </si>
  <si>
    <t>ARAMARK</t>
  </si>
  <si>
    <t xml:space="preserve"> GUACOLDA 2100 MODULO 19, QUILICURA</t>
  </si>
  <si>
    <t>MILCIADES FRUTOS</t>
  </si>
  <si>
    <t>CI: 811.074</t>
  </si>
  <si>
    <t>0520260014301CDA</t>
  </si>
  <si>
    <t>CN 25346</t>
  </si>
  <si>
    <t>PY23TMA1146</t>
  </si>
  <si>
    <t>MMSS401</t>
  </si>
  <si>
    <t>AAPP529</t>
  </si>
  <si>
    <t xml:space="preserve">JESUS MANUEL AGUILERA </t>
  </si>
  <si>
    <t>CI: 3.501.447</t>
  </si>
  <si>
    <t>0520260013875CDA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</si>
  <si>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</si>
  <si>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</si>
  <si>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</si>
  <si>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</si>
  <si>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</si>
  <si>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</si>
  <si>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</si>
  <si>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>0520260014244CDA</t>
  </si>
  <si>
    <t xml:space="preserve">          O/87773-1</t>
  </si>
  <si>
    <t>BR547046180</t>
  </si>
  <si>
    <t>JBG8A85</t>
  </si>
  <si>
    <t>RXO6B26</t>
  </si>
  <si>
    <t xml:space="preserve">RAFAEL DE SOUSA SANTOS </t>
  </si>
  <si>
    <t>CPF: 009.773.233-82</t>
  </si>
  <si>
    <t>0520260013851CDA</t>
  </si>
  <si>
    <t>O/88198-1</t>
  </si>
  <si>
    <t>BR547046205</t>
  </si>
  <si>
    <t>TDQ9J78</t>
  </si>
  <si>
    <t>SXO0G12</t>
  </si>
  <si>
    <t xml:space="preserve">RONIELE JOSE DA SILVA </t>
  </si>
  <si>
    <t>CPF: 993.664.365-87</t>
  </si>
  <si>
    <t>0520260014088SCD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</si>
  <si>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</si>
  <si>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</si>
  <si>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</si>
  <si>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</si>
  <si>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</si>
  <si>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</si>
  <si>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0520260013876CDA</t>
  </si>
  <si>
    <t>CN 25374</t>
  </si>
  <si>
    <t>PYLG0852026</t>
  </si>
  <si>
    <t>0520260014536CDA</t>
  </si>
  <si>
    <t>CN 6568-1</t>
  </si>
  <si>
    <t>PY23TMA1147</t>
  </si>
  <si>
    <t>AASC568</t>
  </si>
  <si>
    <t>AALI647</t>
  </si>
  <si>
    <t>OSMAR FRNANDEZ</t>
  </si>
  <si>
    <t>CI: 1.878.782</t>
  </si>
  <si>
    <t>0520260014112CDA</t>
  </si>
  <si>
    <t>CN 6360-33</t>
  </si>
  <si>
    <t>2026PYSANJOSE062</t>
  </si>
  <si>
    <t>RLLT46</t>
  </si>
  <si>
    <t>PWSF70</t>
  </si>
  <si>
    <t>JULIO COLMAN GALEANO</t>
  </si>
  <si>
    <t>CI: 5.073.059</t>
  </si>
  <si>
    <t>0520260014538CDA</t>
  </si>
  <si>
    <t>CN 6357-11</t>
  </si>
  <si>
    <t>2026PYSANJOSE063</t>
  </si>
  <si>
    <t>RHFL26</t>
  </si>
  <si>
    <t>PWSC29</t>
  </si>
  <si>
    <t>CLETO ANDRES AYALA</t>
  </si>
  <si>
    <t>CI: 3.587.082</t>
  </si>
  <si>
    <t>0520260014542CDA</t>
  </si>
  <si>
    <t>18/03/202</t>
  </si>
  <si>
    <t>CN 6358-16</t>
  </si>
  <si>
    <t>2026PYSANJOSE064</t>
  </si>
  <si>
    <t>TPPV22</t>
  </si>
  <si>
    <t>PXFH53</t>
  </si>
  <si>
    <t>JAVIER FIRPO</t>
  </si>
  <si>
    <t>0520260014326CDA</t>
  </si>
  <si>
    <t>CN 6360-36</t>
  </si>
  <si>
    <t>26PYFOODS327</t>
  </si>
  <si>
    <t>0520260014117CDA</t>
  </si>
  <si>
    <t>SO/6575-2</t>
  </si>
  <si>
    <t>052AR219400894</t>
  </si>
  <si>
    <t>26AR106089L</t>
  </si>
  <si>
    <t>DANIEL PEREZ</t>
  </si>
  <si>
    <t>DNI 41.031.050</t>
  </si>
  <si>
    <t>0520260013883CDA</t>
  </si>
  <si>
    <t>O/88096</t>
  </si>
  <si>
    <t>BR453909412</t>
  </si>
  <si>
    <t>ACU1J62</t>
  </si>
  <si>
    <t>RLB9D72</t>
  </si>
  <si>
    <t>EDUARDO ZILCH MARAFIGO</t>
  </si>
  <si>
    <t>CPF:115.405.239-77</t>
  </si>
  <si>
    <t>0520260014545CDA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</si>
  <si>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</si>
  <si>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</si>
  <si>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</si>
  <si>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</si>
  <si>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</si>
  <si>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</si>
  <si>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0520260014430CDA</t>
  </si>
  <si>
    <t>SO/6370-36</t>
  </si>
  <si>
    <t>BR547046130</t>
  </si>
  <si>
    <t>RYG9G57</t>
  </si>
  <si>
    <t>RYG2186</t>
  </si>
  <si>
    <t>ALEXANDRE MAURICIO DOS SANTOS</t>
  </si>
  <si>
    <t>CPF:259.913.778-04</t>
  </si>
  <si>
    <t>0520260014581CDA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</si>
  <si>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</si>
  <si>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</si>
  <si>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</si>
  <si>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</si>
  <si>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</si>
  <si>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</si>
  <si>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</si>
  <si>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0520260014588CDA</t>
  </si>
  <si>
    <t>SO/6360-37</t>
  </si>
  <si>
    <t>BR547046260</t>
  </si>
  <si>
    <t>RYU6H51</t>
  </si>
  <si>
    <t>RYY6J50</t>
  </si>
  <si>
    <t>JULINHO KRAUS,</t>
  </si>
  <si>
    <t xml:space="preserve"> CPF: 051.754.259-51</t>
  </si>
  <si>
    <t>0520260014626CDA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</si>
  <si>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</si>
  <si>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</si>
  <si>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</si>
  <si>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</si>
  <si>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</si>
  <si>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</si>
  <si>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</si>
  <si>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0520260014437CDA</t>
  </si>
  <si>
    <t>CN 25320-10</t>
  </si>
  <si>
    <t>PYLG0892026</t>
  </si>
  <si>
    <t>0520260014477CDA</t>
  </si>
  <si>
    <t>CN 25412-4</t>
  </si>
  <si>
    <t>2026PYSANJOSE065</t>
  </si>
  <si>
    <t>0520260014688CDA</t>
  </si>
  <si>
    <t>CN 6359-13</t>
  </si>
  <si>
    <t>26PYFOODS328</t>
  </si>
  <si>
    <t>0520260014726CDA</t>
  </si>
  <si>
    <t>CN 25320-9</t>
  </si>
  <si>
    <t>PYLG0872026</t>
  </si>
  <si>
    <t>0520260014807CDA</t>
  </si>
  <si>
    <t>CN 25412-5</t>
  </si>
  <si>
    <t>2026PYSANJOSE066</t>
  </si>
  <si>
    <t>0520260014485CDA</t>
  </si>
  <si>
    <t>CN 25401-1</t>
  </si>
  <si>
    <t>PYLG0882026</t>
  </si>
  <si>
    <t>0520260014822CDA</t>
  </si>
  <si>
    <t>SO/6397-13</t>
  </si>
  <si>
    <t>BR707400460</t>
  </si>
  <si>
    <t>0520260015009CDA</t>
  </si>
  <si>
    <t>CN 6357-12</t>
  </si>
  <si>
    <t xml:space="preserve">FALTA CRT </t>
  </si>
  <si>
    <t>2026PYSANJOSE067</t>
  </si>
  <si>
    <t>0520260014853CDA</t>
  </si>
  <si>
    <t>O/87671-2</t>
  </si>
  <si>
    <t>BR261615170</t>
  </si>
  <si>
    <t>RXL6F24</t>
  </si>
  <si>
    <t>RXO3H27</t>
  </si>
  <si>
    <t>OSCAR VARGAS</t>
  </si>
  <si>
    <t>0520260014500CDA</t>
  </si>
  <si>
    <t>SO/6370-40</t>
  </si>
  <si>
    <t>BR261615196</t>
  </si>
  <si>
    <t>0520260014871CDA</t>
  </si>
  <si>
    <t>SO/6362-10</t>
  </si>
  <si>
    <t>BR261615185</t>
  </si>
  <si>
    <t>CN 6552-1</t>
  </si>
  <si>
    <t>2026PYSANJOSE070</t>
  </si>
  <si>
    <t>0520260014864CDA</t>
  </si>
  <si>
    <t>SO/6357-18</t>
  </si>
  <si>
    <t>BR547046282</t>
  </si>
  <si>
    <t>0520260014901CDA</t>
  </si>
  <si>
    <t>CN 25412-7</t>
  </si>
  <si>
    <t>26PYFOODS331</t>
  </si>
  <si>
    <t>CN 25412-6</t>
  </si>
  <si>
    <t>2026PYSANJOSE068</t>
  </si>
  <si>
    <t>0520260014976CDA</t>
  </si>
  <si>
    <t>CN 6358-14</t>
  </si>
  <si>
    <t>PYLG0922026</t>
  </si>
  <si>
    <t>LOGISTICA</t>
  </si>
  <si>
    <t>0520260014877CDA</t>
  </si>
  <si>
    <t>CN 25412-8</t>
  </si>
  <si>
    <t>PYLG0932026</t>
  </si>
  <si>
    <t>0520260014934CDA</t>
  </si>
  <si>
    <t>CN 25359-1</t>
  </si>
  <si>
    <t>26PYFOODS330</t>
  </si>
  <si>
    <t>SO/6331-18</t>
  </si>
  <si>
    <t>052AR219400896</t>
  </si>
  <si>
    <t>0520260014957CDA</t>
  </si>
  <si>
    <t>SO/6562-2</t>
  </si>
  <si>
    <t>BR707400462</t>
  </si>
  <si>
    <t>0520260014964CDA</t>
  </si>
  <si>
    <t>SO/6354-57</t>
  </si>
  <si>
    <t>BR547046245</t>
  </si>
  <si>
    <t>SO/6370-39</t>
  </si>
  <si>
    <t>BR547046285</t>
  </si>
  <si>
    <t>SO/6397-14</t>
  </si>
  <si>
    <t>FALTA SANITARIO Y CERTIFICADO DE EMBARQUE</t>
  </si>
  <si>
    <t>BR261615169</t>
  </si>
  <si>
    <t>CORDENONSI</t>
  </si>
  <si>
    <t>FRIOSAN (AGROSUPER)</t>
  </si>
  <si>
    <t>SO/6370-41</t>
  </si>
  <si>
    <t>FALTA ORIGINALES</t>
  </si>
  <si>
    <t>BR453909418</t>
  </si>
  <si>
    <t>0520260014981CDA</t>
  </si>
  <si>
    <t>SO/6357-19</t>
  </si>
  <si>
    <t>BR261615199</t>
  </si>
  <si>
    <t>O/88233</t>
  </si>
  <si>
    <t>BR261615203</t>
  </si>
  <si>
    <t>INTERANDINA INV.OZ</t>
  </si>
  <si>
    <t>0520260014988CDA</t>
  </si>
  <si>
    <t>O/87631-7</t>
  </si>
  <si>
    <t>BR261615188</t>
  </si>
  <si>
    <t>CN 25403-2</t>
  </si>
  <si>
    <t>26PYFOODS332</t>
  </si>
  <si>
    <t>CN 25398</t>
  </si>
  <si>
    <t>PY23TMA1151</t>
  </si>
  <si>
    <t>Transma de Martin Francisco Ayala</t>
  </si>
  <si>
    <t>CN 6359-15</t>
  </si>
  <si>
    <t>PYLG0942026</t>
  </si>
  <si>
    <t>SO/6370-37</t>
  </si>
  <si>
    <t>BR547046275</t>
  </si>
  <si>
    <t>AR/18899-3</t>
  </si>
  <si>
    <t>052AR219400897</t>
  </si>
  <si>
    <t>COLORADO</t>
  </si>
  <si>
    <t>ICESTAR (TOTTUS)</t>
  </si>
  <si>
    <t>SO/6330-16</t>
  </si>
  <si>
    <t>05217499TKBA26</t>
  </si>
  <si>
    <t>SO/6356-9</t>
  </si>
  <si>
    <t>BR512203498</t>
  </si>
  <si>
    <t>SO/6370-38</t>
  </si>
  <si>
    <t>BR547046298</t>
  </si>
  <si>
    <t>SO/6354-56</t>
  </si>
  <si>
    <t>BR547046257</t>
  </si>
  <si>
    <t>SO/6370-35</t>
  </si>
  <si>
    <t>BR547046202</t>
  </si>
  <si>
    <t>O/87631-8</t>
  </si>
  <si>
    <t>BR453909421</t>
  </si>
  <si>
    <t>SO/6558-5</t>
  </si>
  <si>
    <t>BR707400464</t>
  </si>
  <si>
    <t>CN 6359-14</t>
  </si>
  <si>
    <t>MARITIMA</t>
  </si>
  <si>
    <t>ESTADO DE OPERACION</t>
  </si>
  <si>
    <t>CARGA</t>
  </si>
  <si>
    <t>TIPO OPERACION</t>
  </si>
  <si>
    <t>TIPO TRAMITE</t>
  </si>
  <si>
    <t>INSRUCCION DESCARGA</t>
  </si>
  <si>
    <t>OBSERVACION DOCUMENTAL</t>
  </si>
  <si>
    <t>cliente</t>
  </si>
  <si>
    <t>direccion</t>
  </si>
  <si>
    <t>EN CURSO</t>
  </si>
  <si>
    <t>AEREA</t>
  </si>
  <si>
    <t xml:space="preserve">CDA </t>
  </si>
  <si>
    <t>carga en viaje a puerto</t>
  </si>
  <si>
    <t>PRESENTACIÓN SAG OBJETADA</t>
  </si>
  <si>
    <t>CORREGIR documentos</t>
  </si>
  <si>
    <t>AV. GALVARINO 8601 BGA. 11, QUILICURA</t>
  </si>
  <si>
    <t>FINALIZADA</t>
  </si>
  <si>
    <t>ARRIBADA EN PUERTO</t>
  </si>
  <si>
    <t>UYD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</si>
  <si>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</si>
  <si>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</si>
  <si>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</si>
  <si>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</si>
  <si>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</si>
  <si>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</si>
  <si>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SECA - DRY</t>
  </si>
  <si>
    <t>boleta emitida/ carga ingresa a Ext Contopsa</t>
  </si>
  <si>
    <t>PRESENTACION SAG - SEREMI OBJETADA</t>
  </si>
  <si>
    <t>Documentos OK</t>
  </si>
  <si>
    <t>AV. PDTE. EDUARDO FREI 8301, QUILICURA</t>
  </si>
  <si>
    <t>DESPACHADO</t>
  </si>
  <si>
    <t>espera instrucciones descarga</t>
  </si>
  <si>
    <t>AV. AMERICO VESPUCIO 0350, QUILICURA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</si>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</sst>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C29204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charset val="1"/>
    </font>
    <font>
      <sz val="10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family val="2"/>
      <scheme val="minor"/>
    </font>
    <font>
      <sz val="9"/>
      <color rgb="FF000000"/>
      <name val="System-Ui"/>
      <charset val="1"/>
    </font>
    <font>
      <sz val="11"/>
      <color rgb="FF333333"/>
      <name val="Calibri"/>
    </font>
    <font>
      <sz val="10"/>
      <color theme="1"/>
      <name val="Courier New"/>
      <charset val="1"/>
    </font>
    <font>
      <u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10" fillId="0" borderId="2" xfId="0" applyFont="1" applyBorder="1"/>
    <xf numFmtId="0" fontId="6" fillId="0" borderId="2" xfId="0" applyFont="1" applyBorder="1"/>
    <xf numFmtId="0" fontId="9" fillId="0" borderId="2" xfId="1" applyBorder="1"/>
    <xf numFmtId="164" fontId="0" fillId="0" borderId="0" xfId="0" applyNumberFormat="1"/>
    <xf numFmtId="14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0" fillId="0" borderId="4" xfId="0" applyBorder="1"/>
    <xf numFmtId="164" fontId="0" fillId="0" borderId="8" xfId="0" applyNumberFormat="1" applyBorder="1"/>
    <xf numFmtId="0" fontId="0" fillId="0" borderId="9" xfId="0" applyBorder="1"/>
    <xf numFmtId="164" fontId="6" fillId="0" borderId="8" xfId="0" applyNumberFormat="1" applyFont="1" applyBorder="1"/>
    <xf numFmtId="0" fontId="0" fillId="0" borderId="8" xfId="0" applyBorder="1"/>
    <xf numFmtId="0" fontId="6" fillId="0" borderId="8" xfId="0" applyFont="1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9" xfId="0" applyBorder="1" applyAlignment="1">
      <alignment horizontal="center"/>
    </xf>
    <xf numFmtId="0" fontId="12" fillId="0" borderId="2" xfId="0" applyFont="1" applyBorder="1" applyAlignment="1">
      <alignment horizontal="center"/>
    </xf>
    <xf numFmtId="22" fontId="1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/>
    <xf numFmtId="14" fontId="9" fillId="0" borderId="2" xfId="1" applyNumberFormat="1" applyBorder="1"/>
    <xf numFmtId="14" fontId="9" fillId="0" borderId="2" xfId="1" applyNumberFormat="1" applyBorder="1" applyAlignment="1">
      <alignment readingOrder="1"/>
    </xf>
    <xf numFmtId="0" fontId="14" fillId="0" borderId="0" xfId="0" applyFont="1"/>
    <xf numFmtId="0" fontId="6" fillId="0" borderId="2" xfId="0" applyFont="1" applyBorder="1" applyAlignment="1">
      <alignment horizontal="center" wrapText="1"/>
    </xf>
    <xf numFmtId="14" fontId="8" fillId="0" borderId="2" xfId="0" applyNumberFormat="1" applyFont="1" applyBorder="1"/>
    <xf numFmtId="164" fontId="6" fillId="0" borderId="4" xfId="0" applyNumberFormat="1" applyFont="1" applyBorder="1"/>
    <xf numFmtId="164" fontId="0" fillId="0" borderId="4" xfId="0" applyNumberFormat="1" applyBorder="1"/>
    <xf numFmtId="164" fontId="0" fillId="0" borderId="11" xfId="0" applyNumberFormat="1" applyBorder="1"/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2" fontId="6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6" fillId="0" borderId="8" xfId="0" applyNumberFormat="1" applyFont="1" applyBorder="1" applyAlignment="1">
      <alignment horizontal="center"/>
    </xf>
    <xf numFmtId="0" fontId="0" fillId="0" borderId="7" xfId="0" applyBorder="1"/>
    <xf numFmtId="14" fontId="6" fillId="0" borderId="2" xfId="0" applyNumberFormat="1" applyFont="1" applyBorder="1" applyAlignment="1">
      <alignment readingOrder="1"/>
    </xf>
    <xf numFmtId="0" fontId="0" fillId="0" borderId="13" xfId="0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10" fillId="0" borderId="4" xfId="0" applyFont="1" applyBorder="1"/>
    <xf numFmtId="0" fontId="9" fillId="0" borderId="2" xfId="1" applyFill="1" applyBorder="1"/>
    <xf numFmtId="14" fontId="12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2" fontId="12" fillId="0" borderId="8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10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6" fillId="0" borderId="2" xfId="0" applyNumberFormat="1" applyFont="1" applyBorder="1" applyAlignment="1">
      <alignment wrapText="1"/>
    </xf>
    <xf numFmtId="14" fontId="0" fillId="0" borderId="9" xfId="0" applyNumberFormat="1" applyBorder="1"/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14" fontId="6" fillId="0" borderId="9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11" fillId="0" borderId="8" xfId="0" applyFont="1" applyBorder="1"/>
    <xf numFmtId="22" fontId="6" fillId="0" borderId="1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readingOrder="1"/>
    </xf>
    <xf numFmtId="0" fontId="17" fillId="0" borderId="7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14" fontId="9" fillId="0" borderId="2" xfId="1" applyNumberFormat="1" applyBorder="1" applyAlignment="1">
      <alignment wrapText="1"/>
    </xf>
    <xf numFmtId="0" fontId="17" fillId="0" borderId="13" xfId="0" applyFont="1" applyBorder="1" applyAlignment="1">
      <alignment horizontal="center" wrapText="1"/>
    </xf>
    <xf numFmtId="0" fontId="9" fillId="0" borderId="0" xfId="1" applyFill="1"/>
    <xf numFmtId="0" fontId="0" fillId="0" borderId="7" xfId="0" applyBorder="1" applyAlignment="1">
      <alignment horizontal="center"/>
    </xf>
    <xf numFmtId="0" fontId="14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0" fontId="0" fillId="0" borderId="11" xfId="0" applyBorder="1"/>
    <xf numFmtId="14" fontId="0" fillId="0" borderId="7" xfId="0" applyNumberFormat="1" applyBorder="1"/>
    <xf numFmtId="14" fontId="0" fillId="0" borderId="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25" fillId="0" borderId="8" xfId="0" applyFont="1" applyBorder="1"/>
    <xf numFmtId="0" fontId="24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14" fontId="15" fillId="7" borderId="6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center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6" fillId="0" borderId="2" xfId="1" applyNumberFormat="1" applyFont="1" applyBorder="1"/>
    <xf numFmtId="14" fontId="6" fillId="0" borderId="2" xfId="1" applyNumberFormat="1" applyFont="1" applyBorder="1" applyAlignment="1">
      <alignment wrapText="1"/>
    </xf>
    <xf numFmtId="14" fontId="6" fillId="0" borderId="2" xfId="1" applyNumberFormat="1" applyFont="1" applyBorder="1" applyAlignment="1">
      <alignment readingOrder="1"/>
    </xf>
    <xf numFmtId="14" fontId="0" fillId="0" borderId="0" xfId="0" applyNumberFormat="1" applyAlignment="1">
      <alignment horizontal="right"/>
    </xf>
    <xf numFmtId="14" fontId="20" fillId="0" borderId="0" xfId="0" applyNumberFormat="1" applyFont="1" applyAlignment="1">
      <alignment horizontal="right"/>
    </xf>
    <xf numFmtId="0" fontId="6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9" fillId="0" borderId="4" xfId="1" applyBorder="1"/>
    <xf numFmtId="0" fontId="9" fillId="0" borderId="4" xfId="1" applyBorder="1" applyAlignment="1">
      <alignment wrapText="1"/>
    </xf>
    <xf numFmtId="0" fontId="9" fillId="0" borderId="4" xfId="1" applyBorder="1" applyAlignment="1">
      <alignment readingOrder="1"/>
    </xf>
    <xf numFmtId="0" fontId="9" fillId="0" borderId="13" xfId="1" applyBorder="1"/>
    <xf numFmtId="0" fontId="9" fillId="0" borderId="4" xfId="1" applyBorder="1" applyAlignment="1">
      <alignment horizontal="right"/>
    </xf>
    <xf numFmtId="0" fontId="9" fillId="0" borderId="17" xfId="1" applyBorder="1"/>
    <xf numFmtId="14" fontId="10" fillId="0" borderId="13" xfId="0" applyNumberFormat="1" applyFont="1" applyBorder="1" applyAlignment="1">
      <alignment horizontal="center"/>
    </xf>
    <xf numFmtId="22" fontId="12" fillId="0" borderId="13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4" xfId="0" applyFont="1" applyBorder="1"/>
    <xf numFmtId="0" fontId="9" fillId="0" borderId="4" xfId="1" applyFill="1" applyBorder="1"/>
    <xf numFmtId="0" fontId="0" fillId="0" borderId="2" xfId="0" applyBorder="1" applyAlignment="1">
      <alignment horizontal="right"/>
    </xf>
    <xf numFmtId="14" fontId="9" fillId="0" borderId="4" xfId="1" applyNumberFormat="1" applyBorder="1"/>
    <xf numFmtId="0" fontId="0" fillId="0" borderId="17" xfId="0" applyBorder="1"/>
    <xf numFmtId="14" fontId="0" fillId="0" borderId="8" xfId="0" applyNumberFormat="1" applyBorder="1"/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6" fillId="0" borderId="2" xfId="0" applyFont="1" applyBorder="1"/>
    <xf numFmtId="0" fontId="0" fillId="0" borderId="2" xfId="0" applyBorder="1" applyAlignment="1">
      <alignment horizontal="left"/>
    </xf>
    <xf numFmtId="0" fontId="22" fillId="0" borderId="13" xfId="0" applyFont="1" applyBorder="1" applyAlignment="1">
      <alignment horizontal="center"/>
    </xf>
    <xf numFmtId="0" fontId="26" fillId="8" borderId="2" xfId="0" applyFont="1" applyFill="1" applyBorder="1"/>
    <xf numFmtId="0" fontId="31" fillId="0" borderId="2" xfId="1" applyFont="1" applyBorder="1"/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/>
    <xf numFmtId="14" fontId="7" fillId="3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4" fillId="0" borderId="2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26" fillId="3" borderId="2" xfId="0" applyFont="1" applyFill="1" applyBorder="1"/>
    <xf numFmtId="0" fontId="17" fillId="0" borderId="9" xfId="0" applyFont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14" fontId="12" fillId="0" borderId="13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2" xfId="0" applyNumberFormat="1" applyBorder="1"/>
    <xf numFmtId="0" fontId="2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9" fillId="0" borderId="2" xfId="1" applyBorder="1" applyAlignment="1">
      <alignment horizontal="left"/>
    </xf>
    <xf numFmtId="0" fontId="0" fillId="0" borderId="4" xfId="0" applyBorder="1" applyAlignment="1">
      <alignment horizontal="left"/>
    </xf>
    <xf numFmtId="14" fontId="9" fillId="0" borderId="2" xfId="1" applyNumberFormat="1" applyBorder="1" applyAlignment="1">
      <alignment horizontal="right"/>
    </xf>
    <xf numFmtId="0" fontId="9" fillId="0" borderId="4" xfId="1" applyFill="1" applyBorder="1" applyAlignment="1">
      <alignment horizontal="right"/>
    </xf>
    <xf numFmtId="0" fontId="10" fillId="0" borderId="1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3" borderId="2" xfId="0" applyFill="1" applyBorder="1"/>
    <xf numFmtId="0" fontId="29" fillId="3" borderId="2" xfId="0" applyFont="1" applyFill="1" applyBorder="1" applyAlignment="1">
      <alignment horizontal="right"/>
    </xf>
    <xf numFmtId="0" fontId="31" fillId="3" borderId="2" xfId="1" applyFont="1" applyFill="1" applyBorder="1"/>
    <xf numFmtId="0" fontId="25" fillId="0" borderId="8" xfId="0" applyFont="1" applyBorder="1" applyAlignment="1">
      <alignment vertical="center"/>
    </xf>
    <xf numFmtId="0" fontId="1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0" fillId="6" borderId="4" xfId="0" applyFont="1" applyFill="1" applyBorder="1" applyAlignment="1">
      <alignment readingOrder="1"/>
    </xf>
    <xf numFmtId="0" fontId="0" fillId="4" borderId="13" xfId="0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22" fontId="21" fillId="0" borderId="8" xfId="0" applyNumberFormat="1" applyFont="1" applyBorder="1" applyAlignment="1">
      <alignment horizontal="center"/>
    </xf>
    <xf numFmtId="22" fontId="12" fillId="0" borderId="14" xfId="0" applyNumberFormat="1" applyFont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14" fontId="12" fillId="0" borderId="1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9" fillId="0" borderId="2" xfId="2" applyFill="1" applyBorder="1"/>
    <xf numFmtId="0" fontId="6" fillId="0" borderId="13" xfId="0" applyFont="1" applyBorder="1" applyAlignment="1">
      <alignment horizontal="center"/>
    </xf>
    <xf numFmtId="0" fontId="9" fillId="0" borderId="7" xfId="1" applyBorder="1"/>
    <xf numFmtId="0" fontId="9" fillId="0" borderId="4" xfId="2" applyFill="1" applyBorder="1"/>
    <xf numFmtId="0" fontId="1" fillId="7" borderId="1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readingOrder="1"/>
    </xf>
    <xf numFmtId="3" fontId="1" fillId="0" borderId="9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22" fontId="1" fillId="0" borderId="1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22" fontId="1" fillId="0" borderId="8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22" fontId="1" fillId="0" borderId="16" xfId="0" applyNumberFormat="1" applyFont="1" applyBorder="1" applyAlignment="1">
      <alignment horizontal="center"/>
    </xf>
    <xf numFmtId="22" fontId="1" fillId="0" borderId="9" xfId="0" applyNumberFormat="1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 readingOrder="1"/>
    </xf>
    <xf numFmtId="22" fontId="1" fillId="0" borderId="14" xfId="0" applyNumberFormat="1" applyFont="1" applyBorder="1" applyAlignment="1">
      <alignment horizontal="center"/>
    </xf>
    <xf numFmtId="22" fontId="1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/>
    <xf numFmtId="14" fontId="1" fillId="0" borderId="17" xfId="0" applyNumberFormat="1" applyFont="1" applyBorder="1" applyAlignment="1">
      <alignment horizontal="center"/>
    </xf>
    <xf numFmtId="0" fontId="1" fillId="0" borderId="17" xfId="0" applyFont="1" applyBorder="1"/>
    <xf numFmtId="14" fontId="1" fillId="0" borderId="12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6" borderId="2" xfId="0" applyFont="1" applyFill="1" applyBorder="1" applyAlignment="1">
      <alignment horizontal="center" readingOrder="1"/>
    </xf>
    <xf numFmtId="0" fontId="1" fillId="0" borderId="7" xfId="0" applyFont="1" applyBorder="1" applyAlignment="1">
      <alignment horizontal="center"/>
    </xf>
    <xf numFmtId="14" fontId="1" fillId="0" borderId="0" xfId="0" applyNumberFormat="1" applyFont="1"/>
    <xf numFmtId="14" fontId="1" fillId="0" borderId="2" xfId="0" applyNumberFormat="1" applyFont="1" applyBorder="1"/>
    <xf numFmtId="14" fontId="1" fillId="0" borderId="0" xfId="0" applyNumberFormat="1" applyFont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671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769" Type="http://schemas.openxmlformats.org/officeDocument/2006/relationships/hyperlink" Target="https://agenciadeaduanapirazzoli-my.sharepoint.com/:b:/g/personal/mmorales_pirazzoli_cl/IQAjZuqn8vfTR5PMixrQ0zEkAczRg7qcodfOgq9vKNLOks4?e=Q0dfku" TargetMode="External"/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324" Type="http://schemas.openxmlformats.org/officeDocument/2006/relationships/hyperlink" Target="https://agenciadeaduanapirazzoli-my.sharepoint.com/:b:/g/personal/mmorales_pirazzoli_cl/IQCdXJ0qyuRDS4JnI87ZEcP6AZfTQUj8p9LyJHWmUP2r_OE?e=016H1V" TargetMode="External"/><Relationship Id="rId531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629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68" Type="http://schemas.openxmlformats.org/officeDocument/2006/relationships/hyperlink" Target="https://agenciadeaduanapirazzoli-my.sharepoint.com/:b:/g/personal/mmorales_pirazzoli_cl/IQBAwCJ4GiPXQIuc7EJTlJWPAVushZWkCDKvhUgHlFj-OKU?e=h1Zkw0" TargetMode="External"/><Relationship Id="rId475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682" Type="http://schemas.openxmlformats.org/officeDocument/2006/relationships/hyperlink" Target="https://agenciadeaduanapirazzoli-my.sharepoint.com/:b:/g/personal/mmorales_pirazzoli_cl/IQBWXyfeKChTRLK2uE2VJGR4AbRyYdTWtpe3sR7wyqszjNE?e=6GKVAs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335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542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4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279" Type="http://schemas.openxmlformats.org/officeDocument/2006/relationships/hyperlink" Target="https://agenciadeaduanapirazzoli-my.sharepoint.com/:b:/g/personal/mmorales_pirazzoli_cl/IQBTDnH2wRfEQamU2xjqb_7CAQqW3Vs3YRnL2QkUz4_SZjY?e=ZCz0kh" TargetMode="External"/><Relationship Id="rId486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93" Type="http://schemas.openxmlformats.org/officeDocument/2006/relationships/hyperlink" Target="https://agenciadeaduanapirazzoli-my.sharepoint.com/:b:/g/personal/mmorales_pirazzoli_cl/IQAptYW82aqVRKQm4UXZiiZ0ARNHQNtamfIgtrHiRHwzU3s?e=Mk0zkc" TargetMode="External"/><Relationship Id="rId707" Type="http://schemas.openxmlformats.org/officeDocument/2006/relationships/hyperlink" Target="https://agenciadeaduanapirazzoli-my.sharepoint.com/:b:/g/personal/mmorales_pirazzoli_cl/IQBeDGv8zfDXTp0LzgZ0zBeqAeDOPjw7eFLZmofxZNAEAUI?e=mx3tGR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346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553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760" Type="http://schemas.openxmlformats.org/officeDocument/2006/relationships/hyperlink" Target="https://agenciadeaduanapirazzoli-my.sharepoint.com/:b:/g/personal/mmorales_pirazzoli_cl/IQBH9EklYANAQK2W6Jyx6XI4AStM155gW1xkYwY5vZMHmjQ?e=MyV99m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413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497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620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718" Type="http://schemas.openxmlformats.org/officeDocument/2006/relationships/hyperlink" Target="https://agenciadeaduanapirazzoli-my.sharepoint.com/:b:/g/personal/mmorales_pirazzoli_cl/IQA2PgYcnhnOQa2y0gLwf5HUAdUYz32VcB292fODa-T3A-8?e=fYhe8P" TargetMode="External"/><Relationship Id="rId357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564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771" Type="http://schemas.openxmlformats.org/officeDocument/2006/relationships/hyperlink" Target="https://agenciadeaduanapirazzoli-my.sharepoint.com/:b:/g/personal/mmorales_pirazzoli_cl/IQBhF-Isv9atR6xQHrIpEuP3AU-MOjo6iDQnUr0u9l8DBGY?e=qSeVCv" TargetMode="External"/><Relationship Id="rId424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631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729" Type="http://schemas.openxmlformats.org/officeDocument/2006/relationships/hyperlink" Target="https://agenciadeaduanapirazzoli-my.sharepoint.com/:b:/g/personal/mmorales_pirazzoli_cl/IQBAttuFo62rSKRagAxjpN1SAfmhNEdM3_peSGMGPyYxhCA?e=ocGCdV" TargetMode="External"/><Relationship Id="rId270" Type="http://schemas.openxmlformats.org/officeDocument/2006/relationships/hyperlink" Target="https://agenciadeaduanapirazzoli-my.sharepoint.com/:b:/g/personal/mmorales_pirazzoli_cl/IQBpSDR5mKcMRbRv1cT1Jq_BAYRfYTio8liSuDwFdqj7l8Y?e=H5TfR9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368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575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435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642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281" Type="http://schemas.openxmlformats.org/officeDocument/2006/relationships/hyperlink" Target="https://agenciadeaduanapirazzoli-my.sharepoint.com/:b:/g/personal/mmorales_pirazzoli_cl/IQBGFn3cUuvARqiZopniSH7kASLY_Mh88ZRRMvbMBDHwy1M?e=z6QPLr" TargetMode="External"/><Relationship Id="rId502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379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586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446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653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292" Type="http://schemas.openxmlformats.org/officeDocument/2006/relationships/hyperlink" Target="https://agenciadeaduanapirazzoli-my.sharepoint.com/:b:/g/personal/mmorales_pirazzoli_cl/IQBiIRMHkzTiS7QunEKsBlrqAZOFUQlSOPqKEwLUo5XStI8?e=8RcYw3" TargetMode="External"/><Relationship Id="rId306" Type="http://schemas.openxmlformats.org/officeDocument/2006/relationships/hyperlink" Target="https://agenciadeaduanapirazzoli-my.sharepoint.com/:b:/g/personal/mmorales_pirazzoli_cl/IQBumbl6U7BNRZI6gj6SY1S4AXNFRe1LcnIKw4MP5ujpL-8?e=QvTJHo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513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597" Type="http://schemas.openxmlformats.org/officeDocument/2006/relationships/hyperlink" Target="https://agenciadeaduanapirazzoli-my.sharepoint.com/:b:/g/personal/mmorales_pirazzoli_cl/IQB7DWR-_mK0QLK59zGSgQKmAebuybLXrgAeWk50JX_fZJA?e=UsAUvh" TargetMode="External"/><Relationship Id="rId720" Type="http://schemas.openxmlformats.org/officeDocument/2006/relationships/hyperlink" Target="https://agenciadeaduanapirazzoli-my.sharepoint.com/:b:/g/personal/mmorales_pirazzoli_cl/IQCq_aj1mkKJSqj0AJ5mimanAbuMV1nHCyE6bnq6I8RBoYs?e=s8b69O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457" Type="http://schemas.openxmlformats.org/officeDocument/2006/relationships/hyperlink" Target="https://agenciadeaduanapirazzoli-my.sharepoint.com/:b:/g/personal/mmorales_pirazzoli_cl/IQDrKHVKvpQXTbL8ZeIq1sA7AUShFQjmVjWp0qyKiKKWjyo?e=lWmcYB" TargetMode="External"/><Relationship Id="rId664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317" Type="http://schemas.openxmlformats.org/officeDocument/2006/relationships/hyperlink" Target="https://agenciadeaduanapirazzoli-my.sharepoint.com/:b:/g/personal/mmorales_pirazzoli_cl/IQB7j-Ico3rGQr_KkZ0BBqUwAUdrX1XSmdmq2_xvHTKMvkU?e=tFgcVS" TargetMode="External"/><Relationship Id="rId524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731" Type="http://schemas.openxmlformats.org/officeDocument/2006/relationships/hyperlink" Target="https://agenciadeaduanapirazzoli-my.sharepoint.com/:b:/g/personal/mmorales_pirazzoli_cl/IQBbtKIs7Qd0RZVKGPl47iSOASaH-abyuoi2RRMmXCgXDAk?e=H6yYrE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37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468" Type="http://schemas.openxmlformats.org/officeDocument/2006/relationships/hyperlink" Target="https://agenciadeaduanapirazzoli-my.sharepoint.com/:b:/g/personal/mmorales_pirazzoli_cl/IQBdujLMUsRDRLW-NKDhqBwWATe7SLmkxjFPb7R8iFj4Qus?e=Mec5lv" TargetMode="External"/><Relationship Id="rId675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328" Type="http://schemas.openxmlformats.org/officeDocument/2006/relationships/hyperlink" Target="https://agenciadeaduanapirazzoli-my.sharepoint.com/:b:/g/personal/mmorales_pirazzoli_cl/IQCF5VqnbBdbTIV3kGRyQ5XtARmdbv-pxNYdzDA-Tz87EKQ?e=CJovwA" TargetMode="External"/><Relationship Id="rId535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742" Type="http://schemas.openxmlformats.org/officeDocument/2006/relationships/hyperlink" Target="https://agenciadeaduanapirazzoli-my.sharepoint.com/:b:/g/personal/mmorales_pirazzoli_cl/IQAGJrKM-AkNQq7YqE9OPuEMAeSfsEbIwIj3o-mghHt3ICk?e=xlwzKs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381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602" Type="http://schemas.openxmlformats.org/officeDocument/2006/relationships/hyperlink" Target="https://agenciadeaduanapirazzoli-my.sharepoint.com/:b:/g/personal/mmorales_pirazzoli_cl/IQD0jpB-5nknS50Z3t_AnnVgAU2tnmEXGuiHn68452e75PE?e=D1HZhs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479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686" Type="http://schemas.openxmlformats.org/officeDocument/2006/relationships/hyperlink" Target="https://agenciadeaduanapirazzoli-my.sharepoint.com/:b:/g/personal/mmorales_pirazzoli_cl/IQDrzZy0bvxNQYhn0gZONOKyAY6QrgeO4aQTrpB6siIm86E?e=HvaGsP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339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546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753" Type="http://schemas.openxmlformats.org/officeDocument/2006/relationships/hyperlink" Target="https://agenciadeaduanapirazzoli-my.sharepoint.com/:b:/g/personal/mmorales_pirazzoli_cl/IQCjVrc1U5-RSqmk3JqSFoByAbsPLV108qv1uhYmpIBvPyE?e=c0HxI1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406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392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613" Type="http://schemas.openxmlformats.org/officeDocument/2006/relationships/hyperlink" Target="https://agenciadeaduanapirazzoli-my.sharepoint.com/:b:/g/personal/mmorales_pirazzoli_cl/IQD7IshylAHaR6PF9mc2b1K2AdHRgnB9ud7mxxkdIkT4BBI?e=h3RMYN" TargetMode="External"/><Relationship Id="rId697" Type="http://schemas.openxmlformats.org/officeDocument/2006/relationships/hyperlink" Target="https://agenciadeaduanapirazzoli-my.sharepoint.com/:b:/g/personal/mmorales_pirazzoli_cl/IQCwPtcZkbpSQany-UEei2Q-Acp4vaBqwYazOdc7noGseiY?e=AZGOBP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557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764" Type="http://schemas.openxmlformats.org/officeDocument/2006/relationships/hyperlink" Target="https://agenciadeaduanapirazzoli-my.sharepoint.com/:b:/g/personal/mmorales_pirazzoli_cl/IQAfvIn41_ljSpCqmxd9BIxRATizhxNW3qL8JGMQY4FQ778?e=YaeV69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41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624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263" Type="http://schemas.openxmlformats.org/officeDocument/2006/relationships/hyperlink" Target="https://agenciadeaduanapirazzoli-my.sharepoint.com/:b:/g/personal/mmorales_pirazzoli_cl/IQADBDhiMw8hS7Irp6QE1hW2AQxGs4uwtgdNwKwDhnl1YGM?e=WlfuZS" TargetMode="External"/><Relationship Id="rId470" Type="http://schemas.openxmlformats.org/officeDocument/2006/relationships/hyperlink" Target="https://agenciadeaduanapirazzoli-my.sharepoint.com/:b:/g/personal/mmorales_pirazzoli_cl/IQAcY15D6k3QTLWOxFoADyPwAVvp7YgxFV4g3kpVl1kuTCQ?e=lHm16u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330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568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428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635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274" Type="http://schemas.openxmlformats.org/officeDocument/2006/relationships/hyperlink" Target="https://agenciadeaduanapirazzoli-my.sharepoint.com/:b:/g/personal/mmorales_pirazzoli_cl/IQBlSgadxDu5QKY_OyAoq-BsAUhXgjWIbfPqUhZus-KGmnc?e=2k96W2" TargetMode="External"/><Relationship Id="rId481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702" Type="http://schemas.openxmlformats.org/officeDocument/2006/relationships/hyperlink" Target="https://agenciadeaduanapirazzoli-my.sharepoint.com/:b:/g/personal/mmorales_pirazzoli_cl/IQDKMNxmCPaKSqEc7IHoeCQIAedGtDt4SqhJWyBVrR8H8QE?e=jWbKMS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579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341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439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646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285" Type="http://schemas.openxmlformats.org/officeDocument/2006/relationships/hyperlink" Target="https://agenciadeaduanapirazzoli-my.sharepoint.com/:b:/g/personal/mmorales_pirazzoli_cl/IQDs3jpa-IiISL0M8PrCW5uYAUb2Ub2RLPEPB3D25GmLtmA?e=N4IOgS" TargetMode="External"/><Relationship Id="rId506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492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713" Type="http://schemas.openxmlformats.org/officeDocument/2006/relationships/hyperlink" Target="https://agenciadeaduanapirazzoli-my.sharepoint.com/:b:/g/personal/mmorales_pirazzoli_cl/IQCE64-_PnTiTKpxBgIKkG_XATLoQchZ_0iG4wn4qCYaGxI?e=bOosKw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352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657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296" Type="http://schemas.openxmlformats.org/officeDocument/2006/relationships/hyperlink" Target="https://agenciadeaduanapirazzoli-my.sharepoint.com/:b:/g/personal/mmorales_pirazzoli_cl/IQCTvr8c1HQoSa0J3A07ZliLAZTyiyvvt0uO7EKg7Bi7RiY?e=4289wb" TargetMode="External"/><Relationship Id="rId517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724" Type="http://schemas.openxmlformats.org/officeDocument/2006/relationships/hyperlink" Target="https://agenciadeaduanapirazzoli-my.sharepoint.com/:b:/g/personal/mmorales_pirazzoli_cl/IQANy9unSxnMS6TEbkzLtUTgAaSEHgLluz5GaOrd_W_iaog?e=2jWG5p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363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570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430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668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528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735" Type="http://schemas.openxmlformats.org/officeDocument/2006/relationships/hyperlink" Target="https://agenciadeaduanapirazzoli-my.sharepoint.com/:b:/g/personal/mmorales_pirazzoli_cl/IQDe3NxNri_uQoeiIJuKnessAZCutW81o_NFZ8S009gYVfw?e=gC7yR4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374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1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679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441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539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746" Type="http://schemas.openxmlformats.org/officeDocument/2006/relationships/hyperlink" Target="https://agenciadeaduanapirazzoli-my.sharepoint.com/:b:/g/personal/mmorales_pirazzoli_cl/IQDggHNP1Y9DS6XWPkToL8tDAUXlkcSd77gAOlX27nDzwqM?e=qQMVr9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301" Type="http://schemas.openxmlformats.org/officeDocument/2006/relationships/hyperlink" Target="https://agenciadeaduanapirazzoli-my.sharepoint.com/:b:/g/personal/mmorales_pirazzoli_cl/IQB1BVNQ9p9JRpfWQTZJH4i9AbAMUamFWVPs2WWfJlcoKJM?e=tmjnxk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385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592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606" Type="http://schemas.openxmlformats.org/officeDocument/2006/relationships/hyperlink" Target="https://agenciadeaduanapirazzoli-my.sharepoint.com/:b:/g/personal/mmorales_pirazzoli_cl/IQA7heIPwncVQK0btsiY4gehAaVObOEirKEeugPNoxQHlEo?e=gvH5py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452" Type="http://schemas.openxmlformats.org/officeDocument/2006/relationships/hyperlink" Target="https://agenciadeaduanapirazzoli-my.sharepoint.com/:b:/g/personal/mmorales_pirazzoli_cl/IQC8TkeyPqffQYXAzlTaVz4WASnuxzUVm0peUu78S_rVQoM?e=KhrkYX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312" Type="http://schemas.openxmlformats.org/officeDocument/2006/relationships/hyperlink" Target="https://agenciadeaduanapirazzoli-my.sharepoint.com/:b:/g/personal/mmorales_pirazzoli_cl/IQCa38Nas1k_Qbjwhu-RJ2T0AV-eh7ORNW_jzmiaXgjtInI?e=WHvsw9" TargetMode="External"/><Relationship Id="rId757" Type="http://schemas.openxmlformats.org/officeDocument/2006/relationships/hyperlink" Target="https://agenciadeaduanapirazzoli-my.sharepoint.com/:b:/g/personal/mmorales_pirazzoli_cl/IQA0sJa83CUeQLcH_96lnApkAQdq-6C5HoAQKQB_Nk2S-go?e=QV9xGG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96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617" Type="http://schemas.openxmlformats.org/officeDocument/2006/relationships/hyperlink" Target="https://agenciadeaduanapirazzoli-my.sharepoint.com/:b:/g/personal/mmorales_pirazzoli_cl/IQDNd0Ibwg25QpdGNuqT7-CnAYyQFnoCEZwfx6Yw2r44fc0?e=VkmiGs" TargetMode="External"/><Relationship Id="rId256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63" Type="http://schemas.openxmlformats.org/officeDocument/2006/relationships/hyperlink" Target="https://agenciadeaduanapirazzoli-my.sharepoint.com/:b:/g/personal/mmorales_pirazzoli_cl/IQAnsNYEfFNVT7xrzFbbhM1TAe3-XK7AQxLg5khkubfCuso?e=HVCF1n" TargetMode="External"/><Relationship Id="rId670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323" Type="http://schemas.openxmlformats.org/officeDocument/2006/relationships/hyperlink" Target="https://agenciadeaduanapirazzoli-my.sharepoint.com/:b:/g/personal/mmorales_pirazzoli_cl/IQCruuqWUoX0RJ_4XuvgEtdwAVLJ2UAn_kGZadKmSGwpaSg?e=nkcUQA" TargetMode="External"/><Relationship Id="rId530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768" Type="http://schemas.openxmlformats.org/officeDocument/2006/relationships/hyperlink" Target="https://agenciadeaduanapirazzoli-my.sharepoint.com/:b:/g/personal/mmorales_pirazzoli_cl/IQAKGwE6RFiiTKJA_QLn1pptAfusP8J759LwtpawTpPOam8?e=N85HNr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628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267" Type="http://schemas.openxmlformats.org/officeDocument/2006/relationships/hyperlink" Target="https://agenciadeaduanapirazzoli-my.sharepoint.com/:b:/g/personal/mmorales_pirazzoli_cl/IQB9AsjBzzElS5VDts17L7eHAUBYqauvjp3AI2DZm-53ElE?e=4fp33F" TargetMode="External"/><Relationship Id="rId474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681" Type="http://schemas.openxmlformats.org/officeDocument/2006/relationships/hyperlink" Target="https://agenciadeaduanapirazzoli-my.sharepoint.com/:b:/g/personal/mmorales_pirazzoli_cl/IQAPySc-qO0ZTb6ZeEFQAYqmAVEBpteEje4btp3uNePKJ0g?e=KQQmzE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334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541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639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78" Type="http://schemas.openxmlformats.org/officeDocument/2006/relationships/hyperlink" Target="https://agenciadeaduanapirazzoli-my.sharepoint.com/:b:/g/personal/mmorales_pirazzoli_cl/IQBL5jgg-eVtR4kWHWiPnRNgAR0yk02PyVaY3A986jT_NJs?e=TM9QHi" TargetMode="External"/><Relationship Id="rId401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485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692" Type="http://schemas.openxmlformats.org/officeDocument/2006/relationships/hyperlink" Target="https://agenciadeaduanapirazzoli-my.sharepoint.com/:b:/g/personal/mmorales_pirazzoli_cl/IQA8qp43vOOoQLbbor1owUMOAfTdwi4QkHmD43Se7DBE4Nk?e=jkebUD" TargetMode="External"/><Relationship Id="rId706" Type="http://schemas.openxmlformats.org/officeDocument/2006/relationships/hyperlink" Target="https://agenciadeaduanapirazzoli-my.sharepoint.com/:b:/g/personal/mmorales_pirazzoli_cl/IQCBLJ8pViQQR5fc27H0w5OAASQY6RQyl3ZIph18uj0gSVY?e=hIkGNZ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345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552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Relationship Id="rId412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289" Type="http://schemas.openxmlformats.org/officeDocument/2006/relationships/hyperlink" Target="https://agenciadeaduanapirazzoli-my.sharepoint.com/:b:/g/personal/mmorales_pirazzoli_cl/IQC67Q5QA9YOSYcvGuKkQXseAUnHdefaHxX5WukS9KJaq10?e=EcdVLt" TargetMode="External"/><Relationship Id="rId454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496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661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717" Type="http://schemas.openxmlformats.org/officeDocument/2006/relationships/hyperlink" Target="https://agenciadeaduanapirazzoli-my.sharepoint.com/:b:/g/personal/mmorales_pirazzoli_cl/IQAPTCd7barWRb5Z2m1p2cYTAeLBf_bUrVRE7oN0VzVTOMc?e=8Zu8DV" TargetMode="External"/><Relationship Id="rId759" Type="http://schemas.openxmlformats.org/officeDocument/2006/relationships/hyperlink" Target="https://agenciadeaduanapirazzoli-my.sharepoint.com/:b:/g/personal/mmorales_pirazzoli_cl/IQAS4qzwnEYaQJ7yqGSyQjrEAcOAnK2hlJ15az9QMpQ2RYc?e=oMzHGW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314" Type="http://schemas.openxmlformats.org/officeDocument/2006/relationships/hyperlink" Target="https://agenciadeaduanapirazzoli-my.sharepoint.com/:b:/g/personal/mmorales_pirazzoli_cl/IQB0lalwx6yBRam9D8GqzhwxAaibrkqm4kvzTxFvy0vf9TE?e=ghp1kS" TargetMode="External"/><Relationship Id="rId356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398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521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563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619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770" Type="http://schemas.openxmlformats.org/officeDocument/2006/relationships/hyperlink" Target="https://agenciadeaduanapirazzoli-my.sharepoint.com/:b:/g/personal/mmorales_pirazzoli_cl/IQCsUY2TmZZ5Tax3-TTnyr4PAReh96kaWPmIkeXGDRGp5aw?e=cGbrHL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423" Type="http://schemas.openxmlformats.org/officeDocument/2006/relationships/hyperlink" Target="https://agenciadeaduanapirazzoli-my.sharepoint.com/:b:/g/personal/mmorales_pirazzoli_cl/IQAj65QGpmjmQKJomR3HIHcGAZ7NsizwwknSq-I3aSEk_48?e=sB8Nu3" TargetMode="External"/><Relationship Id="rId258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465" Type="http://schemas.openxmlformats.org/officeDocument/2006/relationships/hyperlink" Target="https://agenciadeaduanapirazzoli-my.sharepoint.com/:b:/g/personal/mmorales_pirazzoli_cl/IQAJveJwpcVzQpVwV-2D_OMkAQ6GiSYh8Eb8OoeDv6MX46o?e=ehLriJ" TargetMode="External"/><Relationship Id="rId630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672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728" Type="http://schemas.openxmlformats.org/officeDocument/2006/relationships/hyperlink" Target="https://agenciadeaduanapirazzoli-my.sharepoint.com/:b:/g/personal/mmorales_pirazzoli_cl/IQDjChM7TDyHTZjzJFcuPeBjAZQTbqgNJjxW_W5P1uGwDCY?e=oiXhX1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325" Type="http://schemas.openxmlformats.org/officeDocument/2006/relationships/hyperlink" Target="https://agenciadeaduanapirazzoli-my.sharepoint.com/:b:/g/personal/mmorales_pirazzoli_cl/IQBSt_L9dDlJRIn1xrm-04HNAaLmJ8s-BSya2Ko_IByGCNo?e=gvoWKm" TargetMode="External"/><Relationship Id="rId367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532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574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269" Type="http://schemas.openxmlformats.org/officeDocument/2006/relationships/hyperlink" Target="https://agenciadeaduanapirazzoli-my.sharepoint.com/:b:/g/personal/mmorales_pirazzoli_cl/IQAcJakqnlYiTq7tzKKMZ4ztAQq_J1m9I9f5gDiocogtFp0?e=MigDJU" TargetMode="External"/><Relationship Id="rId434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476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641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683" Type="http://schemas.openxmlformats.org/officeDocument/2006/relationships/hyperlink" Target="https://agenciadeaduanapirazzoli-my.sharepoint.com/:b:/g/personal/mmorales_pirazzoli_cl/IQCadbW57filTJvuVdhyJ9DiAVPbnX7-m3LvO_GL8RvxJBQ?e=gZyLdp" TargetMode="External"/><Relationship Id="rId739" Type="http://schemas.openxmlformats.org/officeDocument/2006/relationships/hyperlink" Target="https://agenciadeaduanapirazzoli-my.sharepoint.com/:b:/g/personal/mmorales_pirazzoli_cl/IQA_ZKR90EgWRYXscoYwEOmQAZlOR7motlm9iBEhBpx_4v4?e=5N6uA8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280" Type="http://schemas.openxmlformats.org/officeDocument/2006/relationships/hyperlink" Target="https://agenciadeaduanapirazzoli-my.sharepoint.com/:b:/g/personal/mmorales_pirazzoli_cl/IQDYw_UjR0pnSI5cwkYY1kICAYmRJw3CdP6KEAntO426MTs?e=54k9H7" TargetMode="External"/><Relationship Id="rId336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501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543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378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403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585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750" Type="http://schemas.openxmlformats.org/officeDocument/2006/relationships/hyperlink" Target="https://agenciadeaduanapirazzoli-my.sharepoint.com/:b:/g/personal/mmorales_pirazzoli_cl/IQAYD-wBLON5RJj6xykZi9E3AetCAnFIRKE7oX2RSjees_E?e=fUOisA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445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487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610" Type="http://schemas.openxmlformats.org/officeDocument/2006/relationships/hyperlink" Target="https://agenciadeaduanapirazzoli-my.sharepoint.com/:b:/g/personal/mmorales_pirazzoli_cl/IQDk8UeHErE7TJwomT2FDPE-AUfu036Hg6USuEYfhwG4Fok?e=I0i6p0" TargetMode="External"/><Relationship Id="rId652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694" Type="http://schemas.openxmlformats.org/officeDocument/2006/relationships/hyperlink" Target="https://agenciadeaduanapirazzoli-my.sharepoint.com/:b:/g/personal/mmorales_pirazzoli_cl/IQDsCc58RO0tQbiwUk2p3Qe5AWJZtwOyeZnYdQNMr_o5Hh8?e=13Vhb0" TargetMode="External"/><Relationship Id="rId708" Type="http://schemas.openxmlformats.org/officeDocument/2006/relationships/hyperlink" Target="https://agenciadeaduanapirazzoli-my.sharepoint.com/:b:/g/personal/mmorales_pirazzoli_cl/IQAucRw-LiiqTIRRVbeSJ1ugAb-esqcQk_EHDDjD3X0E-m0?e=XxUQju" TargetMode="External"/><Relationship Id="rId291" Type="http://schemas.openxmlformats.org/officeDocument/2006/relationships/hyperlink" Target="https://agenciadeaduanapirazzoli-my.sharepoint.com/:b:/g/personal/mmorales_pirazzoli_cl/IQCBYZKewpmMRbg8D2IMhRs-AYaF3xUSq_ivX-qquyvqxRQ?e=dSMH6e" TargetMode="External"/><Relationship Id="rId305" Type="http://schemas.openxmlformats.org/officeDocument/2006/relationships/hyperlink" Target="https://agenciadeaduanapirazzoli-my.sharepoint.com/:b:/g/personal/mmorales_pirazzoli_cl/IQCrxyD4-i92Ra1xcRVh0RpdAYnTuuyFV8tONRuRYbrpnqs?e=EjTShq" TargetMode="External"/><Relationship Id="rId347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512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389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554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596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761" Type="http://schemas.openxmlformats.org/officeDocument/2006/relationships/hyperlink" Target="https://agenciadeaduanapirazzoli-my.sharepoint.com/:b:/g/personal/mmorales_pirazzoli_cl/IQAiiSogvdanQI-DI7FzXLOHASbZTrTdD5bTYOA-01w0Z4g?e=XKhpg0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414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456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498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621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663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260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316" Type="http://schemas.openxmlformats.org/officeDocument/2006/relationships/hyperlink" Target="https://agenciadeaduanapirazzoli-my.sharepoint.com/:b:/g/personal/mmorales_pirazzoli_cl/IQCxlPzHbdqFQrEq2ADg0lxiAX0DGpxKka1yTUNrvkASlM0?e=FkAaMP" TargetMode="External"/><Relationship Id="rId523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719" Type="http://schemas.openxmlformats.org/officeDocument/2006/relationships/hyperlink" Target="https://agenciadeaduanapirazzoli-my.sharepoint.com/:b:/g/personal/mmorales_pirazzoli_cl/IQCUwhrp4OlZQp9ug_tjuoXIAVzBlyJi8GMq9p7Hsm61yHY?e=AgmWFI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358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565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730" Type="http://schemas.openxmlformats.org/officeDocument/2006/relationships/hyperlink" Target="https://agenciadeaduanapirazzoli-my.sharepoint.com/:b:/g/personal/mmorales_pirazzoli_cl/IQBn-Pz5UnlvTayRE9Y8Fgg4AZO0rihTYuHcMEvJiL_ID3k?e=zQOmnK" TargetMode="External"/><Relationship Id="rId772" Type="http://schemas.openxmlformats.org/officeDocument/2006/relationships/hyperlink" Target="https://agenciadeaduanapirazzoli-my.sharepoint.com/:b:/g/personal/mmorales_pirazzoli_cl/IQCgdp-Rn8MEQJ9YmIvuIKBiAVWCTRpjsc12Rn4yYsedNW0?e=sf0uOY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425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467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632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271" Type="http://schemas.openxmlformats.org/officeDocument/2006/relationships/hyperlink" Target="https://agenciadeaduanapirazzoli-my.sharepoint.com/:b:/g/personal/mmorales_pirazzoli_cl/IQCY-Zmk77U0TJhkYU64BBmBAVuOPGHOr2dag8CB7ubp4DE?e=J5nfbO" TargetMode="External"/><Relationship Id="rId674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327" Type="http://schemas.openxmlformats.org/officeDocument/2006/relationships/hyperlink" Target="https://agenciadeaduanapirazzoli-my.sharepoint.com/:b:/g/personal/mmorales_pirazzoli_cl/IQCwMzHdIbaQTrqxVUtJk6LfAdLgpJsqSTj31Nz2xKoOGr8?e=df82Lx" TargetMode="External"/><Relationship Id="rId369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34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576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741" Type="http://schemas.openxmlformats.org/officeDocument/2006/relationships/hyperlink" Target="https://agenciadeaduanapirazzoli-my.sharepoint.com/:b:/g/personal/mmorales_pirazzoli_cl/IQBuT4Xg3O72Tq3ftkmInmt6ARfiXVmGS4VkKOoiUQPtSw8?e=4gkdaQ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380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436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601" Type="http://schemas.openxmlformats.org/officeDocument/2006/relationships/hyperlink" Target="https://agenciadeaduanapirazzoli-my.sharepoint.com/:b:/g/personal/mmorales_pirazzoli_cl/IQALqzEzZY5OTYhWC8eQ3lDMAfX8KLHIswdzjZpDRViO42k?e=rIco7c" TargetMode="External"/><Relationship Id="rId643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478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85" Type="http://schemas.openxmlformats.org/officeDocument/2006/relationships/hyperlink" Target="https://agenciadeaduanapirazzoli-my.sharepoint.com/:b:/g/personal/mmorales_pirazzoli_cl/IQDvfer5aH-LQLxdF8fTzt0zAS1xexFGPWYvwrOtzJ_17x4?e=Lxqjy9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282" Type="http://schemas.openxmlformats.org/officeDocument/2006/relationships/hyperlink" Target="https://agenciadeaduanapirazzoli-my.sharepoint.com/:b:/g/personal/mmorales_pirazzoli_cl/IQB7nendVSMlQKoK8vxc10vlAaY8-YDG3BeQFbA5A63_z2A?e=tMLwuS" TargetMode="External"/><Relationship Id="rId338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503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545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587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710" Type="http://schemas.openxmlformats.org/officeDocument/2006/relationships/hyperlink" Target="https://agenciadeaduanapirazzoli-my.sharepoint.com/:b:/g/personal/mmorales_pirazzoli_cl/IQAvdVthO_cKTY5fShv_qngYAUhjyZ2F6Vs9Fav5EMA-ei4?e=ef1kYk" TargetMode="External"/><Relationship Id="rId752" Type="http://schemas.openxmlformats.org/officeDocument/2006/relationships/hyperlink" Target="https://agenciadeaduanapirazzoli-my.sharepoint.com/:b:/g/personal/mmorales_pirazzoli_cl/IQBkab2gc60ySIHe9T12m_kEAdVg3powNWQZxl9Pg-LdrM0?e=VtFevs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391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405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447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612" Type="http://schemas.openxmlformats.org/officeDocument/2006/relationships/hyperlink" Target="https://agenciadeaduanapirazzoli-my.sharepoint.com/:b:/g/personal/mmorales_pirazzoli_cl/IQCenIoymRT5TYRGpLqs1osYAYOGZss_z3UU1sB3rAQ5X9U?e=e6MM0P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489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654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696" Type="http://schemas.openxmlformats.org/officeDocument/2006/relationships/hyperlink" Target="https://agenciadeaduanapirazzoli-my.sharepoint.com/:b:/g/personal/mmorales_pirazzoli_cl/IQCELB_lRdZhRK2xy_xiHImFAV3rfDio-tvUT2jXQlB8DsE?e=L1wXGm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293" Type="http://schemas.openxmlformats.org/officeDocument/2006/relationships/hyperlink" Target="https://agenciadeaduanapirazzoli-my.sharepoint.com/:b:/g/personal/mmorales_pirazzoli_cl/IQBJolwgrrO0Try7uYgtWQlzAfDYpD8t4_M2OSahgQ2kooY?e=T7V8MZ" TargetMode="External"/><Relationship Id="rId307" Type="http://schemas.openxmlformats.org/officeDocument/2006/relationships/hyperlink" Target="https://agenciadeaduanapirazzoli-my.sharepoint.com/:b:/g/personal/mmorales_pirazzoli_cl/IQBr-5vzI80TQaf1pGHqloQIAWWVle7l0HxzTdP8hkf4F54?e=74YOXf" TargetMode="External"/><Relationship Id="rId349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514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556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721" Type="http://schemas.openxmlformats.org/officeDocument/2006/relationships/hyperlink" Target="https://agenciadeaduanapirazzoli-my.sharepoint.com/:b:/g/personal/mmorales_pirazzoli_cl/IQDGJ2sRn4xHSbPWICycfLmCAdxaYNVrprfvG_Gu5pfH3lE?e=G7EuzQ" TargetMode="External"/><Relationship Id="rId763" Type="http://schemas.openxmlformats.org/officeDocument/2006/relationships/hyperlink" Target="https://agenciadeaduanapirazzoli-my.sharepoint.com/:b:/g/personal/mmorales_pirazzoli_cl/IQBqIHF5-OEYRrrQS6n9EPRvAVuND08-j1lOS5tEkdKzpzI?e=Abk1VO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360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416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598" Type="http://schemas.openxmlformats.org/officeDocument/2006/relationships/hyperlink" Target="https://agenciadeaduanapirazzoli-my.sharepoint.com/:b:/g/personal/mmorales_pirazzoli_cl/IQCYtHfMF5LyTrgkbTWs1PpRAcjBZr_ApjpsoQjBFHbvJcQ?e=EzQE2U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458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623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665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318" Type="http://schemas.openxmlformats.org/officeDocument/2006/relationships/hyperlink" Target="https://agenciadeaduanapirazzoli-my.sharepoint.com/:b:/g/personal/mmorales_pirazzoli_cl/IQAutKZyp3TtQLlOKitBG6-KAczYiUUefbGnhhvLXGk6Dqc?e=PnYaav" TargetMode="External"/><Relationship Id="rId525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567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732" Type="http://schemas.openxmlformats.org/officeDocument/2006/relationships/hyperlink" Target="https://agenciadeaduanapirazzoli-my.sharepoint.com/:b:/g/personal/mmorales_pirazzoli_cl/IQAN--gTn-nUS71fvG55IZf3AVV0nMOKE7tBkoJDYAh_ycw?e=vgxA7X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371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774" Type="http://schemas.openxmlformats.org/officeDocument/2006/relationships/comments" Target="../comments1.xml"/><Relationship Id="rId42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469" Type="http://schemas.openxmlformats.org/officeDocument/2006/relationships/hyperlink" Target="https://agenciadeaduanapirazzoli-my.sharepoint.com/:b:/g/personal/mmorales_pirazzoli_cl/IQBBtPfTmXeTR58wUIZSnUMLAac92q2HKNe6KsnOZLgevGQ?e=x8qIyC" TargetMode="External"/><Relationship Id="rId634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676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273" Type="http://schemas.openxmlformats.org/officeDocument/2006/relationships/hyperlink" Target="https://agenciadeaduanapirazzoli-my.sharepoint.com/:b:/g/personal/mmorales_pirazzoli_cl/IQDGIYsuQWhURKNMn26VcTPOAQXXwhMaOniDT6gAKJujcMs?e=9W0mAr" TargetMode="External"/><Relationship Id="rId329" Type="http://schemas.openxmlformats.org/officeDocument/2006/relationships/hyperlink" Target="https://agenciadeaduanapirazzoli-my.sharepoint.com/:b:/g/personal/mmorales_pirazzoli_cl/IQABKVFETAPnSLuOShzT4rLnAbjAM7R2XE-k4SnXZ5aDCZc?e=HF26mz" TargetMode="External"/><Relationship Id="rId480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536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701" Type="http://schemas.openxmlformats.org/officeDocument/2006/relationships/hyperlink" Target="https://agenciadeaduanapirazzoli-my.sharepoint.com/:b:/g/personal/mmorales_pirazzoli_cl/IQCutAxjbl8GSo8_Kf_cY92hAWIwlAu-8LXRcb8-Q4vCXmk?e=yBmw1H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340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578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743" Type="http://schemas.openxmlformats.org/officeDocument/2006/relationships/hyperlink" Target="https://agenciadeaduanapirazzoli-my.sharepoint.com/:b:/g/personal/mmorales_pirazzoli_cl/IQC2ztPV9pEFTIsYH-i0Ov-HAVqTpcIFhU7-Ef9tPkQEO7A?e=gZYSHK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382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438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603" Type="http://schemas.openxmlformats.org/officeDocument/2006/relationships/hyperlink" Target="https://agenciadeaduanapirazzoli-my.sharepoint.com/:b:/g/personal/mmorales_pirazzoli_cl/IQA2ZoJ9WdabRJ4zAJV1VLJTAU0tMh_Vpa-XSDOm1Yx2_Uc?e=lNwPKo" TargetMode="External"/><Relationship Id="rId645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687" Type="http://schemas.openxmlformats.org/officeDocument/2006/relationships/hyperlink" Target="https://agenciadeaduanapirazzoli-my.sharepoint.com/:b:/g/personal/mmorales_pirazzoli_cl/IQBFoDRVgHB0Q7hIouYIrqJ2AQyOGvMAxPD4jND7QsCyX1o?e=4jOLhP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284" Type="http://schemas.openxmlformats.org/officeDocument/2006/relationships/hyperlink" Target="https://agenciadeaduanapirazzoli-my.sharepoint.com/:b:/g/personal/mmorales_pirazzoli_cl/IQAxNR5Hwo56RK2lkN0bqnrIAROACo858VKEbX0grzsTh1E?e=fCNcuC" TargetMode="External"/><Relationship Id="rId491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505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712" Type="http://schemas.openxmlformats.org/officeDocument/2006/relationships/hyperlink" Target="https://agenciadeaduanapirazzoli-my.sharepoint.com/:b:/g/personal/mmorales_pirazzoli_cl/IQDgVEudUIg1QLXKZy0bY2CtAaC8t44oOYg2gIPF_o7ifNo?e=Qo4Pzd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547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589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754" Type="http://schemas.openxmlformats.org/officeDocument/2006/relationships/hyperlink" Target="https://agenciadeaduanapirazzoli-my.sharepoint.com/:b:/g/personal/mmorales_pirazzoli_cl/IQABlCw1gjRnQoMWyxcfaY1xAV8EAFGPeiaU377dkFSU05w?e=T7a9Aw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351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393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407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449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614" Type="http://schemas.openxmlformats.org/officeDocument/2006/relationships/hyperlink" Target="https://agenciadeaduanapirazzoli-my.sharepoint.com/:b:/g/personal/mmorales_pirazzoli_cl/IQCCAHNVuIqvQpWKzB5eV0OfAUdyYI2JhrGz_o0pe8q60U8?e=2ikMN1" TargetMode="External"/><Relationship Id="rId656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295" Type="http://schemas.openxmlformats.org/officeDocument/2006/relationships/hyperlink" Target="https://agenciadeaduanapirazzoli-my.sharepoint.com/:b:/g/personal/mmorales_pirazzoli_cl/IQD4fey60HvpTLefmJaOCTbvATu2ibu9Eni1XVrsUaRJXgQ?e=qCcu0C" TargetMode="External"/><Relationship Id="rId309" Type="http://schemas.openxmlformats.org/officeDocument/2006/relationships/hyperlink" Target="https://agenciadeaduanapirazzoli-my.sharepoint.com/:b:/g/personal/mmorales_pirazzoli_cl/IQBNYv7-G12jQreq0NWxi71QAa8ag7S3wLoUck-UbXUlkQg?e=QUJ5xE" TargetMode="External"/><Relationship Id="rId460" Type="http://schemas.openxmlformats.org/officeDocument/2006/relationships/hyperlink" Target="https://agenciadeaduanapirazzoli-my.sharepoint.com/:b:/g/personal/mmorales_pirazzoli_cl/IQD3DSxBUbEeSbcEEA99UFoGASI8rTBL_zDP4Lsg1KI_LhI?e=PDHcCJ" TargetMode="External"/><Relationship Id="rId516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698" Type="http://schemas.openxmlformats.org/officeDocument/2006/relationships/hyperlink" Target="https://agenciadeaduanapirazzoli-my.sharepoint.com/:b:/g/personal/mmorales_pirazzoli_cl/IQAhUrG0BC6dSr9dQ12oArowAcNTS9W-Djh4HbE7CVC2RJo?e=1WoGj4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320" Type="http://schemas.openxmlformats.org/officeDocument/2006/relationships/hyperlink" Target="https://agenciadeaduanapirazzoli-my.sharepoint.com/:b:/g/personal/mmorales_pirazzoli_cl/IQDWC7PJQh1KQ4_OAZ4tWcy7ASG2HtViqe4EaM_VfKBueb0?e=z6tLOT" TargetMode="External"/><Relationship Id="rId558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723" Type="http://schemas.openxmlformats.org/officeDocument/2006/relationships/hyperlink" Target="https://agenciadeaduanapirazzoli-my.sharepoint.com/:b:/g/personal/mmorales_pirazzoli_cl/IQA4saveW9NwRapcmGT7we6NAZbK9B1XH20EE8gqSixkUEE?e=o1uX7P" TargetMode="External"/><Relationship Id="rId765" Type="http://schemas.openxmlformats.org/officeDocument/2006/relationships/hyperlink" Target="https://agenciadeaduanapirazzoli-my.sharepoint.com/:b:/g/personal/mmorales_pirazzoli_cl/IQAavXhhsielTo9fi4n6088vAYznw23GylaYvLLrkcftJik?e=5CLyYd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362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418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625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264" Type="http://schemas.openxmlformats.org/officeDocument/2006/relationships/hyperlink" Target="https://agenciadeaduanapirazzoli-my.sharepoint.com/:b:/g/personal/mmorales_pirazzoli_cl/IQA8Sb2U-a0sRZvpLq0wFBR1Ae0tCBmFW4KKwI81kSmDhjk?e=b67IST" TargetMode="External"/><Relationship Id="rId471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667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527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569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734" Type="http://schemas.openxmlformats.org/officeDocument/2006/relationships/hyperlink" Target="https://agenciadeaduanapirazzoli-my.sharepoint.com/:b:/g/personal/mmorales_pirazzoli_cl/IQBi9ueX5kGfQqtL9WivS81CAWq1wVcj3ucwqsG2Ig5gtw8?e=Xgcsy7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331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373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429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580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636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440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678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275" Type="http://schemas.openxmlformats.org/officeDocument/2006/relationships/hyperlink" Target="https://agenciadeaduanapirazzoli-my.sharepoint.com/:b:/g/personal/mmorales_pirazzoli_cl/IQBprr2cjWQOS6LyCIV5iBudARWDXYtiq9tnY0VFuROhhWs?e=2w9ynO" TargetMode="External"/><Relationship Id="rId300" Type="http://schemas.openxmlformats.org/officeDocument/2006/relationships/hyperlink" Target="https://agenciadeaduanapirazzoli-my.sharepoint.com/:b:/g/personal/mmorales_pirazzoli_cl/IQA8DPcse6XuRL3U0NkqDCfjAU5WuUHYlsGX1Hws9OKTBSs?e=28jd8Q" TargetMode="External"/><Relationship Id="rId482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538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703" Type="http://schemas.openxmlformats.org/officeDocument/2006/relationships/hyperlink" Target="https://agenciadeaduanapirazzoli-my.sharepoint.com/:b:/g/personal/mmorales_pirazzoli_cl/IQDARLKZw_p_QYryQfkE6FXLAdrzTQVTsWjwz2eV5SlyPyY?e=e5eys0" TargetMode="External"/><Relationship Id="rId745" Type="http://schemas.openxmlformats.org/officeDocument/2006/relationships/hyperlink" Target="https://agenciadeaduanapirazzoli-my.sharepoint.com/:b:/g/personal/mmorales_pirazzoli_cl/IQDnH6qk33t4T7ddreCzksUsAeCkJ42HAMVUgMnOup905Lk?e=ceeMoj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342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384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591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605" Type="http://schemas.openxmlformats.org/officeDocument/2006/relationships/hyperlink" Target="https://agenciadeaduanapirazzoli-my.sharepoint.com/:b:/g/personal/mmorales_pirazzoli_cl/IQBaZsJ_rx-HSo5WlYwIzBpvAWDnBX3ngeZq1P5qoTw-d8M?e=XqT84O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647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689" Type="http://schemas.openxmlformats.org/officeDocument/2006/relationships/hyperlink" Target="https://agenciadeaduanapirazzoli-my.sharepoint.com/:b:/g/personal/mmorales_pirazzoli_cl/IQAg1ymFrlkcRoEf29EDitZ2AdGSh0JgCjAF8Xh06XJ_G5k?e=bZtge0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86" Type="http://schemas.openxmlformats.org/officeDocument/2006/relationships/hyperlink" Target="https://agenciadeaduanapirazzoli-my.sharepoint.com/:b:/g/personal/mmorales_pirazzoli_cl/IQDc56LUfaQkSa3tuXVqnIAoAZTm56eTwv4RT6D5OgZiG30?e=j92kEA" TargetMode="External"/><Relationship Id="rId451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493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507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549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714" Type="http://schemas.openxmlformats.org/officeDocument/2006/relationships/hyperlink" Target="https://agenciadeaduanapirazzoli-my.sharepoint.com/:b:/g/personal/mmorales_pirazzoli_cl/IQCDLKXKoZRvSZJCLaIPOXSZARw_QUUeQ7LXv7gu9JjHstU?e=bBBQ0D" TargetMode="External"/><Relationship Id="rId756" Type="http://schemas.openxmlformats.org/officeDocument/2006/relationships/hyperlink" Target="https://agenciadeaduanapirazzoli-my.sharepoint.com/:b:/g/personal/mmorales_pirazzoli_cl/IQDQOnBgSSg0RZMqYwVikrypATJ9dcpJwTZ4frsJyqRZZ0E?e=AUd48f" TargetMode="Externa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311" Type="http://schemas.openxmlformats.org/officeDocument/2006/relationships/hyperlink" Target="https://agenciadeaduanapirazzoli-my.sharepoint.com/:b:/g/personal/mmorales_pirazzoli_cl/IQD80lAnQVJ9SJ6EcSn5B5_DAaji2IjQAk8co1TevRzZhas?e=T567tf" TargetMode="External"/><Relationship Id="rId353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395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409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560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420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616" Type="http://schemas.openxmlformats.org/officeDocument/2006/relationships/hyperlink" Target="https://agenciadeaduanapirazzoli-my.sharepoint.com/:b:/g/personal/mmorales_pirazzoli_cl/IQDdSFiHgt2ZTL3zeKw0xeMMAWqQJL-81OvT-pg6lBmgg0k?e=313dkm" TargetMode="External"/><Relationship Id="rId658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255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297" Type="http://schemas.openxmlformats.org/officeDocument/2006/relationships/hyperlink" Target="https://agenciadeaduanapirazzoli-my.sharepoint.com/:b:/g/personal/mmorales_pirazzoli_cl/IQCRrdHKHd4EQrkOntfiXy0BAZ4-mWCvqH_Hlu_3EVboFXw?e=Jq4c21" TargetMode="External"/><Relationship Id="rId462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518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725" Type="http://schemas.openxmlformats.org/officeDocument/2006/relationships/hyperlink" Target="https://agenciadeaduanapirazzoli-my.sharepoint.com/:b:/g/personal/mmorales_pirazzoli_cl/IQCe5CybD0huTJYkFZ1gd6FMAXsdhsu3oqok5erZc5bVV6Q?e=61jKn5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322" Type="http://schemas.openxmlformats.org/officeDocument/2006/relationships/hyperlink" Target="https://agenciadeaduanapirazzoli-my.sharepoint.com/:b:/g/personal/mmorales_pirazzoli_cl/IQBYkLsrJ8G0QJuDlhCjmATlAYyWQ6reh7WOAMW78MAkpxE?e=PEyD9R" TargetMode="External"/><Relationship Id="rId36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767" Type="http://schemas.openxmlformats.org/officeDocument/2006/relationships/hyperlink" Target="https://agenciadeaduanapirazzoli-my.sharepoint.com/:b:/g/personal/mmorales_pirazzoli_cl/IQC7chftQUbAS7yrmDkHLyXwAfddlB2N4b1jxWWajhlLw5Q?e=bZkqrD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571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627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669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266" Type="http://schemas.openxmlformats.org/officeDocument/2006/relationships/hyperlink" Target="https://agenciadeaduanapirazzoli-my.sharepoint.com/:b:/g/personal/mmorales_pirazzoli_cl/IQBw4zV5CpWBQJc5Xu1XBCULATLxwAZ_DMdzYWYoIoBG3HM?e=sYJEjs" TargetMode="External"/><Relationship Id="rId431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473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529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680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736" Type="http://schemas.openxmlformats.org/officeDocument/2006/relationships/hyperlink" Target="https://agenciadeaduanapirazzoli-my.sharepoint.com/:b:/g/personal/mmorales_pirazzoli_cl/IQA9uyK7lp1OTYuqb03Nnc0NAU9vworjN66CxqrzWvzDPjU?e=7EfL9S" TargetMode="Externa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333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540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37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2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638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277" Type="http://schemas.openxmlformats.org/officeDocument/2006/relationships/hyperlink" Target="https://agenciadeaduanapirazzoli-my.sharepoint.com/:b:/g/personal/mmorales_pirazzoli_cl/IQDy_tn9-joYQpQbMT-54RKLAUo7CvRPTzEbAjRX3PT-NxE?e=QhafAA" TargetMode="External"/><Relationship Id="rId400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442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484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705" Type="http://schemas.openxmlformats.org/officeDocument/2006/relationships/hyperlink" Target="https://agenciadeaduanapirazzoli-my.sharepoint.com/:b:/g/personal/mmorales_pirazzoli_cl/IQC49WIh262ZQJrcAV2N3-XJAXkQQw1gytlfNeYo4tgtTfA?e=eLE1HF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302" Type="http://schemas.openxmlformats.org/officeDocument/2006/relationships/hyperlink" Target="https://agenciadeaduanapirazzoli-my.sharepoint.com/:b:/g/personal/mmorales_pirazzoli_cl/IQAE1mnBmVNDS6k3Mr1Vjv8gAWCAXxu5c71nZHh0p9eoxOU?e=odoInf" TargetMode="External"/><Relationship Id="rId344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91" Type="http://schemas.openxmlformats.org/officeDocument/2006/relationships/hyperlink" Target="https://agenciadeaduanapirazzoli-my.sharepoint.com/:b:/g/personal/mmorales_pirazzoli_cl/IQA4CjwFraJVRJqcOl_6jOKnAedgp89EYMt2JGhKVd-i6Aw?e=faftV5" TargetMode="External"/><Relationship Id="rId747" Type="http://schemas.openxmlformats.org/officeDocument/2006/relationships/hyperlink" Target="https://agenciadeaduanapirazzoli-my.sharepoint.com/:b:/g/personal/mmorales_pirazzoli_cl/IQB9IO6lYW5-S4S5gnY8AWghAYZXWb0llnzDeUBJoWKsTBQ?e=fsOwed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38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551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593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607" Type="http://schemas.openxmlformats.org/officeDocument/2006/relationships/hyperlink" Target="https://agenciadeaduanapirazzoli-my.sharepoint.com/:b:/g/personal/mmorales_pirazzoli_cl/IQAw3KYp1B8hQ7n9KUNrKus8AUVd8daeLrJ671cqRw_xdDg?e=xbGqAS" TargetMode="External"/><Relationship Id="rId649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288" Type="http://schemas.openxmlformats.org/officeDocument/2006/relationships/hyperlink" Target="https://agenciadeaduanapirazzoli-my.sharepoint.com/:b:/g/personal/mmorales_pirazzoli_cl/IQDTvgmKENgyQKj6-rNcucZdAdGuIYj8Yxl3K_4b926da8w?e=biMLCV" TargetMode="External"/><Relationship Id="rId411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453" Type="http://schemas.openxmlformats.org/officeDocument/2006/relationships/hyperlink" Target="https://agenciadeaduanapirazzoli-my.sharepoint.com/:b:/g/personal/mmorales_pirazzoli_cl/IQBxpzsKR1UGQZEtueTW3zHpAaVLWwFQswfsM6qic7AwUOM?e=xW4tTe" TargetMode="External"/><Relationship Id="rId509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660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313" Type="http://schemas.openxmlformats.org/officeDocument/2006/relationships/hyperlink" Target="https://agenciadeaduanapirazzoli-my.sharepoint.com/:b:/g/personal/mmorales_pirazzoli_cl/IQAGpqTH4h3mQKIh8_n8V98BAeNLYRY19-ihA0c0ac8HSP0?e=VV3X7b" TargetMode="External"/><Relationship Id="rId495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716" Type="http://schemas.openxmlformats.org/officeDocument/2006/relationships/hyperlink" Target="https://agenciadeaduanapirazzoli-my.sharepoint.com/:b:/g/personal/mmorales_pirazzoli_cl/IQDusfmoxI5eRZxDf9PNoEVRAVqV9hmM59KwyVUKIAaQ9O0?e=5y3oxw" TargetMode="External"/><Relationship Id="rId758" Type="http://schemas.openxmlformats.org/officeDocument/2006/relationships/hyperlink" Target="https://agenciadeaduanapirazzoli-my.sharepoint.com/:b:/g/personal/mmorales_pirazzoli_cl/IQDsalhT_KkzRrNfXeEFHg-8AXO6VkMjHaZMpdsbO8C8iBo?e=PQrKme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355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397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520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562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618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257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422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464" Type="http://schemas.openxmlformats.org/officeDocument/2006/relationships/hyperlink" Target="https://agenciadeaduanapirazzoli-my.sharepoint.com/:b:/g/personal/mmorales_pirazzoli_cl/IQCTXgqjGeV9SaKAr09i4uy-AVNV89JWFbY6WzWu4-dRRhc?e=7UbZHi" TargetMode="External"/><Relationship Id="rId299" Type="http://schemas.openxmlformats.org/officeDocument/2006/relationships/hyperlink" Target="https://agenciadeaduanapirazzoli-my.sharepoint.com/:b:/g/personal/mmorales_pirazzoli_cl/IQCRDLzMHbShQYevGZpY3zZzAfIGvmeLAerSUIKr6Oo2a_4?e=7v1HDD" TargetMode="External"/><Relationship Id="rId727" Type="http://schemas.openxmlformats.org/officeDocument/2006/relationships/hyperlink" Target="https://agenciadeaduanapirazzoli-my.sharepoint.com/:b:/g/personal/mmorales_pirazzoli_cl/IQC15_GUjj6cSIGMjUTjphYNAZfY5soQQhxJ6CFX38aF5_A?e=6TytAW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366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573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433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640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738" Type="http://schemas.openxmlformats.org/officeDocument/2006/relationships/hyperlink" Target="https://agenciadeaduanapirazzoli-my.sharepoint.com/:b:/g/personal/mmorales_pirazzoli_cl/IQChzK43M_8rR47YvqcQNoTTAdAU2iJ0YFTGq3lJ9xJQKQk?e=8yp1EV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377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500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584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444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651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749" Type="http://schemas.openxmlformats.org/officeDocument/2006/relationships/hyperlink" Target="https://agenciadeaduanapirazzoli-my.sharepoint.com/:b:/g/personal/mmorales_pirazzoli_cl/IQCcn9K0DlKZS5NlVdEEB4HbAWy2Y_petdJqGG_PtJb6wUM?e=uKsJA1" TargetMode="External"/><Relationship Id="rId290" Type="http://schemas.openxmlformats.org/officeDocument/2006/relationships/hyperlink" Target="https://agenciadeaduanapirazzoli-my.sharepoint.com/:b:/g/personal/mmorales_pirazzoli_cl/IQCl9Vd_9p47R46ncA0BZFbMAVKGu9Mq_o_DYenA2IptlOE?e=gcEbVn" TargetMode="External"/><Relationship Id="rId304" Type="http://schemas.openxmlformats.org/officeDocument/2006/relationships/hyperlink" Target="https://agenciadeaduanapirazzoli-my.sharepoint.com/:b:/g/personal/mmorales_pirazzoli_cl/IQDyjQjWA9LTSaUcQpwvVlgbAUNz73fiTZClGomfb2fcGLQ?e=B6eH37" TargetMode="External"/><Relationship Id="rId388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511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609" Type="http://schemas.openxmlformats.org/officeDocument/2006/relationships/hyperlink" Target="https://agenciadeaduanapirazzoli-my.sharepoint.com/:b:/g/personal/mmorales_pirazzoli_cl/IQCnu_Q4haBLSbcP_HbnPQtgAUsmS9AHCaPUrlxWV7CRqqo?e=XQA5FX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595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455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662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315" Type="http://schemas.openxmlformats.org/officeDocument/2006/relationships/hyperlink" Target="https://agenciadeaduanapirazzoli-my.sharepoint.com/:b:/g/personal/mmorales_pirazzoli_cl/IQBmXv9snAmsQoSOhgxTz5pYAfECjwHUoiWh72icircz9HI?e=8xJq9a" TargetMode="External"/><Relationship Id="rId522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399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259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466" Type="http://schemas.openxmlformats.org/officeDocument/2006/relationships/hyperlink" Target="https://agenciadeaduanapirazzoli-my.sharepoint.com/:b:/g/personal/mmorales_pirazzoli_cl/IQBOeGXKdGU1T49kHjFPcPIBASRkF0_9FuL5gAlMlB2FoSI?e=vGzOiR" TargetMode="External"/><Relationship Id="rId673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326" Type="http://schemas.openxmlformats.org/officeDocument/2006/relationships/hyperlink" Target="https://agenciadeaduanapirazzoli-my.sharepoint.com/:b:/g/personal/mmorales_pirazzoli_cl/IQADAQiof64TTLTR5fzC9E34ATRPNgJQQzDR4-E9a3PaLRQ?e=o0r5lw" TargetMode="External"/><Relationship Id="rId533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740" Type="http://schemas.openxmlformats.org/officeDocument/2006/relationships/hyperlink" Target="https://agenciadeaduanapirazzoli-my.sharepoint.com/:b:/g/personal/mmorales_pirazzoli_cl/IQBBP5QQnpZ-T5wEPbTY38EAAQvk9MVFCsVs4KaPRIpkyYw?e=gV9eZd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477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600" Type="http://schemas.openxmlformats.org/officeDocument/2006/relationships/hyperlink" Target="https://agenciadeaduanapirazzoli-my.sharepoint.com/:b:/g/personal/mmorales_pirazzoli_cl/IQCvjn8cGHSEQ6S7AM6N3atnAbHLlNloTi_GbDmh_A3dwQM?e=pdMICH" TargetMode="External"/><Relationship Id="rId684" Type="http://schemas.openxmlformats.org/officeDocument/2006/relationships/hyperlink" Target="https://agenciadeaduanapirazzoli-my.sharepoint.com/:b:/g/personal/mmorales_pirazzoli_cl/IQC2AEAs0KjRT6LlQVlfofAzASHF3bbUd0KdXd-FPsy3X_g?e=Z88CJ4" TargetMode="External"/><Relationship Id="rId337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44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751" Type="http://schemas.openxmlformats.org/officeDocument/2006/relationships/hyperlink" Target="https://agenciadeaduanapirazzoli-my.sharepoint.com/:b:/g/personal/mmorales_pirazzoli_cl/IQD9xE0N-3UrRKwrA76k-vsDAfeLH2_8Asr8fpdZSA0urvY?e=tlmyxP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390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404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611" Type="http://schemas.openxmlformats.org/officeDocument/2006/relationships/hyperlink" Target="https://agenciadeaduanapirazzoli-my.sharepoint.com/:b:/g/personal/mmorales_pirazzoli_cl/IQAOq_UEDtswTIUXqFrbmIOxAX-P4n-DUv_N_IhbdssG39M?e=EwAJHf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488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695" Type="http://schemas.openxmlformats.org/officeDocument/2006/relationships/hyperlink" Target="https://agenciadeaduanapirazzoli-my.sharepoint.com/:b:/g/personal/mmorales_pirazzoli_cl/IQCuvXYBOvttQqAnKQ9BO9dVAbo3fdnmSqdSpSDW0PK9qwI?e=0V92cU" TargetMode="External"/><Relationship Id="rId709" Type="http://schemas.openxmlformats.org/officeDocument/2006/relationships/hyperlink" Target="https://agenciadeaduanapirazzoli-my.sharepoint.com/:b:/g/personal/mmorales_pirazzoli_cl/IQCEEc7QY_oqTqQHCGs1xfKhAeZToMqmX4ClDOWL88XLHds?e=WdhNvV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348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555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762" Type="http://schemas.openxmlformats.org/officeDocument/2006/relationships/hyperlink" Target="https://agenciadeaduanapirazzoli-my.sharepoint.com/:b:/g/personal/mmorales_pirazzoli_cl/IQDoDM6Ql9shRLnlDnZ7BkP0AUMLea4AD99FuGiDc2eKTEY?e=2senns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415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622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261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499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359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566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773" Type="http://schemas.openxmlformats.org/officeDocument/2006/relationships/vmlDrawing" Target="../drawings/vmlDrawing1.vm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426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633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272" Type="http://schemas.openxmlformats.org/officeDocument/2006/relationships/hyperlink" Target="https://agenciadeaduanapirazzoli-my.sharepoint.com/:b:/g/personal/mmorales_pirazzoli_cl/IQAoKrYXGL6NQ4Sk2oorXIt9AWrtcAmchR4HqOkK78IDmOI?e=rFprhB" TargetMode="External"/><Relationship Id="rId577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700" Type="http://schemas.openxmlformats.org/officeDocument/2006/relationships/hyperlink" Target="https://agenciadeaduanapirazzoli-my.sharepoint.com/:b:/g/personal/mmorales_pirazzoli_cl/IQAtzHJGIheiRKgCnDutHxIAAdiNK8Uy2gxSrG6dgDtx0Vw?e=DGT4Ev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437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644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283" Type="http://schemas.openxmlformats.org/officeDocument/2006/relationships/hyperlink" Target="https://agenciadeaduanapirazzoli-my.sharepoint.com/:b:/g/personal/mmorales_pirazzoli_cl/IQBeo9n1Ybg1SalbC28uqFyKAeVmqB3S0wAZOqgRsD21L8U?e=suNlbA" TargetMode="External"/><Relationship Id="rId490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504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711" Type="http://schemas.openxmlformats.org/officeDocument/2006/relationships/hyperlink" Target="https://agenciadeaduanapirazzoli-my.sharepoint.com/:b:/g/personal/mmorales_pirazzoli_cl/IQB3yqUiheelRafOkdNbGiHXAZT-sOIg5n_WMZqg_m51r7o?e=ZyMifq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350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588" Type="http://schemas.openxmlformats.org/officeDocument/2006/relationships/hyperlink" Target="https://agenciadeaduanapirazzoli-my.sharepoint.com/:b:/g/personal/mmorales_pirazzoli_cl/IQAXwnPNWcZrT71jAs6VDFveAS2qYJhn684EzUmoU8LmB_U?e=dhZTft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448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655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294" Type="http://schemas.openxmlformats.org/officeDocument/2006/relationships/hyperlink" Target="https://agenciadeaduanapirazzoli-my.sharepoint.com/:b:/g/personal/mmorales_pirazzoli_cl/IQDdlixdfe4eSr6czFe5gLZ0ATUCB7XynCnJmw4LDvBd3jI?e=dbwQ9s" TargetMode="External"/><Relationship Id="rId308" Type="http://schemas.openxmlformats.org/officeDocument/2006/relationships/hyperlink" Target="https://agenciadeaduanapirazzoli-my.sharepoint.com/:b:/g/personal/mmorales_pirazzoli_cl/IQCtxiTgTwmsRpCVYdN2lpGVAbpmg-V0UxpWH5-SAL4qNbE?e=fntx1S" TargetMode="External"/><Relationship Id="rId515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722" Type="http://schemas.openxmlformats.org/officeDocument/2006/relationships/hyperlink" Target="https://agenciadeaduanapirazzoli-my.sharepoint.com/:b:/g/personal/mmorales_pirazzoli_cl/IQCg04cTaexFQKwG3or7cY-kATK-OQXSJO4lrFBxxVwnZMw?e=Wnurhn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361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599" Type="http://schemas.openxmlformats.org/officeDocument/2006/relationships/hyperlink" Target="https://agenciadeaduanapirazzoli-my.sharepoint.com/:b:/g/personal/mmorales_pirazzoli_cl/IQDfRlM5OiUIT5tHFGdDTPL9AWE0Y1FrgGFcT-U1OEy_PI8?e=haG9gS" TargetMode="External"/><Relationship Id="rId459" Type="http://schemas.openxmlformats.org/officeDocument/2006/relationships/hyperlink" Target="https://agenciadeaduanapirazzoli-my.sharepoint.com/:b:/g/personal/mmorales_pirazzoli_cl/IQBsdq1cGgDHRZiyXbgwHGSWAavCrXls-hIKO2mbMthjCew?e=5LaOSe" TargetMode="External"/><Relationship Id="rId666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319" Type="http://schemas.openxmlformats.org/officeDocument/2006/relationships/hyperlink" Target="https://agenciadeaduanapirazzoli-my.sharepoint.com/:b:/g/personal/mmorales_pirazzoli_cl/IQAjGAuRgh43SKf1edA5opg6AdDcLNbyVIbgJfC32tC4ANc?e=XAO3xE" TargetMode="External"/><Relationship Id="rId526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733" Type="http://schemas.openxmlformats.org/officeDocument/2006/relationships/hyperlink" Target="https://agenciadeaduanapirazzoli-my.sharepoint.com/:b:/g/personal/mmorales_pirazzoli_cl/IQARguGX84YPS4EIBfzuDhheAfvkBG7kQiY3QuZrlCGc-rY?e=Gd3b8O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372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677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537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744" Type="http://schemas.openxmlformats.org/officeDocument/2006/relationships/hyperlink" Target="https://agenciadeaduanapirazzoli-my.sharepoint.com/:b:/g/personal/mmorales_pirazzoli_cl/IQA5IF9JUyylTZZSRJwR9bEoAdtQX2Mx0UL4CE8FBDacKHI?e=EZ5c3d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383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590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604" Type="http://schemas.openxmlformats.org/officeDocument/2006/relationships/hyperlink" Target="https://agenciadeaduanapirazzoli-my.sharepoint.com/:b:/g/personal/mmorales_pirazzoli_cl/IQDG725Iy6OuRItpJnnwZOZGAcj_DMDDdrJ_uJ0McbLLOV0?e=nqsl46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450" Type="http://schemas.openxmlformats.org/officeDocument/2006/relationships/hyperlink" Target="https://agenciadeaduanapirazzoli-my.sharepoint.com/:b:/g/personal/mmorales_pirazzoli_cl/IQBpLKpJjetLSpUJm6vW2XfBASjn0XkyUfswe8FQASi5FhU?e=xy3lNj" TargetMode="External"/><Relationship Id="rId688" Type="http://schemas.openxmlformats.org/officeDocument/2006/relationships/hyperlink" Target="https://agenciadeaduanapirazzoli-my.sharepoint.com/:b:/g/personal/mmorales_pirazzoli_cl/IQBodcjMdGy5QZjmJjZrnHd0AdCwjbHD-IFcVIeq8cwmBQk?e=GCGJUb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310" Type="http://schemas.openxmlformats.org/officeDocument/2006/relationships/hyperlink" Target="https://agenciadeaduanapirazzoli-my.sharepoint.com/:b:/g/personal/mmorales_pirazzoli_cl/IQCFC5m-UjoKSIupu1Y3piSwAbFfv9-Hqelvb1KIdZHoBFI?e=bBFtPq" TargetMode="External"/><Relationship Id="rId548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755" Type="http://schemas.openxmlformats.org/officeDocument/2006/relationships/hyperlink" Target="https://agenciadeaduanapirazzoli-my.sharepoint.com/:b:/g/personal/mmorales_pirazzoli_cl/IQC5_R07Q8-ARbRefwuEQL1cAVPYj9Mv5ctAKlDNHmw_xYY?e=Gq99mW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39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40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615" Type="http://schemas.openxmlformats.org/officeDocument/2006/relationships/hyperlink" Target="https://agenciadeaduanapirazzoli-my.sharepoint.com/:b:/g/personal/mmorales_pirazzoli_cl/IQDQBg0utNPqTbdK4aK_BnszAdQg6XQ3ELDh46tSdiPGvfg?e=o3HWLU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699" Type="http://schemas.openxmlformats.org/officeDocument/2006/relationships/hyperlink" Target="https://agenciadeaduanapirazzoli-my.sharepoint.com/:b:/g/personal/mmorales_pirazzoli_cl/IQDQZkcFrQv8RqaFse0feqexAcUafvzmAp7vnZhxY0FQQO4?e=r4HJBj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461" Type="http://schemas.openxmlformats.org/officeDocument/2006/relationships/hyperlink" Target="https://agenciadeaduanapirazzoli-my.sharepoint.com/:b:/g/personal/mmorales_pirazzoli_cl/IQAIZanwcaGZRJGYqcWQYB4hARGyDAB-roJkySZwxftRwD0?e=CsFmVQ" TargetMode="External"/><Relationship Id="rId559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766" Type="http://schemas.openxmlformats.org/officeDocument/2006/relationships/hyperlink" Target="https://agenciadeaduanapirazzoli-my.sharepoint.com/:b:/g/personal/mmorales_pirazzoli_cl/IQB3u8t98dTlSqBOFx-x7rIJASDri20xA9TFrQcMIId0GCo?e=XaxqkK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321" Type="http://schemas.openxmlformats.org/officeDocument/2006/relationships/hyperlink" Target="https://agenciadeaduanapirazzoli-my.sharepoint.com/:b:/g/personal/mmorales_pirazzoli_cl/IQAO0z1E823KQbBrdLsyT7fJAQaCpRxHUqN7qxQWUZx-5PQ?e=hQ5faD" TargetMode="External"/><Relationship Id="rId419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626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65" Type="http://schemas.openxmlformats.org/officeDocument/2006/relationships/hyperlink" Target="https://agenciadeaduanapirazzoli-my.sharepoint.com/:b:/g/personal/mmorales_pirazzoli_cl/IQCGD37O0HvIQr53nq6G_8O0ATq6HvntVpbmOrjRkh_uZSs?e=VWnbGW" TargetMode="External"/><Relationship Id="rId472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332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637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276" Type="http://schemas.openxmlformats.org/officeDocument/2006/relationships/hyperlink" Target="https://agenciadeaduanapirazzoli-my.sharepoint.com/:b:/g/personal/mmorales_pirazzoli_cl/IQALV_a3WXI_RIWua1SM0hL2AQgsjLl7Dfpg4mLw_cO3zmY?e=qkG9DR" TargetMode="External"/><Relationship Id="rId483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690" Type="http://schemas.openxmlformats.org/officeDocument/2006/relationships/hyperlink" Target="https://agenciadeaduanapirazzoli-my.sharepoint.com/:b:/g/personal/mmorales_pirazzoli_cl/IQAjbgXGgbbXR4x66zFiOcPeAcVB90rJjEKVyFlG1-_etlk?e=8QOVXB" TargetMode="External"/><Relationship Id="rId704" Type="http://schemas.openxmlformats.org/officeDocument/2006/relationships/hyperlink" Target="https://agenciadeaduanapirazzoli-my.sharepoint.com/:b:/g/personal/mmorales_pirazzoli_cl/IQBmoepLw2nXQqXC8ZFZVp5aARnc7_PP_UiUAnDAC7fh1s0?e=lO4NsH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343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550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648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287" Type="http://schemas.openxmlformats.org/officeDocument/2006/relationships/hyperlink" Target="https://agenciadeaduanapirazzoli-my.sharepoint.com/:b:/g/personal/mmorales_pirazzoli_cl/IQAzfdDkJv1dQ71eyfV_F44gAdcNEoQsenMO_OCxFZz8hoQ?e=kGMjcH" TargetMode="External"/><Relationship Id="rId410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494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508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715" Type="http://schemas.openxmlformats.org/officeDocument/2006/relationships/hyperlink" Target="https://agenciadeaduanapirazzoli-my.sharepoint.com/:b:/g/personal/mmorales_pirazzoli_cl/IQA72fQtbcfRRIEdklObP2N0ARm03ZctJK0r2h1SpmWaPXM?e=NNNvK0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354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561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659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98" Type="http://schemas.openxmlformats.org/officeDocument/2006/relationships/hyperlink" Target="https://agenciadeaduanapirazzoli-my.sharepoint.com/:b:/g/personal/mmorales_pirazzoli_cl/IQBwvaH6kzdfQ7YICC24WrI0AYJDxftQeOvbY56l64AKvlc?e=kdxRiZ" TargetMode="External"/><Relationship Id="rId421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519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726" Type="http://schemas.openxmlformats.org/officeDocument/2006/relationships/hyperlink" Target="https://agenciadeaduanapirazzoli-my.sharepoint.com/:b:/g/personal/mmorales_pirazzoli_cl/IQBX6Z8_GUbWTYbr5pBL48scAdjjTz1VDnHdkVs6owjyczY?e=ouMc2Y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365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572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432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737" Type="http://schemas.openxmlformats.org/officeDocument/2006/relationships/hyperlink" Target="https://agenciadeaduanapirazzoli-my.sharepoint.com/:b:/g/personal/mmorales_pirazzoli_cl/IQDGRkIBzLbKTrWttr7cLJ26Ab7qVzatmh60tWB3_uuTZDc?e=jYX9sf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376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583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443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650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303" Type="http://schemas.openxmlformats.org/officeDocument/2006/relationships/hyperlink" Target="https://agenciadeaduanapirazzoli-my.sharepoint.com/:b:/g/personal/mmorales_pirazzoli_cl/IQDKgJWZxBxjR7SGJ2ZDcTV0Afor7uB4B7JTO4X-OEs-gW8?e=Q4xcZW" TargetMode="External"/><Relationship Id="rId748" Type="http://schemas.openxmlformats.org/officeDocument/2006/relationships/hyperlink" Target="https://agenciadeaduanapirazzoli-my.sharepoint.com/:b:/g/personal/mmorales_pirazzoli_cl/IQBpKRlb93cHR69rYJVZqwD4AeOVzCQq1xCeIzXauiJgHY4?e=nGCaHu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387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510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594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608" Type="http://schemas.openxmlformats.org/officeDocument/2006/relationships/hyperlink" Target="https://agenciadeaduanapirazzoli-my.sharepoint.com/:b:/g/personal/mmorales_pirazzoli_cl/IQCvIn46OKNgSpBwQ1rHxGXxAXQVdtqJsoqeZAvxGl8KSt8?e=9CW1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L232"/>
  <sheetViews>
    <sheetView zoomScale="70" zoomScaleNormal="70" workbookViewId="0">
      <pane xSplit="2" topLeftCell="V1" activePane="topRight" state="frozen"/>
      <selection pane="topRight" activeCell="V8" sqref="V8"/>
    </sheetView>
  </sheetViews>
  <sheetFormatPr baseColWidth="10" defaultColWidth="11.42578125" defaultRowHeight="24.75" customHeight="1"/>
  <cols>
    <col min="1" max="2" width="19" style="91" customWidth="1"/>
    <col min="3" max="3" width="49.85546875" style="12" customWidth="1"/>
    <col min="4" max="4" width="29.85546875" style="1" customWidth="1"/>
    <col min="5" max="5" width="29.7109375" style="21" customWidth="1"/>
    <col min="6" max="6" width="30.28515625" customWidth="1"/>
    <col min="7" max="7" width="77.5703125" customWidth="1"/>
    <col min="8" max="8" width="29.7109375" customWidth="1"/>
    <col min="9" max="9" width="21.85546875" customWidth="1"/>
    <col min="10" max="10" width="20" customWidth="1"/>
    <col min="11" max="11" width="27.28515625" customWidth="1"/>
    <col min="13" max="13" width="13.7109375" customWidth="1"/>
    <col min="14" max="14" width="16.42578125" customWidth="1"/>
    <col min="15" max="15" width="21.140625" customWidth="1"/>
    <col min="16" max="16" width="20.42578125" style="15" customWidth="1"/>
    <col min="17" max="17" width="32.7109375" style="170" customWidth="1"/>
    <col min="18" max="19" width="16.42578125" style="126" customWidth="1"/>
    <col min="20" max="20" width="23.5703125" style="20" customWidth="1"/>
    <col min="21" max="21" width="53.5703125" customWidth="1"/>
    <col min="22" max="22" width="49.28515625" style="63" customWidth="1"/>
    <col min="23" max="23" width="32.7109375" style="73" customWidth="1"/>
    <col min="24" max="24" width="28.85546875" style="1" customWidth="1"/>
    <col min="25" max="25" width="28.85546875" style="16" customWidth="1"/>
    <col min="26" max="26" width="18.42578125" style="8" customWidth="1"/>
    <col min="27" max="27" width="19.85546875" style="1" customWidth="1"/>
    <col min="28" max="28" width="22.7109375" style="82" customWidth="1"/>
    <col min="29" max="29" width="21" style="45" customWidth="1"/>
    <col min="30" max="30" width="18.85546875" bestFit="1" customWidth="1"/>
    <col min="31" max="31" width="14.28515625" customWidth="1"/>
    <col min="32" max="32" width="18" style="1" customWidth="1"/>
    <col min="33" max="33" width="25" style="20" customWidth="1"/>
    <col min="34" max="34" width="21.28515625" style="20" customWidth="1"/>
    <col min="35" max="35" width="19.140625" style="79" customWidth="1"/>
    <col min="36" max="36" width="13.42578125" style="49" customWidth="1"/>
    <col min="37" max="38" width="13.28515625" style="5" customWidth="1"/>
  </cols>
  <sheetData>
    <row r="1" spans="1:38" ht="72" customHeight="1">
      <c r="A1" s="60" t="s">
        <v>0</v>
      </c>
      <c r="B1" s="60" t="s">
        <v>1</v>
      </c>
      <c r="C1" s="160" t="s">
        <v>2</v>
      </c>
      <c r="D1" s="99" t="s">
        <v>3</v>
      </c>
      <c r="E1" s="157" t="s">
        <v>4</v>
      </c>
      <c r="F1" s="100" t="s">
        <v>5</v>
      </c>
      <c r="G1" s="100" t="s">
        <v>6</v>
      </c>
      <c r="H1" s="101" t="s">
        <v>7</v>
      </c>
      <c r="I1" s="102" t="s">
        <v>8</v>
      </c>
      <c r="J1" s="104" t="s">
        <v>9</v>
      </c>
      <c r="K1" s="103" t="s">
        <v>10</v>
      </c>
      <c r="L1" s="103" t="s">
        <v>11</v>
      </c>
      <c r="M1" s="103" t="s">
        <v>12</v>
      </c>
      <c r="N1" s="103" t="s">
        <v>13</v>
      </c>
      <c r="O1" s="105" t="s">
        <v>14</v>
      </c>
      <c r="P1" s="106" t="s">
        <v>15</v>
      </c>
      <c r="Q1" s="114" t="s">
        <v>16</v>
      </c>
      <c r="R1" s="124" t="s">
        <v>17</v>
      </c>
      <c r="S1" s="124" t="s">
        <v>18</v>
      </c>
      <c r="T1" s="107" t="s">
        <v>19</v>
      </c>
      <c r="U1" s="105" t="s">
        <v>20</v>
      </c>
      <c r="V1" s="108" t="s">
        <v>21</v>
      </c>
      <c r="W1" s="109" t="s">
        <v>22</v>
      </c>
      <c r="X1" s="199" t="s">
        <v>23</v>
      </c>
      <c r="Y1" s="202" t="s">
        <v>24</v>
      </c>
      <c r="Z1" s="200" t="s">
        <v>25</v>
      </c>
      <c r="AA1" s="199" t="s">
        <v>26</v>
      </c>
      <c r="AB1" s="203" t="s">
        <v>27</v>
      </c>
      <c r="AC1" s="110" t="s">
        <v>28</v>
      </c>
      <c r="AD1" s="103" t="s">
        <v>29</v>
      </c>
      <c r="AE1" s="122" t="s">
        <v>30</v>
      </c>
      <c r="AF1" s="124" t="s">
        <v>31</v>
      </c>
      <c r="AG1" s="107" t="s">
        <v>32</v>
      </c>
      <c r="AH1" s="103" t="s">
        <v>33</v>
      </c>
      <c r="AI1" s="111" t="s">
        <v>34</v>
      </c>
      <c r="AJ1" s="213" t="s">
        <v>35</v>
      </c>
      <c r="AK1" s="112" t="s">
        <v>36</v>
      </c>
      <c r="AL1" s="113" t="s">
        <v>37</v>
      </c>
    </row>
    <row r="2" spans="1:38" ht="24.75" customHeight="1">
      <c r="A2" s="158" t="s">
        <v>38</v>
      </c>
      <c r="B2" s="158">
        <v>179930</v>
      </c>
      <c r="C2" s="161" t="s">
        <v>39</v>
      </c>
      <c r="D2" s="4" t="s">
        <v>40</v>
      </c>
      <c r="E2" s="6">
        <v>46076</v>
      </c>
      <c r="F2" s="13" t="s">
        <v>41</v>
      </c>
      <c r="G2" s="13" t="s">
        <v>42</v>
      </c>
      <c r="H2" s="6">
        <v>46078</v>
      </c>
      <c r="I2" s="3" t="s">
        <v>43</v>
      </c>
      <c r="J2" s="3"/>
      <c r="K2" s="2" t="s">
        <v>44</v>
      </c>
      <c r="L2" s="3" t="s">
        <v>45</v>
      </c>
      <c r="M2" s="3" t="s">
        <v>46</v>
      </c>
      <c r="N2" s="3" t="s">
        <v>47</v>
      </c>
      <c r="O2" s="40" t="s">
        <v>48</v>
      </c>
      <c r="P2" s="176">
        <v>33737</v>
      </c>
      <c r="Q2" s="169" t="s">
        <v>49</v>
      </c>
      <c r="R2" s="18" t="s">
        <v>50</v>
      </c>
      <c r="S2" s="18" t="s">
        <v>51</v>
      </c>
      <c r="T2" s="189" t="s">
        <v>52</v>
      </c>
      <c r="U2" s="8" t="str">
        <f>VLOOKUP('IMPO TERR'!T2,'Matriz datos'!$J$2:$K$10,2,0)</f>
        <v>AV. GALVARINO 8601 BGA. 11, QUILICURA</v>
      </c>
      <c r="V2" s="75" t="s">
        <v>53</v>
      </c>
      <c r="W2" s="214" t="s">
        <v>54</v>
      </c>
      <c r="X2" s="4" t="s">
        <v>55</v>
      </c>
      <c r="Y2" s="130" t="s">
        <v>56</v>
      </c>
      <c r="Z2" s="127">
        <v>2605113227</v>
      </c>
      <c r="AA2" s="4">
        <v>2605114532</v>
      </c>
      <c r="AB2" s="134">
        <v>46083.859976851854</v>
      </c>
      <c r="AC2" s="43">
        <v>46084</v>
      </c>
      <c r="AD2" s="26">
        <v>46087</v>
      </c>
      <c r="AE2" s="127">
        <v>4090179930</v>
      </c>
      <c r="AF2" s="22">
        <v>46087.725694444445</v>
      </c>
      <c r="AG2" s="35">
        <v>46090.479398148149</v>
      </c>
      <c r="AH2" s="33">
        <v>46090.559687499997</v>
      </c>
      <c r="AI2" s="80"/>
      <c r="AJ2" s="215">
        <v>25010000</v>
      </c>
      <c r="AK2" s="11">
        <v>0</v>
      </c>
      <c r="AL2" s="27">
        <v>0</v>
      </c>
    </row>
    <row r="3" spans="1:38" ht="24.75" customHeight="1">
      <c r="A3" s="158" t="s">
        <v>57</v>
      </c>
      <c r="B3" s="158">
        <v>179947</v>
      </c>
      <c r="C3" s="161" t="s">
        <v>39</v>
      </c>
      <c r="D3" s="1" t="s">
        <v>58</v>
      </c>
      <c r="E3" s="21">
        <v>46076</v>
      </c>
      <c r="F3" s="12"/>
      <c r="G3" s="12" t="s">
        <v>59</v>
      </c>
      <c r="H3" s="1"/>
      <c r="I3" s="1"/>
      <c r="J3" s="3"/>
      <c r="K3" s="2" t="s">
        <v>60</v>
      </c>
      <c r="L3" s="3" t="s">
        <v>61</v>
      </c>
      <c r="M3" s="3" t="s">
        <v>46</v>
      </c>
      <c r="N3" s="3" t="s">
        <v>47</v>
      </c>
      <c r="O3" s="40" t="s">
        <v>62</v>
      </c>
      <c r="P3" s="176">
        <v>32028</v>
      </c>
      <c r="Q3" s="169" t="s">
        <v>63</v>
      </c>
      <c r="R3" s="18" t="s">
        <v>64</v>
      </c>
      <c r="S3" s="18" t="s">
        <v>65</v>
      </c>
      <c r="T3" s="189" t="s">
        <v>66</v>
      </c>
      <c r="U3" s="8" t="str">
        <f>VLOOKUP('IMPO TERR'!T3,'Matriz datos'!$J$2:$K$10,2,0)</f>
        <v>CAMINO SANTA MARTA 2101, MAIPU</v>
      </c>
      <c r="V3" s="76" t="s">
        <v>67</v>
      </c>
      <c r="W3" s="77" t="s">
        <v>68</v>
      </c>
      <c r="X3" s="4" t="s">
        <v>69</v>
      </c>
      <c r="Y3" s="130" t="s">
        <v>70</v>
      </c>
      <c r="Z3" s="127">
        <v>2605101385</v>
      </c>
      <c r="AA3" s="4">
        <v>2605109992</v>
      </c>
      <c r="AB3" s="46">
        <v>46080.908217592594</v>
      </c>
      <c r="AC3" s="44">
        <v>46081</v>
      </c>
      <c r="AD3" s="6">
        <v>46085</v>
      </c>
      <c r="AE3" s="127">
        <v>4090179947</v>
      </c>
      <c r="AF3" s="22">
        <v>46085.553472222222</v>
      </c>
      <c r="AG3" s="48">
        <v>46086.655057870368</v>
      </c>
      <c r="AH3" s="51">
        <v>46093</v>
      </c>
      <c r="AI3" s="80"/>
      <c r="AJ3" s="215">
        <v>6500000</v>
      </c>
      <c r="AK3" s="9">
        <v>857.58</v>
      </c>
      <c r="AL3" s="28"/>
    </row>
    <row r="4" spans="1:38" ht="24.75" customHeight="1">
      <c r="A4" s="158" t="s">
        <v>71</v>
      </c>
      <c r="B4" s="158">
        <v>179972</v>
      </c>
      <c r="C4" s="161" t="s">
        <v>39</v>
      </c>
      <c r="D4" s="3" t="s">
        <v>58</v>
      </c>
      <c r="E4" s="6">
        <v>46077</v>
      </c>
      <c r="F4" s="13" t="s">
        <v>72</v>
      </c>
      <c r="G4" s="13" t="s">
        <v>72</v>
      </c>
      <c r="H4" s="3"/>
      <c r="I4" s="3"/>
      <c r="J4" s="3"/>
      <c r="K4" s="2" t="s">
        <v>44</v>
      </c>
      <c r="L4" s="3" t="s">
        <v>45</v>
      </c>
      <c r="M4" s="3" t="s">
        <v>46</v>
      </c>
      <c r="N4" s="3" t="s">
        <v>47</v>
      </c>
      <c r="O4" s="40" t="s">
        <v>73</v>
      </c>
      <c r="P4" s="176">
        <v>32413</v>
      </c>
      <c r="Q4" s="169" t="s">
        <v>49</v>
      </c>
      <c r="R4" s="18" t="s">
        <v>74</v>
      </c>
      <c r="S4" s="18" t="s">
        <v>75</v>
      </c>
      <c r="T4" s="189" t="s">
        <v>76</v>
      </c>
      <c r="U4" s="8" t="str">
        <f>VLOOKUP('IMPO TERR'!T4,'Matriz datos'!$J$2:$K$10,2,0)</f>
        <v>AV. PDTE. EDUARDO FREI 8301, QUILICURA</v>
      </c>
      <c r="V4" s="136" t="s">
        <v>77</v>
      </c>
      <c r="W4" s="66" t="s">
        <v>78</v>
      </c>
      <c r="X4" s="4" t="s">
        <v>79</v>
      </c>
      <c r="Y4" s="130" t="s">
        <v>80</v>
      </c>
      <c r="Z4" s="127">
        <v>2605106362</v>
      </c>
      <c r="AA4" s="4">
        <v>2605107634</v>
      </c>
      <c r="AB4" s="134">
        <v>46082.479074074072</v>
      </c>
      <c r="AC4" s="43">
        <v>46083</v>
      </c>
      <c r="AD4" s="117">
        <v>46085</v>
      </c>
      <c r="AE4" s="127">
        <v>4090179972</v>
      </c>
      <c r="AF4" s="22">
        <v>46085.652777777781</v>
      </c>
      <c r="AG4" s="35">
        <v>46085.753275462965</v>
      </c>
      <c r="AH4" s="33">
        <v>46085.83252314815</v>
      </c>
      <c r="AI4" s="80"/>
      <c r="AJ4" s="215">
        <v>25950000</v>
      </c>
      <c r="AK4" s="9">
        <v>857.58</v>
      </c>
      <c r="AL4" s="27"/>
    </row>
    <row r="5" spans="1:38" ht="24.75" customHeight="1">
      <c r="A5" s="158" t="s">
        <v>81</v>
      </c>
      <c r="B5" s="158">
        <v>180001</v>
      </c>
      <c r="C5" s="161" t="s">
        <v>39</v>
      </c>
      <c r="D5" s="3" t="s">
        <v>58</v>
      </c>
      <c r="E5" s="6">
        <v>46077</v>
      </c>
      <c r="F5" s="13"/>
      <c r="G5" s="13"/>
      <c r="H5" s="3"/>
      <c r="I5" s="3"/>
      <c r="J5" s="3"/>
      <c r="K5" s="2" t="s">
        <v>44</v>
      </c>
      <c r="L5" s="3" t="s">
        <v>45</v>
      </c>
      <c r="M5" s="3" t="s">
        <v>46</v>
      </c>
      <c r="N5" s="3" t="s">
        <v>47</v>
      </c>
      <c r="O5" s="40" t="s">
        <v>82</v>
      </c>
      <c r="P5" s="176"/>
      <c r="Q5" s="169" t="s">
        <v>49</v>
      </c>
      <c r="R5" s="18" t="s">
        <v>83</v>
      </c>
      <c r="S5" s="18" t="s">
        <v>84</v>
      </c>
      <c r="T5" s="189" t="s">
        <v>76</v>
      </c>
      <c r="U5" s="8" t="str">
        <f>VLOOKUP('IMPO TERR'!T5,'Matriz datos'!$J$2:$K$10,2,0)</f>
        <v>AV. PDTE. EDUARDO FREI 8301, QUILICURA</v>
      </c>
      <c r="V5" s="216" t="s">
        <v>85</v>
      </c>
      <c r="W5" s="66" t="s">
        <v>86</v>
      </c>
      <c r="X5" s="4" t="s">
        <v>87</v>
      </c>
      <c r="Y5" s="130" t="s">
        <v>88</v>
      </c>
      <c r="Z5" s="127">
        <v>260595504</v>
      </c>
      <c r="AA5" s="4">
        <v>260597318</v>
      </c>
      <c r="AB5" s="134">
        <v>46086.792349537034</v>
      </c>
      <c r="AC5" s="47">
        <v>46087</v>
      </c>
      <c r="AD5" s="117">
        <v>46079</v>
      </c>
      <c r="AE5" s="127">
        <v>4090180001</v>
      </c>
      <c r="AF5" s="22">
        <v>46087</v>
      </c>
      <c r="AG5" s="35">
        <v>46087.774537037039</v>
      </c>
      <c r="AH5" s="33">
        <v>46087.825578703705</v>
      </c>
      <c r="AI5" s="80"/>
      <c r="AJ5" s="215">
        <v>26010000</v>
      </c>
      <c r="AK5" s="9">
        <v>857.95</v>
      </c>
      <c r="AL5" s="27"/>
    </row>
    <row r="6" spans="1:38" ht="24.75" customHeight="1">
      <c r="A6" s="158" t="s">
        <v>89</v>
      </c>
      <c r="B6" s="158">
        <v>180023</v>
      </c>
      <c r="C6" s="161" t="s">
        <v>39</v>
      </c>
      <c r="D6" s="3" t="s">
        <v>58</v>
      </c>
      <c r="E6" s="21">
        <v>46078</v>
      </c>
      <c r="F6" s="12"/>
      <c r="G6" s="12"/>
      <c r="H6" s="1"/>
      <c r="I6" s="1"/>
      <c r="J6" s="3"/>
      <c r="K6" s="2" t="s">
        <v>44</v>
      </c>
      <c r="L6" s="3" t="s">
        <v>45</v>
      </c>
      <c r="M6" s="3" t="s">
        <v>46</v>
      </c>
      <c r="N6" s="3" t="s">
        <v>47</v>
      </c>
      <c r="O6" s="40" t="s">
        <v>90</v>
      </c>
      <c r="P6" s="176">
        <v>34269</v>
      </c>
      <c r="Q6" s="169" t="s">
        <v>49</v>
      </c>
      <c r="R6" s="18" t="s">
        <v>91</v>
      </c>
      <c r="S6" s="18" t="s">
        <v>92</v>
      </c>
      <c r="T6" s="189" t="s">
        <v>76</v>
      </c>
      <c r="U6" s="8" t="str">
        <f>VLOOKUP('IMPO TERR'!T6,'Matriz datos'!$J$2:$K$10,2,0)</f>
        <v>AV. PDTE. EDUARDO FREI 8301, QUILICURA</v>
      </c>
      <c r="V6" s="137" t="s">
        <v>93</v>
      </c>
      <c r="W6" s="66" t="s">
        <v>94</v>
      </c>
      <c r="X6" s="4" t="s">
        <v>95</v>
      </c>
      <c r="Y6" s="130" t="s">
        <v>96</v>
      </c>
      <c r="Z6" s="127">
        <v>260598254</v>
      </c>
      <c r="AA6" s="4">
        <v>260599583</v>
      </c>
      <c r="AB6" s="134">
        <v>46084.790868055556</v>
      </c>
      <c r="AC6" s="43">
        <v>46085</v>
      </c>
      <c r="AD6" s="117">
        <v>46080</v>
      </c>
      <c r="AE6" s="127">
        <v>4090180023</v>
      </c>
      <c r="AF6" s="22">
        <v>46085</v>
      </c>
      <c r="AG6" s="46">
        <v>46084.790868055556</v>
      </c>
      <c r="AH6" s="33">
        <v>46085.734293981484</v>
      </c>
      <c r="AI6" s="80"/>
      <c r="AJ6" s="217">
        <v>25520000</v>
      </c>
      <c r="AK6" s="9">
        <v>857.95</v>
      </c>
      <c r="AL6" s="28"/>
    </row>
    <row r="7" spans="1:38" ht="24.75" customHeight="1">
      <c r="A7" s="158" t="s">
        <v>97</v>
      </c>
      <c r="B7" s="158">
        <v>180040</v>
      </c>
      <c r="C7" s="161" t="s">
        <v>39</v>
      </c>
      <c r="D7" s="3" t="s">
        <v>58</v>
      </c>
      <c r="E7" s="6">
        <v>46078</v>
      </c>
      <c r="F7" s="13"/>
      <c r="G7" s="13"/>
      <c r="H7" s="3"/>
      <c r="I7" s="3"/>
      <c r="J7" s="3"/>
      <c r="K7" s="2" t="s">
        <v>44</v>
      </c>
      <c r="L7" s="3" t="s">
        <v>61</v>
      </c>
      <c r="M7" s="3" t="s">
        <v>46</v>
      </c>
      <c r="N7" s="3" t="s">
        <v>47</v>
      </c>
      <c r="O7" s="40" t="s">
        <v>98</v>
      </c>
      <c r="P7" s="176"/>
      <c r="Q7" s="169" t="s">
        <v>99</v>
      </c>
      <c r="R7" s="18" t="s">
        <v>100</v>
      </c>
      <c r="S7" s="18" t="s">
        <v>101</v>
      </c>
      <c r="T7" s="189" t="s">
        <v>102</v>
      </c>
      <c r="U7" s="8" t="str">
        <f>VLOOKUP('IMPO TERR'!T7,'Matriz datos'!$J$2:$K$10,2,0)</f>
        <v>AV. AMERICO VESPUCIO 0350, QUILICURA</v>
      </c>
      <c r="V7" s="83" t="s">
        <v>103</v>
      </c>
      <c r="W7" s="64" t="s">
        <v>104</v>
      </c>
      <c r="X7" s="4" t="s">
        <v>105</v>
      </c>
      <c r="Y7" s="130" t="s">
        <v>106</v>
      </c>
      <c r="Z7" s="127">
        <v>2605101685</v>
      </c>
      <c r="AA7" s="4">
        <v>2605107573</v>
      </c>
      <c r="AB7" s="134">
        <v>46082.751284722224</v>
      </c>
      <c r="AC7" s="43">
        <v>46083</v>
      </c>
      <c r="AD7" s="117">
        <v>46084</v>
      </c>
      <c r="AE7" s="127">
        <v>4090180040</v>
      </c>
      <c r="AF7" s="22">
        <v>46084</v>
      </c>
      <c r="AG7" s="35">
        <v>46085.669062499997</v>
      </c>
      <c r="AH7" s="33">
        <v>46087.305219907408</v>
      </c>
      <c r="AI7" s="80"/>
      <c r="AJ7" s="218">
        <v>28670000</v>
      </c>
      <c r="AK7" s="9">
        <v>857.58</v>
      </c>
      <c r="AL7" s="27"/>
    </row>
    <row r="8" spans="1:38" ht="24.75" customHeight="1">
      <c r="A8" s="158" t="s">
        <v>107</v>
      </c>
      <c r="B8" s="158">
        <v>180056</v>
      </c>
      <c r="C8" s="161" t="s">
        <v>39</v>
      </c>
      <c r="D8" s="3" t="s">
        <v>58</v>
      </c>
      <c r="E8" s="6">
        <v>46079</v>
      </c>
      <c r="F8" s="13"/>
      <c r="G8" s="13"/>
      <c r="H8" s="3"/>
      <c r="I8" s="3"/>
      <c r="J8" s="3"/>
      <c r="K8" s="2" t="s">
        <v>44</v>
      </c>
      <c r="L8" s="3" t="s">
        <v>45</v>
      </c>
      <c r="M8" s="3" t="s">
        <v>46</v>
      </c>
      <c r="N8" s="3" t="s">
        <v>47</v>
      </c>
      <c r="O8" s="40" t="s">
        <v>108</v>
      </c>
      <c r="P8" s="176"/>
      <c r="Q8" s="169" t="s">
        <v>49</v>
      </c>
      <c r="R8" s="18" t="s">
        <v>109</v>
      </c>
      <c r="S8" s="18" t="s">
        <v>110</v>
      </c>
      <c r="T8" s="189" t="s">
        <v>76</v>
      </c>
      <c r="U8" s="8" t="str">
        <f>VLOOKUP('IMPO TERR'!T8,'Matriz datos'!$J$2:$K$10,2,0)</f>
        <v>AV. PDTE. EDUARDO FREI 8301, QUILICURA</v>
      </c>
      <c r="V8" s="216" t="s">
        <v>111</v>
      </c>
      <c r="W8" s="139" t="s">
        <v>112</v>
      </c>
      <c r="X8" s="4" t="s">
        <v>113</v>
      </c>
      <c r="Y8" s="130" t="s">
        <v>114</v>
      </c>
      <c r="Z8" s="127">
        <v>2605101914</v>
      </c>
      <c r="AA8" s="4">
        <v>2605102768</v>
      </c>
      <c r="AB8" s="204">
        <v>46086.865740740737</v>
      </c>
      <c r="AC8" s="42">
        <v>46087</v>
      </c>
      <c r="AD8" s="117">
        <v>46083</v>
      </c>
      <c r="AE8" s="127">
        <v>4090180056</v>
      </c>
      <c r="AF8" s="22">
        <v>46087</v>
      </c>
      <c r="AG8" s="35">
        <v>46087.778796296298</v>
      </c>
      <c r="AH8" s="33">
        <v>46087.824224537035</v>
      </c>
      <c r="AI8" s="80"/>
      <c r="AJ8" s="215">
        <v>25880000</v>
      </c>
      <c r="AK8" s="9">
        <v>857.58</v>
      </c>
      <c r="AL8" s="27"/>
    </row>
    <row r="9" spans="1:38" ht="24.75" customHeight="1">
      <c r="A9" s="158" t="s">
        <v>115</v>
      </c>
      <c r="B9" s="158">
        <v>180057</v>
      </c>
      <c r="C9" s="161" t="s">
        <v>39</v>
      </c>
      <c r="D9" s="3" t="s">
        <v>58</v>
      </c>
      <c r="E9" s="21">
        <v>46079</v>
      </c>
      <c r="F9" s="61" t="s">
        <v>116</v>
      </c>
      <c r="G9" s="61" t="s">
        <v>116</v>
      </c>
      <c r="H9" s="1"/>
      <c r="I9" s="1"/>
      <c r="J9" s="3"/>
      <c r="K9" s="2" t="s">
        <v>44</v>
      </c>
      <c r="L9" s="3" t="s">
        <v>45</v>
      </c>
      <c r="M9" s="3" t="s">
        <v>46</v>
      </c>
      <c r="N9" s="3" t="s">
        <v>47</v>
      </c>
      <c r="O9" s="40" t="s">
        <v>117</v>
      </c>
      <c r="P9" s="176">
        <v>32539</v>
      </c>
      <c r="Q9" s="169" t="s">
        <v>49</v>
      </c>
      <c r="R9" s="18" t="s">
        <v>118</v>
      </c>
      <c r="S9" s="18" t="s">
        <v>119</v>
      </c>
      <c r="T9" s="189" t="s">
        <v>76</v>
      </c>
      <c r="U9" s="8" t="str">
        <f>VLOOKUP('IMPO TERR'!T9,'Matriz datos'!$J$2:$K$10,2,0)</f>
        <v>AV. PDTE. EDUARDO FREI 8301, QUILICURA</v>
      </c>
      <c r="V9" s="138" t="s">
        <v>120</v>
      </c>
      <c r="W9" s="219" t="s">
        <v>121</v>
      </c>
      <c r="X9" s="4" t="s">
        <v>122</v>
      </c>
      <c r="Y9" s="130" t="s">
        <v>123</v>
      </c>
      <c r="Z9" s="127">
        <v>2605100691</v>
      </c>
      <c r="AA9" s="4">
        <v>2605101997</v>
      </c>
      <c r="AB9" s="46">
        <v>46082.639456018522</v>
      </c>
      <c r="AC9" s="43">
        <v>46083</v>
      </c>
      <c r="AD9" s="117">
        <v>46084</v>
      </c>
      <c r="AE9" s="127">
        <v>4090180057</v>
      </c>
      <c r="AF9" s="22">
        <v>46084</v>
      </c>
      <c r="AG9" s="35">
        <v>46085.595659722225</v>
      </c>
      <c r="AH9" s="33">
        <v>46085.680081018516</v>
      </c>
      <c r="AI9" s="81"/>
      <c r="AJ9" s="217">
        <v>25770000</v>
      </c>
      <c r="AK9" s="9">
        <v>857.58</v>
      </c>
      <c r="AL9" s="28"/>
    </row>
    <row r="10" spans="1:38" ht="24.75" customHeight="1">
      <c r="A10" s="158" t="s">
        <v>124</v>
      </c>
      <c r="B10" s="158">
        <v>180059</v>
      </c>
      <c r="C10" s="161" t="s">
        <v>39</v>
      </c>
      <c r="D10" s="3" t="s">
        <v>58</v>
      </c>
      <c r="E10" s="6">
        <v>46079</v>
      </c>
      <c r="F10" s="13"/>
      <c r="G10" s="13"/>
      <c r="H10" s="3"/>
      <c r="I10" s="3"/>
      <c r="J10" s="3"/>
      <c r="K10" s="2" t="s">
        <v>60</v>
      </c>
      <c r="L10" s="3" t="s">
        <v>45</v>
      </c>
      <c r="M10" s="3" t="s">
        <v>46</v>
      </c>
      <c r="N10" s="3" t="s">
        <v>47</v>
      </c>
      <c r="O10" s="40" t="s">
        <v>125</v>
      </c>
      <c r="P10" s="176"/>
      <c r="Q10" s="169" t="s">
        <v>126</v>
      </c>
      <c r="R10" s="30" t="s">
        <v>127</v>
      </c>
      <c r="S10" s="30" t="s">
        <v>128</v>
      </c>
      <c r="T10" s="189" t="s">
        <v>76</v>
      </c>
      <c r="U10" s="8" t="str">
        <f>VLOOKUP('IMPO TERR'!T10,'Matriz datos'!$J$2:$K$10,2,0)</f>
        <v>AV. PDTE. EDUARDO FREI 8301, QUILICURA</v>
      </c>
      <c r="V10" s="65" t="s">
        <v>129</v>
      </c>
      <c r="W10" s="140" t="s">
        <v>130</v>
      </c>
      <c r="X10" s="4" t="s">
        <v>131</v>
      </c>
      <c r="Y10" s="130" t="s">
        <v>132</v>
      </c>
      <c r="Z10" s="127">
        <v>2605101437</v>
      </c>
      <c r="AA10" s="4">
        <v>2605101999</v>
      </c>
      <c r="AB10" s="46">
        <v>46087.029641203706</v>
      </c>
      <c r="AC10" s="42">
        <v>46087</v>
      </c>
      <c r="AD10" s="117">
        <v>46083</v>
      </c>
      <c r="AE10" s="127">
        <v>4090180059</v>
      </c>
      <c r="AF10" s="22">
        <v>46087</v>
      </c>
      <c r="AG10" s="46">
        <v>46088.48065972222</v>
      </c>
      <c r="AH10" s="19">
        <v>46088.604351851849</v>
      </c>
      <c r="AI10" s="80"/>
      <c r="AJ10" s="220">
        <v>25720000</v>
      </c>
      <c r="AK10" s="9">
        <v>857.58</v>
      </c>
      <c r="AL10" s="27"/>
    </row>
    <row r="11" spans="1:38" ht="24.75" customHeight="1">
      <c r="A11" s="158" t="s">
        <v>133</v>
      </c>
      <c r="B11" s="158">
        <v>180066</v>
      </c>
      <c r="C11" s="161" t="s">
        <v>39</v>
      </c>
      <c r="D11" s="4" t="s">
        <v>40</v>
      </c>
      <c r="E11" s="52">
        <v>46079</v>
      </c>
      <c r="F11" s="13"/>
      <c r="G11" s="13"/>
      <c r="H11" s="7"/>
      <c r="I11" s="3"/>
      <c r="J11" s="3"/>
      <c r="K11" s="2" t="s">
        <v>44</v>
      </c>
      <c r="L11" s="3" t="s">
        <v>45</v>
      </c>
      <c r="M11" s="3" t="s">
        <v>46</v>
      </c>
      <c r="N11" s="3" t="s">
        <v>47</v>
      </c>
      <c r="O11" s="40" t="s">
        <v>134</v>
      </c>
      <c r="P11" s="176"/>
      <c r="Q11" s="169" t="s">
        <v>135</v>
      </c>
      <c r="R11" s="125" t="s">
        <v>136</v>
      </c>
      <c r="S11" s="125" t="s">
        <v>137</v>
      </c>
      <c r="T11" s="189" t="s">
        <v>102</v>
      </c>
      <c r="U11" s="8" t="str">
        <f>VLOOKUP('IMPO TERR'!T11,'Matriz datos'!$J$2:$K$10,2,0)</f>
        <v>AV. AMERICO VESPUCIO 0350, QUILICURA</v>
      </c>
      <c r="V11" s="63" t="s">
        <v>138</v>
      </c>
      <c r="W11" s="64">
        <v>195216179</v>
      </c>
      <c r="X11" s="4" t="s">
        <v>139</v>
      </c>
      <c r="Y11" s="130" t="s">
        <v>140</v>
      </c>
      <c r="Z11" s="127">
        <v>2605106858</v>
      </c>
      <c r="AA11" s="4">
        <v>2605107743</v>
      </c>
      <c r="AB11" s="46">
        <v>46089.869884259257</v>
      </c>
      <c r="AC11" s="43">
        <v>46090</v>
      </c>
      <c r="AD11" s="117">
        <v>46085</v>
      </c>
      <c r="AE11" s="127">
        <v>4090180066</v>
      </c>
      <c r="AF11" s="22">
        <v>46090</v>
      </c>
      <c r="AG11" s="42">
        <v>46091</v>
      </c>
      <c r="AH11" s="43">
        <v>46092</v>
      </c>
      <c r="AI11" s="80">
        <v>141542</v>
      </c>
      <c r="AJ11" s="50">
        <v>25180000</v>
      </c>
      <c r="AK11" s="9">
        <v>857.58</v>
      </c>
      <c r="AL11" s="27"/>
    </row>
    <row r="12" spans="1:38" ht="24.75" customHeight="1">
      <c r="A12" s="158" t="s">
        <v>141</v>
      </c>
      <c r="B12" s="158">
        <v>180067</v>
      </c>
      <c r="C12" s="161" t="s">
        <v>39</v>
      </c>
      <c r="D12" s="4" t="s">
        <v>142</v>
      </c>
      <c r="E12" s="52">
        <v>46079</v>
      </c>
      <c r="F12" s="61" t="s">
        <v>116</v>
      </c>
      <c r="G12" s="61" t="s">
        <v>116</v>
      </c>
      <c r="H12" s="7"/>
      <c r="I12" s="3"/>
      <c r="J12" s="3"/>
      <c r="K12" s="2" t="s">
        <v>60</v>
      </c>
      <c r="L12" s="3" t="s">
        <v>45</v>
      </c>
      <c r="M12" s="3" t="s">
        <v>46</v>
      </c>
      <c r="N12" s="3" t="s">
        <v>47</v>
      </c>
      <c r="O12" s="40" t="s">
        <v>143</v>
      </c>
      <c r="P12" s="176"/>
      <c r="Q12" s="169"/>
      <c r="R12" s="25" t="s">
        <v>144</v>
      </c>
      <c r="S12" s="25" t="s">
        <v>145</v>
      </c>
      <c r="T12" s="189" t="s">
        <v>76</v>
      </c>
      <c r="U12" s="8" t="str">
        <f>VLOOKUP('IMPO TERR'!T12,'Matriz datos'!$J$2:$K$10,2,0)</f>
        <v>AV. PDTE. EDUARDO FREI 8301, QUILICURA</v>
      </c>
      <c r="V12" s="67" t="s">
        <v>146</v>
      </c>
      <c r="W12" s="221" t="s">
        <v>147</v>
      </c>
      <c r="X12" s="4" t="s">
        <v>148</v>
      </c>
      <c r="Y12" s="130" t="s">
        <v>149</v>
      </c>
      <c r="Z12" s="127">
        <v>2605100503</v>
      </c>
      <c r="AA12" s="4">
        <v>2605102001</v>
      </c>
      <c r="AB12" s="46">
        <v>46089.755486111113</v>
      </c>
      <c r="AC12" s="42" t="s">
        <v>150</v>
      </c>
      <c r="AD12" s="117">
        <v>46083</v>
      </c>
      <c r="AE12" s="127">
        <v>4090180067</v>
      </c>
      <c r="AF12" s="22">
        <v>46090</v>
      </c>
      <c r="AG12" s="35">
        <v>46090.659386574072</v>
      </c>
      <c r="AH12" s="39">
        <v>46090</v>
      </c>
      <c r="AI12" s="80">
        <v>141496</v>
      </c>
      <c r="AJ12" s="222">
        <v>24360000</v>
      </c>
      <c r="AK12" s="9">
        <v>857.58</v>
      </c>
      <c r="AL12" s="27"/>
    </row>
    <row r="13" spans="1:38" ht="24.75" customHeight="1">
      <c r="A13" s="158" t="s">
        <v>151</v>
      </c>
      <c r="B13" s="158">
        <v>180070</v>
      </c>
      <c r="C13" s="161" t="s">
        <v>39</v>
      </c>
      <c r="D13" s="3" t="s">
        <v>58</v>
      </c>
      <c r="E13" s="52">
        <v>46079</v>
      </c>
      <c r="F13" s="13"/>
      <c r="G13" s="13"/>
      <c r="H13" s="7"/>
      <c r="I13" s="3"/>
      <c r="J13" s="3"/>
      <c r="K13" s="2" t="s">
        <v>44</v>
      </c>
      <c r="L13" s="3" t="s">
        <v>61</v>
      </c>
      <c r="M13" s="3" t="s">
        <v>46</v>
      </c>
      <c r="N13" s="3" t="s">
        <v>47</v>
      </c>
      <c r="O13" s="40" t="s">
        <v>152</v>
      </c>
      <c r="P13" s="176"/>
      <c r="Q13" s="169" t="s">
        <v>99</v>
      </c>
      <c r="R13" s="18" t="s">
        <v>153</v>
      </c>
      <c r="S13" s="18" t="s">
        <v>154</v>
      </c>
      <c r="T13" s="189" t="s">
        <v>76</v>
      </c>
      <c r="U13" s="8" t="str">
        <f>VLOOKUP('IMPO TERR'!T13,'Matriz datos'!$J$2:$K$10,2,0)</f>
        <v>AV. PDTE. EDUARDO FREI 8301, QUILICURA</v>
      </c>
      <c r="V13" s="67"/>
      <c r="W13" s="68"/>
      <c r="X13" s="4" t="s">
        <v>155</v>
      </c>
      <c r="Y13" s="130" t="s">
        <v>156</v>
      </c>
      <c r="Z13" s="127">
        <v>2605106749</v>
      </c>
      <c r="AA13" s="4">
        <v>2605107710</v>
      </c>
      <c r="AB13" s="46">
        <v>46083.876631944448</v>
      </c>
      <c r="AC13" s="47">
        <v>46084</v>
      </c>
      <c r="AD13" s="117">
        <v>46085</v>
      </c>
      <c r="AE13" s="127">
        <v>4090180070</v>
      </c>
      <c r="AF13" s="22">
        <v>46085</v>
      </c>
      <c r="AG13" s="46">
        <v>46085.770775462966</v>
      </c>
      <c r="AH13" s="33">
        <v>46087.751863425925</v>
      </c>
      <c r="AI13" s="80"/>
      <c r="AJ13" s="223">
        <v>27110000</v>
      </c>
      <c r="AK13" s="9">
        <v>857.58</v>
      </c>
      <c r="AL13" s="27"/>
    </row>
    <row r="14" spans="1:38" ht="24.75" customHeight="1">
      <c r="A14" s="158" t="s">
        <v>157</v>
      </c>
      <c r="B14" s="158">
        <v>180072</v>
      </c>
      <c r="C14" s="161" t="s">
        <v>39</v>
      </c>
      <c r="D14" s="3" t="s">
        <v>58</v>
      </c>
      <c r="E14" s="52">
        <v>46079</v>
      </c>
      <c r="F14" s="13"/>
      <c r="G14" s="13"/>
      <c r="H14" s="7"/>
      <c r="I14" s="3"/>
      <c r="J14" s="3"/>
      <c r="K14" s="2" t="s">
        <v>44</v>
      </c>
      <c r="L14" s="3" t="s">
        <v>61</v>
      </c>
      <c r="M14" s="3" t="s">
        <v>46</v>
      </c>
      <c r="N14" s="3" t="s">
        <v>47</v>
      </c>
      <c r="O14" s="40" t="s">
        <v>158</v>
      </c>
      <c r="P14" s="176"/>
      <c r="Q14" s="169" t="s">
        <v>159</v>
      </c>
      <c r="R14" s="30" t="s">
        <v>160</v>
      </c>
      <c r="S14" s="30" t="s">
        <v>161</v>
      </c>
      <c r="T14" s="189" t="s">
        <v>76</v>
      </c>
      <c r="U14" s="8" t="str">
        <f>VLOOKUP('IMPO TERR'!T14,'Matriz datos'!$J$2:$K$10,2,0)</f>
        <v>AV. PDTE. EDUARDO FREI 8301, QUILICURA</v>
      </c>
      <c r="V14" s="67"/>
      <c r="W14" s="68"/>
      <c r="X14" s="4" t="s">
        <v>162</v>
      </c>
      <c r="Y14" s="130" t="s">
        <v>163</v>
      </c>
      <c r="Z14" s="127">
        <v>2605104506</v>
      </c>
      <c r="AA14" s="4">
        <v>2605105058</v>
      </c>
      <c r="AB14" s="134">
        <v>46084.793206018519</v>
      </c>
      <c r="AC14" s="43">
        <v>46085</v>
      </c>
      <c r="AD14" s="117">
        <v>46085</v>
      </c>
      <c r="AE14" s="127">
        <v>4090180072</v>
      </c>
      <c r="AF14" s="22">
        <v>46085</v>
      </c>
      <c r="AG14" s="46">
        <v>46085.747789351852</v>
      </c>
      <c r="AH14" s="39">
        <v>46091</v>
      </c>
      <c r="AI14" s="80"/>
      <c r="AJ14" s="217">
        <v>26210000</v>
      </c>
      <c r="AK14" s="9">
        <v>857.58</v>
      </c>
      <c r="AL14" s="27"/>
    </row>
    <row r="15" spans="1:38" ht="24.75" customHeight="1">
      <c r="A15" s="158" t="s">
        <v>164</v>
      </c>
      <c r="B15" s="158">
        <v>180073</v>
      </c>
      <c r="C15" s="161" t="s">
        <v>39</v>
      </c>
      <c r="D15" s="3" t="s">
        <v>58</v>
      </c>
      <c r="E15" s="52">
        <v>46079</v>
      </c>
      <c r="F15" s="13"/>
      <c r="G15" s="13"/>
      <c r="H15" s="7"/>
      <c r="I15" s="3"/>
      <c r="J15" s="3"/>
      <c r="K15" s="2" t="s">
        <v>44</v>
      </c>
      <c r="L15" s="3" t="s">
        <v>61</v>
      </c>
      <c r="M15" s="3" t="s">
        <v>46</v>
      </c>
      <c r="N15" s="3" t="s">
        <v>47</v>
      </c>
      <c r="O15" s="40" t="s">
        <v>165</v>
      </c>
      <c r="P15" s="176">
        <v>2026</v>
      </c>
      <c r="Q15" s="169" t="s">
        <v>166</v>
      </c>
      <c r="R15" s="30" t="s">
        <v>167</v>
      </c>
      <c r="S15" s="25" t="s">
        <v>168</v>
      </c>
      <c r="T15" s="189" t="s">
        <v>76</v>
      </c>
      <c r="U15" s="8" t="str">
        <f>VLOOKUP('IMPO TERR'!T15,'Matriz datos'!$J$2:$K$10,2,0)</f>
        <v>AV. PDTE. EDUARDO FREI 8301, QUILICURA</v>
      </c>
      <c r="V15" s="67"/>
      <c r="W15" s="68"/>
      <c r="X15" s="4" t="s">
        <v>169</v>
      </c>
      <c r="Y15" s="130" t="s">
        <v>170</v>
      </c>
      <c r="Z15" s="127">
        <v>2605103079</v>
      </c>
      <c r="AA15" s="4">
        <v>2605105078</v>
      </c>
      <c r="AB15" s="46">
        <v>46084.767557870371</v>
      </c>
      <c r="AC15" s="42">
        <v>46085</v>
      </c>
      <c r="AD15" s="117">
        <v>46083</v>
      </c>
      <c r="AE15" s="127">
        <v>4090180073</v>
      </c>
      <c r="AF15" s="22">
        <v>46085</v>
      </c>
      <c r="AG15" s="35">
        <v>46085.597418981481</v>
      </c>
      <c r="AH15" s="33">
        <v>46087.810104166667</v>
      </c>
      <c r="AI15" s="80"/>
      <c r="AJ15" s="218">
        <v>25670000</v>
      </c>
      <c r="AK15" s="9">
        <v>857.58</v>
      </c>
      <c r="AL15" s="27"/>
    </row>
    <row r="16" spans="1:38" ht="24.75" customHeight="1">
      <c r="A16" s="158" t="s">
        <v>171</v>
      </c>
      <c r="B16" s="158">
        <v>180074</v>
      </c>
      <c r="C16" s="161" t="s">
        <v>39</v>
      </c>
      <c r="D16" s="3" t="s">
        <v>58</v>
      </c>
      <c r="E16" s="52">
        <v>46079</v>
      </c>
      <c r="F16" s="61" t="s">
        <v>172</v>
      </c>
      <c r="G16" s="61" t="s">
        <v>172</v>
      </c>
      <c r="H16" s="7"/>
      <c r="I16" s="3"/>
      <c r="J16" s="3"/>
      <c r="K16" s="2" t="s">
        <v>44</v>
      </c>
      <c r="L16" s="3" t="s">
        <v>45</v>
      </c>
      <c r="M16" s="3" t="s">
        <v>46</v>
      </c>
      <c r="N16" s="3" t="s">
        <v>47</v>
      </c>
      <c r="O16" s="40" t="s">
        <v>173</v>
      </c>
      <c r="P16" s="176"/>
      <c r="Q16" s="170" t="s">
        <v>49</v>
      </c>
      <c r="R16" s="30" t="s">
        <v>174</v>
      </c>
      <c r="S16" s="30" t="s">
        <v>175</v>
      </c>
      <c r="T16" s="189" t="s">
        <v>76</v>
      </c>
      <c r="U16" s="8" t="str">
        <f>VLOOKUP('IMPO TERR'!T16,'Matriz datos'!$J$2:$K$10,2,0)</f>
        <v>AV. PDTE. EDUARDO FREI 8301, QUILICURA</v>
      </c>
      <c r="V16" s="67"/>
      <c r="W16" s="68"/>
      <c r="X16" s="4" t="s">
        <v>176</v>
      </c>
      <c r="Y16" s="130" t="s">
        <v>177</v>
      </c>
      <c r="Z16" s="127">
        <v>2605103668</v>
      </c>
      <c r="AA16" s="4">
        <v>2605105134</v>
      </c>
      <c r="AB16" s="46">
        <v>46087.570914351854</v>
      </c>
      <c r="AC16" s="43">
        <v>46088</v>
      </c>
      <c r="AD16" s="117">
        <v>46084</v>
      </c>
      <c r="AE16" s="127">
        <v>4090180074</v>
      </c>
      <c r="AF16" s="22">
        <v>46087</v>
      </c>
      <c r="AG16" s="46">
        <v>46088.563298611109</v>
      </c>
      <c r="AH16" s="33">
        <v>46088.638321759259</v>
      </c>
      <c r="AI16" s="80"/>
      <c r="AJ16" s="217">
        <v>24850000</v>
      </c>
      <c r="AK16" s="9">
        <v>857.58</v>
      </c>
      <c r="AL16" s="27"/>
    </row>
    <row r="17" spans="1:38" ht="24.75" customHeight="1">
      <c r="A17" s="158" t="s">
        <v>178</v>
      </c>
      <c r="B17" s="158">
        <v>180075</v>
      </c>
      <c r="C17" s="161" t="s">
        <v>39</v>
      </c>
      <c r="D17" s="4" t="s">
        <v>40</v>
      </c>
      <c r="E17" s="52">
        <v>46079</v>
      </c>
      <c r="F17" s="13"/>
      <c r="G17" s="13"/>
      <c r="H17" s="7"/>
      <c r="I17" s="3"/>
      <c r="J17" s="3"/>
      <c r="K17" s="2" t="s">
        <v>44</v>
      </c>
      <c r="L17" s="3" t="s">
        <v>45</v>
      </c>
      <c r="M17" s="3" t="s">
        <v>46</v>
      </c>
      <c r="N17" s="3" t="s">
        <v>47</v>
      </c>
      <c r="O17" s="40" t="s">
        <v>179</v>
      </c>
      <c r="P17" s="176"/>
      <c r="Q17" s="169"/>
      <c r="R17" s="30" t="s">
        <v>180</v>
      </c>
      <c r="S17" s="30" t="s">
        <v>180</v>
      </c>
      <c r="T17" s="189" t="s">
        <v>76</v>
      </c>
      <c r="U17" s="8" t="str">
        <f>VLOOKUP('IMPO TERR'!T17,'Matriz datos'!$J$2:$K$10,2,0)</f>
        <v>AV. PDTE. EDUARDO FREI 8301, QUILICURA</v>
      </c>
      <c r="V17" s="67" t="s">
        <v>181</v>
      </c>
      <c r="W17" s="68"/>
      <c r="X17" s="4" t="s">
        <v>182</v>
      </c>
      <c r="Y17" s="130" t="s">
        <v>183</v>
      </c>
      <c r="Z17" s="127">
        <v>2605102035</v>
      </c>
      <c r="AA17" s="4">
        <v>2605102626</v>
      </c>
      <c r="AB17" s="46">
        <v>46087.64466435185</v>
      </c>
      <c r="AC17" s="43">
        <v>46087</v>
      </c>
      <c r="AD17" s="117">
        <v>46083</v>
      </c>
      <c r="AE17" s="127">
        <v>4090180075</v>
      </c>
      <c r="AF17" s="22">
        <v>46087</v>
      </c>
      <c r="AG17" s="46">
        <v>46090.48064814815</v>
      </c>
      <c r="AH17" s="19">
        <v>46090.546446759261</v>
      </c>
      <c r="AI17" s="80"/>
      <c r="AJ17" s="220">
        <v>23250000</v>
      </c>
      <c r="AK17" s="9">
        <v>857.58</v>
      </c>
      <c r="AL17" s="27"/>
    </row>
    <row r="18" spans="1:38" ht="24.75" customHeight="1">
      <c r="A18" s="158" t="s">
        <v>184</v>
      </c>
      <c r="B18" s="158">
        <v>180109</v>
      </c>
      <c r="C18" s="161" t="s">
        <v>39</v>
      </c>
      <c r="D18" s="3" t="s">
        <v>58</v>
      </c>
      <c r="E18" s="52">
        <v>46080</v>
      </c>
      <c r="F18" s="13"/>
      <c r="G18" s="13"/>
      <c r="H18" s="7"/>
      <c r="I18" s="3"/>
      <c r="J18" s="3"/>
      <c r="K18" s="2" t="s">
        <v>44</v>
      </c>
      <c r="L18" s="3" t="s">
        <v>61</v>
      </c>
      <c r="M18" s="3" t="s">
        <v>46</v>
      </c>
      <c r="N18" s="3" t="s">
        <v>47</v>
      </c>
      <c r="O18" s="40" t="s">
        <v>185</v>
      </c>
      <c r="P18" s="176">
        <v>2026</v>
      </c>
      <c r="Q18" s="169" t="s">
        <v>166</v>
      </c>
      <c r="R18" s="30" t="s">
        <v>186</v>
      </c>
      <c r="S18" s="30" t="s">
        <v>187</v>
      </c>
      <c r="T18" s="189" t="s">
        <v>188</v>
      </c>
      <c r="U18" s="8" t="str">
        <f>VLOOKUP('IMPO TERR'!T18,'Matriz datos'!$J$2:$K$10,2,0)</f>
        <v>AV. EL PARRON 345, LA CISTERNA</v>
      </c>
      <c r="V18" s="67"/>
      <c r="W18" s="68"/>
      <c r="X18" s="4" t="s">
        <v>189</v>
      </c>
      <c r="Y18" s="130" t="s">
        <v>190</v>
      </c>
      <c r="Z18" s="127">
        <v>2605103273</v>
      </c>
      <c r="AA18" s="4">
        <v>2605104792</v>
      </c>
      <c r="AB18" s="46">
        <v>46087.402025462965</v>
      </c>
      <c r="AC18" s="42">
        <v>46087</v>
      </c>
      <c r="AD18" s="117">
        <v>46084</v>
      </c>
      <c r="AE18" s="127">
        <v>4090180109</v>
      </c>
      <c r="AF18" s="22">
        <v>46087</v>
      </c>
      <c r="AG18" s="35">
        <v>46087.777962962966</v>
      </c>
      <c r="AH18" s="39">
        <v>46091</v>
      </c>
      <c r="AI18" s="80"/>
      <c r="AJ18" s="223">
        <v>28760000</v>
      </c>
      <c r="AK18" s="9">
        <v>857.58</v>
      </c>
      <c r="AL18" s="27"/>
    </row>
    <row r="19" spans="1:38" ht="24.75" customHeight="1">
      <c r="A19" s="158" t="s">
        <v>191</v>
      </c>
      <c r="B19" s="158">
        <v>180110</v>
      </c>
      <c r="C19" s="161" t="s">
        <v>39</v>
      </c>
      <c r="D19" s="3" t="s">
        <v>58</v>
      </c>
      <c r="E19" s="52">
        <v>46080</v>
      </c>
      <c r="F19" s="13"/>
      <c r="G19" s="13"/>
      <c r="H19" s="7"/>
      <c r="I19" s="3"/>
      <c r="J19" s="3"/>
      <c r="K19" s="2" t="s">
        <v>44</v>
      </c>
      <c r="L19" s="3" t="s">
        <v>45</v>
      </c>
      <c r="M19" s="3" t="s">
        <v>46</v>
      </c>
      <c r="N19" s="3" t="s">
        <v>47</v>
      </c>
      <c r="O19" s="40" t="s">
        <v>192</v>
      </c>
      <c r="P19" s="176"/>
      <c r="Q19" s="169" t="s">
        <v>49</v>
      </c>
      <c r="R19" s="18" t="s">
        <v>193</v>
      </c>
      <c r="S19" s="18" t="s">
        <v>194</v>
      </c>
      <c r="T19" s="189" t="s">
        <v>76</v>
      </c>
      <c r="U19" s="8" t="str">
        <f>VLOOKUP('IMPO TERR'!T19,'Matriz datos'!$J$2:$K$10,2,0)</f>
        <v>AV. PDTE. EDUARDO FREI 8301, QUILICURA</v>
      </c>
      <c r="V19" s="67"/>
      <c r="W19" s="68"/>
      <c r="X19" s="4" t="s">
        <v>195</v>
      </c>
      <c r="Y19" s="130" t="s">
        <v>196</v>
      </c>
      <c r="Z19" s="127">
        <v>2605107269</v>
      </c>
      <c r="AA19" s="4">
        <v>2605110378</v>
      </c>
      <c r="AB19" s="134">
        <v>46086.751331018517</v>
      </c>
      <c r="AC19" s="43">
        <v>46087</v>
      </c>
      <c r="AD19" s="117">
        <v>46085</v>
      </c>
      <c r="AE19" s="127">
        <v>4090180110</v>
      </c>
      <c r="AF19" s="22">
        <v>46087</v>
      </c>
      <c r="AG19" s="35">
        <v>46087.745219907411</v>
      </c>
      <c r="AH19" s="33">
        <v>46087.807812500003</v>
      </c>
      <c r="AI19" s="80"/>
      <c r="AJ19" s="215">
        <v>24290000</v>
      </c>
      <c r="AK19" s="9">
        <v>857.58</v>
      </c>
      <c r="AL19" s="27"/>
    </row>
    <row r="20" spans="1:38" ht="24.75" customHeight="1">
      <c r="A20" s="91" t="s">
        <v>197</v>
      </c>
      <c r="B20" s="91">
        <v>180112</v>
      </c>
      <c r="C20" s="161" t="s">
        <v>39</v>
      </c>
      <c r="D20" s="1" t="s">
        <v>58</v>
      </c>
      <c r="E20" s="21">
        <v>46080</v>
      </c>
      <c r="F20" s="12"/>
      <c r="G20" s="12"/>
      <c r="H20" s="1"/>
      <c r="I20" s="1"/>
      <c r="J20" s="1"/>
      <c r="K20" s="2" t="s">
        <v>44</v>
      </c>
      <c r="L20" s="1" t="s">
        <v>45</v>
      </c>
      <c r="M20" s="3" t="s">
        <v>46</v>
      </c>
      <c r="N20" s="3" t="s">
        <v>47</v>
      </c>
      <c r="O20" s="40" t="s">
        <v>198</v>
      </c>
      <c r="P20" s="176"/>
      <c r="Q20" s="169" t="s">
        <v>49</v>
      </c>
      <c r="R20" s="18" t="s">
        <v>199</v>
      </c>
      <c r="S20" s="18" t="s">
        <v>200</v>
      </c>
      <c r="T20" s="189" t="s">
        <v>102</v>
      </c>
      <c r="U20" s="8" t="str">
        <f>VLOOKUP('IMPO TERR'!T20,'Matriz datos'!$J$2:$K$10,2,0)</f>
        <v>AV. AMERICO VESPUCIO 0350, QUILICURA</v>
      </c>
      <c r="W20" s="64"/>
      <c r="X20" s="4" t="s">
        <v>201</v>
      </c>
      <c r="Y20" s="130" t="s">
        <v>202</v>
      </c>
      <c r="Z20" s="127">
        <v>2605107217</v>
      </c>
      <c r="AA20" s="4">
        <v>2605110317</v>
      </c>
      <c r="AB20" s="224">
        <v>46087.459421296298</v>
      </c>
      <c r="AC20" s="43">
        <v>46087</v>
      </c>
      <c r="AD20" s="117">
        <v>46085</v>
      </c>
      <c r="AE20" s="127">
        <v>4090180112</v>
      </c>
      <c r="AF20" s="22">
        <v>46087</v>
      </c>
      <c r="AG20" s="48">
        <v>46087.787546296298</v>
      </c>
      <c r="AH20" s="34">
        <v>46088.511770833335</v>
      </c>
      <c r="AI20" s="225"/>
      <c r="AJ20" s="217">
        <v>25920000</v>
      </c>
      <c r="AK20" s="9">
        <v>857.58</v>
      </c>
      <c r="AL20" s="28"/>
    </row>
    <row r="21" spans="1:38" ht="24.75" customHeight="1">
      <c r="A21" s="91" t="s">
        <v>203</v>
      </c>
      <c r="B21" s="91">
        <v>180114</v>
      </c>
      <c r="C21" s="161" t="s">
        <v>39</v>
      </c>
      <c r="D21" s="1" t="s">
        <v>58</v>
      </c>
      <c r="E21" s="21">
        <v>46080</v>
      </c>
      <c r="F21" s="12"/>
      <c r="G21" s="12"/>
      <c r="H21" s="1"/>
      <c r="I21" s="1"/>
      <c r="J21" s="1"/>
      <c r="K21" s="2" t="s">
        <v>60</v>
      </c>
      <c r="L21" s="1" t="s">
        <v>45</v>
      </c>
      <c r="M21" s="3" t="s">
        <v>46</v>
      </c>
      <c r="N21" s="3" t="s">
        <v>47</v>
      </c>
      <c r="O21" s="40" t="s">
        <v>204</v>
      </c>
      <c r="P21" s="176"/>
      <c r="Q21" s="169" t="s">
        <v>205</v>
      </c>
      <c r="R21" s="30" t="s">
        <v>206</v>
      </c>
      <c r="S21" s="30" t="s">
        <v>207</v>
      </c>
      <c r="T21" s="189" t="s">
        <v>188</v>
      </c>
      <c r="U21" s="8" t="str">
        <f>VLOOKUP('IMPO TERR'!T21,'Matriz datos'!$J$2:$K$10,2,0)</f>
        <v>AV. EL PARRON 345, LA CISTERNA</v>
      </c>
      <c r="W21" s="64"/>
      <c r="X21" s="4" t="s">
        <v>208</v>
      </c>
      <c r="Y21" s="130" t="s">
        <v>209</v>
      </c>
      <c r="Z21" s="127">
        <v>2605107322</v>
      </c>
      <c r="AA21" s="4">
        <v>2605110277</v>
      </c>
      <c r="AB21" s="224">
        <v>46087.438958333332</v>
      </c>
      <c r="AC21" s="43">
        <v>46087</v>
      </c>
      <c r="AD21" s="117">
        <v>46085</v>
      </c>
      <c r="AE21" s="127">
        <v>4090180114</v>
      </c>
      <c r="AF21" s="22">
        <v>46087</v>
      </c>
      <c r="AG21" s="48">
        <v>46087.776701388888</v>
      </c>
      <c r="AH21" s="34">
        <v>46088.412118055552</v>
      </c>
      <c r="AI21" s="225"/>
      <c r="AJ21" s="220">
        <v>25840000</v>
      </c>
      <c r="AK21" s="9">
        <v>857.58</v>
      </c>
      <c r="AL21" s="28"/>
    </row>
    <row r="22" spans="1:38" ht="24.75" customHeight="1">
      <c r="A22" s="91" t="s">
        <v>210</v>
      </c>
      <c r="B22" s="91">
        <v>180115</v>
      </c>
      <c r="C22" s="161" t="s">
        <v>39</v>
      </c>
      <c r="D22" s="4" t="s">
        <v>40</v>
      </c>
      <c r="E22" s="21">
        <v>46080</v>
      </c>
      <c r="F22" s="12"/>
      <c r="G22" s="12"/>
      <c r="H22" s="1"/>
      <c r="I22" s="1"/>
      <c r="J22" s="1"/>
      <c r="K22" s="2" t="s">
        <v>44</v>
      </c>
      <c r="L22" s="1" t="s">
        <v>61</v>
      </c>
      <c r="M22" s="3" t="s">
        <v>46</v>
      </c>
      <c r="N22" s="3" t="s">
        <v>47</v>
      </c>
      <c r="O22" s="40" t="s">
        <v>211</v>
      </c>
      <c r="P22" s="176">
        <v>2026</v>
      </c>
      <c r="Q22" s="169" t="s">
        <v>166</v>
      </c>
      <c r="R22" s="18" t="s">
        <v>212</v>
      </c>
      <c r="S22" s="216" t="s">
        <v>213</v>
      </c>
      <c r="T22" s="189" t="s">
        <v>76</v>
      </c>
      <c r="U22" s="8" t="str">
        <f>VLOOKUP('IMPO TERR'!T22,'Matriz datos'!$J$2:$K$10,2,0)</f>
        <v>AV. PDTE. EDUARDO FREI 8301, QUILICURA</v>
      </c>
      <c r="V22" s="63" t="s">
        <v>214</v>
      </c>
      <c r="W22" s="64"/>
      <c r="X22" s="4" t="s">
        <v>215</v>
      </c>
      <c r="Y22" s="130" t="s">
        <v>216</v>
      </c>
      <c r="Z22" s="127">
        <v>2605103977</v>
      </c>
      <c r="AA22" s="4">
        <v>2605104765</v>
      </c>
      <c r="AB22" s="224">
        <v>46088.768761574072</v>
      </c>
      <c r="AC22" s="18" t="s">
        <v>217</v>
      </c>
      <c r="AD22" s="117">
        <v>46084</v>
      </c>
      <c r="AE22" s="127">
        <v>4090180115</v>
      </c>
      <c r="AF22" s="22">
        <v>46090</v>
      </c>
      <c r="AG22" s="46">
        <v>46090.528437499997</v>
      </c>
      <c r="AH22" s="226">
        <v>46092</v>
      </c>
      <c r="AI22" s="225">
        <v>141491</v>
      </c>
      <c r="AJ22" s="222">
        <v>25470000</v>
      </c>
      <c r="AK22" s="9">
        <v>857.58</v>
      </c>
      <c r="AL22" s="28"/>
    </row>
    <row r="23" spans="1:38" ht="24.75" customHeight="1">
      <c r="A23" s="91" t="s">
        <v>218</v>
      </c>
      <c r="B23" s="91">
        <v>180133</v>
      </c>
      <c r="C23" s="161" t="s">
        <v>39</v>
      </c>
      <c r="D23" s="41" t="s">
        <v>40</v>
      </c>
      <c r="E23" s="21">
        <v>46083</v>
      </c>
      <c r="F23" s="12"/>
      <c r="G23" s="12" t="s">
        <v>219</v>
      </c>
      <c r="H23" s="1"/>
      <c r="I23" s="1"/>
      <c r="J23" s="1"/>
      <c r="K23" s="2" t="s">
        <v>60</v>
      </c>
      <c r="L23" s="1" t="s">
        <v>45</v>
      </c>
      <c r="M23" s="3" t="s">
        <v>46</v>
      </c>
      <c r="N23" s="3" t="s">
        <v>47</v>
      </c>
      <c r="O23" s="40" t="s">
        <v>220</v>
      </c>
      <c r="P23" s="176"/>
      <c r="Q23" s="169" t="s">
        <v>221</v>
      </c>
      <c r="R23" s="15" t="s">
        <v>222</v>
      </c>
      <c r="S23" s="15" t="s">
        <v>223</v>
      </c>
      <c r="T23" s="189" t="s">
        <v>102</v>
      </c>
      <c r="U23" s="141" t="s">
        <v>224</v>
      </c>
      <c r="V23" s="63" t="s">
        <v>225</v>
      </c>
      <c r="W23" s="64"/>
      <c r="X23" s="4" t="s">
        <v>226</v>
      </c>
      <c r="Y23" s="130" t="s">
        <v>227</v>
      </c>
      <c r="Z23" s="127">
        <v>2605108712</v>
      </c>
      <c r="AA23" s="4">
        <v>2605110144</v>
      </c>
      <c r="AB23" s="227">
        <v>46089.863599537035</v>
      </c>
      <c r="AC23" s="228">
        <v>46090</v>
      </c>
      <c r="AD23" s="117">
        <v>46085</v>
      </c>
      <c r="AE23" s="127">
        <v>4090180133</v>
      </c>
      <c r="AF23" s="22">
        <v>46090</v>
      </c>
      <c r="AG23" s="42">
        <v>46090</v>
      </c>
      <c r="AH23" s="226">
        <v>46090</v>
      </c>
      <c r="AI23" s="225">
        <v>141489</v>
      </c>
      <c r="AJ23" s="223">
        <v>16870000</v>
      </c>
      <c r="AK23" s="9">
        <v>857.58</v>
      </c>
      <c r="AL23" s="28"/>
    </row>
    <row r="24" spans="1:38" ht="24.75" customHeight="1">
      <c r="A24" s="91" t="s">
        <v>228</v>
      </c>
      <c r="B24" s="91">
        <v>180136</v>
      </c>
      <c r="C24" s="161" t="s">
        <v>39</v>
      </c>
      <c r="D24" s="1" t="s">
        <v>58</v>
      </c>
      <c r="E24" s="21">
        <v>46083</v>
      </c>
      <c r="F24" s="12"/>
      <c r="G24" s="12"/>
      <c r="H24" s="1"/>
      <c r="I24" s="1"/>
      <c r="J24" s="1"/>
      <c r="K24" s="2" t="s">
        <v>60</v>
      </c>
      <c r="L24" s="1" t="s">
        <v>45</v>
      </c>
      <c r="M24" s="3" t="s">
        <v>46</v>
      </c>
      <c r="N24" s="3" t="s">
        <v>47</v>
      </c>
      <c r="O24" s="40" t="s">
        <v>229</v>
      </c>
      <c r="P24" s="176"/>
      <c r="Q24" s="169" t="s">
        <v>230</v>
      </c>
      <c r="R24" s="18" t="s">
        <v>231</v>
      </c>
      <c r="S24" s="18" t="s">
        <v>232</v>
      </c>
      <c r="T24" s="189" t="s">
        <v>102</v>
      </c>
      <c r="U24" s="8" t="str">
        <f>VLOOKUP('IMPO TERR'!T24,'Matriz datos'!$J$2:$K$10,2,0)</f>
        <v>AV. AMERICO VESPUCIO 0350, QUILICURA</v>
      </c>
      <c r="W24" s="64"/>
      <c r="X24" s="4" t="s">
        <v>233</v>
      </c>
      <c r="Y24" s="130" t="s">
        <v>234</v>
      </c>
      <c r="Z24" s="127">
        <v>2605109923</v>
      </c>
      <c r="AA24" s="4">
        <v>2605112548</v>
      </c>
      <c r="AB24" s="224">
        <v>46086.937673611108</v>
      </c>
      <c r="AC24" s="43">
        <v>46087</v>
      </c>
      <c r="AD24" s="117">
        <v>46086</v>
      </c>
      <c r="AE24" s="127">
        <v>4090180136</v>
      </c>
      <c r="AF24" s="22">
        <v>46087</v>
      </c>
      <c r="AG24" s="48">
        <v>46087.776747685188</v>
      </c>
      <c r="AH24" s="34">
        <v>46088.445532407408</v>
      </c>
      <c r="AI24" s="225"/>
      <c r="AJ24" s="217">
        <v>25980000</v>
      </c>
      <c r="AK24" s="9">
        <v>857.58</v>
      </c>
      <c r="AL24" s="28"/>
    </row>
    <row r="25" spans="1:38" ht="24.75" customHeight="1">
      <c r="A25" s="91" t="s">
        <v>235</v>
      </c>
      <c r="B25" s="91">
        <v>180137</v>
      </c>
      <c r="C25" s="161" t="s">
        <v>39</v>
      </c>
      <c r="D25" s="1" t="s">
        <v>58</v>
      </c>
      <c r="E25" s="21">
        <v>46083</v>
      </c>
      <c r="F25" s="12"/>
      <c r="G25" s="12"/>
      <c r="H25" s="1"/>
      <c r="I25" s="1"/>
      <c r="J25" s="1"/>
      <c r="K25" s="2" t="s">
        <v>44</v>
      </c>
      <c r="L25" s="1" t="s">
        <v>45</v>
      </c>
      <c r="M25" s="3" t="s">
        <v>46</v>
      </c>
      <c r="N25" s="3" t="s">
        <v>47</v>
      </c>
      <c r="O25" s="40" t="s">
        <v>236</v>
      </c>
      <c r="P25" s="176">
        <v>32433</v>
      </c>
      <c r="Q25" s="169" t="s">
        <v>49</v>
      </c>
      <c r="R25" s="30" t="s">
        <v>237</v>
      </c>
      <c r="S25" s="30" t="s">
        <v>238</v>
      </c>
      <c r="T25" s="189" t="s">
        <v>76</v>
      </c>
      <c r="U25" s="8" t="str">
        <f>VLOOKUP('IMPO TERR'!T25,'Matriz datos'!$J$2:$K$10,2,0)</f>
        <v>AV. PDTE. EDUARDO FREI 8301, QUILICURA</v>
      </c>
      <c r="W25" s="64"/>
      <c r="X25" s="4" t="s">
        <v>239</v>
      </c>
      <c r="Y25" s="130" t="s">
        <v>240</v>
      </c>
      <c r="Z25" s="127">
        <v>2605106196</v>
      </c>
      <c r="AA25" s="4">
        <v>2605107984</v>
      </c>
      <c r="AB25" s="134">
        <v>46082.574502314812</v>
      </c>
      <c r="AC25" s="18" t="s">
        <v>241</v>
      </c>
      <c r="AD25" s="117">
        <v>46085</v>
      </c>
      <c r="AE25" s="127">
        <v>4090180137</v>
      </c>
      <c r="AF25" s="22">
        <v>46085</v>
      </c>
      <c r="AG25" s="35">
        <v>46085.756076388891</v>
      </c>
      <c r="AH25" s="33">
        <v>46085.835439814815</v>
      </c>
      <c r="AI25" s="80"/>
      <c r="AJ25" s="218">
        <v>24410000</v>
      </c>
      <c r="AK25" s="9">
        <v>857.58</v>
      </c>
      <c r="AL25" s="28"/>
    </row>
    <row r="26" spans="1:38" ht="24.75" customHeight="1">
      <c r="A26" s="91" t="s">
        <v>242</v>
      </c>
      <c r="B26" s="91">
        <v>180139</v>
      </c>
      <c r="C26" s="161" t="s">
        <v>39</v>
      </c>
      <c r="D26" s="4" t="s">
        <v>142</v>
      </c>
      <c r="E26" s="21">
        <v>46083</v>
      </c>
      <c r="F26" s="12"/>
      <c r="G26" s="12"/>
      <c r="H26" s="1"/>
      <c r="I26" s="1"/>
      <c r="J26" s="1"/>
      <c r="K26" s="2" t="s">
        <v>44</v>
      </c>
      <c r="L26" s="1" t="s">
        <v>45</v>
      </c>
      <c r="M26" s="3" t="s">
        <v>46</v>
      </c>
      <c r="N26" s="3" t="s">
        <v>47</v>
      </c>
      <c r="O26" s="40" t="s">
        <v>243</v>
      </c>
      <c r="P26" s="176"/>
      <c r="Q26" s="169" t="s">
        <v>49</v>
      </c>
      <c r="R26" s="15" t="s">
        <v>244</v>
      </c>
      <c r="S26" s="15" t="s">
        <v>245</v>
      </c>
      <c r="T26" s="189" t="s">
        <v>76</v>
      </c>
      <c r="U26" s="8" t="str">
        <f>VLOOKUP('IMPO TERR'!T26,'Matriz datos'!$J$2:$K$10,2,0)</f>
        <v>AV. PDTE. EDUARDO FREI 8301, QUILICURA</v>
      </c>
      <c r="V26" s="63" t="s">
        <v>246</v>
      </c>
      <c r="W26" s="64"/>
      <c r="X26" s="4" t="s">
        <v>247</v>
      </c>
      <c r="Y26" s="130" t="s">
        <v>248</v>
      </c>
      <c r="Z26" s="127">
        <v>2605109152</v>
      </c>
      <c r="AA26" s="4">
        <v>2605110090</v>
      </c>
      <c r="AB26" s="227">
        <v>46089.475370370368</v>
      </c>
      <c r="AC26" s="42">
        <v>46090</v>
      </c>
      <c r="AD26" s="117">
        <v>46086</v>
      </c>
      <c r="AE26" s="127">
        <v>4090180139</v>
      </c>
      <c r="AF26" s="22">
        <v>46090</v>
      </c>
      <c r="AG26" s="133">
        <v>46090</v>
      </c>
      <c r="AH26" s="226">
        <v>46091</v>
      </c>
      <c r="AI26" s="80">
        <v>141504</v>
      </c>
      <c r="AJ26" s="215">
        <v>25980000</v>
      </c>
      <c r="AK26" s="9">
        <v>857.58</v>
      </c>
      <c r="AL26" s="28"/>
    </row>
    <row r="27" spans="1:38" ht="24.75" customHeight="1">
      <c r="A27" s="91" t="s">
        <v>249</v>
      </c>
      <c r="B27" s="91">
        <v>180145</v>
      </c>
      <c r="C27" s="161" t="s">
        <v>39</v>
      </c>
      <c r="D27" s="1" t="s">
        <v>58</v>
      </c>
      <c r="E27" s="21">
        <v>46083</v>
      </c>
      <c r="F27" s="12"/>
      <c r="G27" s="12"/>
      <c r="H27" s="1"/>
      <c r="I27" s="1"/>
      <c r="J27" s="1"/>
      <c r="K27" s="2" t="s">
        <v>44</v>
      </c>
      <c r="L27" s="1" t="s">
        <v>45</v>
      </c>
      <c r="M27" s="3" t="s">
        <v>46</v>
      </c>
      <c r="N27" s="3" t="s">
        <v>47</v>
      </c>
      <c r="O27" s="40" t="s">
        <v>250</v>
      </c>
      <c r="P27" s="176"/>
      <c r="Q27" s="169" t="s">
        <v>49</v>
      </c>
      <c r="R27" s="18" t="s">
        <v>251</v>
      </c>
      <c r="S27" s="18" t="s">
        <v>252</v>
      </c>
      <c r="T27" s="189" t="s">
        <v>76</v>
      </c>
      <c r="U27" s="8" t="str">
        <f>VLOOKUP('IMPO TERR'!T27,'Matriz datos'!$J$2:$K$10,2,0)</f>
        <v>AV. PDTE. EDUARDO FREI 8301, QUILICURA</v>
      </c>
      <c r="W27" s="64"/>
      <c r="X27" s="4" t="s">
        <v>253</v>
      </c>
      <c r="Y27" s="130" t="s">
        <v>254</v>
      </c>
      <c r="Z27" s="127">
        <v>2605109255</v>
      </c>
      <c r="AA27" s="4">
        <v>2605110037</v>
      </c>
      <c r="AB27" s="227">
        <v>46087.548402777778</v>
      </c>
      <c r="AC27" s="229">
        <v>46088</v>
      </c>
      <c r="AD27" s="117">
        <v>46086</v>
      </c>
      <c r="AE27" s="127">
        <v>4090180145</v>
      </c>
      <c r="AF27" s="22">
        <v>46088</v>
      </c>
      <c r="AG27" s="48">
        <v>46088.561828703707</v>
      </c>
      <c r="AH27" s="34">
        <v>46088.650856481479</v>
      </c>
      <c r="AI27" s="225"/>
      <c r="AJ27" s="217">
        <v>24010000</v>
      </c>
      <c r="AK27" s="9">
        <v>857.58</v>
      </c>
      <c r="AL27" s="28"/>
    </row>
    <row r="28" spans="1:38" ht="24.75" customHeight="1">
      <c r="A28" s="91" t="s">
        <v>255</v>
      </c>
      <c r="B28" s="91">
        <v>180146</v>
      </c>
      <c r="C28" s="161" t="s">
        <v>39</v>
      </c>
      <c r="D28" s="1" t="s">
        <v>58</v>
      </c>
      <c r="E28" s="21">
        <v>46083</v>
      </c>
      <c r="F28" s="12"/>
      <c r="G28" s="12"/>
      <c r="H28" s="1"/>
      <c r="I28" s="1"/>
      <c r="J28" s="1"/>
      <c r="K28" s="2" t="s">
        <v>44</v>
      </c>
      <c r="L28" s="1" t="s">
        <v>256</v>
      </c>
      <c r="M28" s="3" t="s">
        <v>46</v>
      </c>
      <c r="N28" s="3" t="s">
        <v>47</v>
      </c>
      <c r="O28" s="40" t="s">
        <v>257</v>
      </c>
      <c r="P28" s="176"/>
      <c r="Q28" s="169" t="s">
        <v>258</v>
      </c>
      <c r="R28" s="18" t="s">
        <v>259</v>
      </c>
      <c r="S28" s="18" t="s">
        <v>260</v>
      </c>
      <c r="T28" s="189" t="s">
        <v>76</v>
      </c>
      <c r="U28" s="8" t="str">
        <f>VLOOKUP('IMPO TERR'!T28,'Matriz datos'!$J$2:$K$10,2,0)</f>
        <v>AV. PDTE. EDUARDO FREI 8301, QUILICURA</v>
      </c>
      <c r="W28" s="64"/>
      <c r="X28" s="4" t="s">
        <v>261</v>
      </c>
      <c r="Y28" s="130" t="s">
        <v>262</v>
      </c>
      <c r="Z28" s="127">
        <v>2605109265</v>
      </c>
      <c r="AA28" s="4">
        <v>2605110562</v>
      </c>
      <c r="AB28" s="134">
        <v>46084.560254629629</v>
      </c>
      <c r="AC28" s="43">
        <v>46085</v>
      </c>
      <c r="AD28" s="117">
        <v>46086</v>
      </c>
      <c r="AE28" s="127">
        <v>4090180146</v>
      </c>
      <c r="AF28" s="22">
        <v>46086</v>
      </c>
      <c r="AG28" s="48">
        <v>46086.739374999997</v>
      </c>
      <c r="AH28" s="33">
        <v>46086.837060185186</v>
      </c>
      <c r="AI28" s="80"/>
      <c r="AJ28" s="230"/>
      <c r="AK28" s="9">
        <v>857.58</v>
      </c>
      <c r="AL28" s="28"/>
    </row>
    <row r="29" spans="1:38" ht="24.75" customHeight="1">
      <c r="A29" s="91" t="s">
        <v>263</v>
      </c>
      <c r="B29" s="91">
        <v>180147</v>
      </c>
      <c r="C29" s="161" t="s">
        <v>39</v>
      </c>
      <c r="D29" s="1" t="s">
        <v>58</v>
      </c>
      <c r="E29" s="21">
        <v>46083</v>
      </c>
      <c r="F29" s="12"/>
      <c r="G29" s="12"/>
      <c r="H29" s="1"/>
      <c r="I29" s="1"/>
      <c r="J29" s="1"/>
      <c r="K29" s="2" t="s">
        <v>44</v>
      </c>
      <c r="L29" s="1" t="s">
        <v>256</v>
      </c>
      <c r="M29" s="3" t="s">
        <v>46</v>
      </c>
      <c r="N29" s="3" t="s">
        <v>47</v>
      </c>
      <c r="O29" s="40" t="s">
        <v>264</v>
      </c>
      <c r="P29" s="176"/>
      <c r="Q29" s="169" t="s">
        <v>265</v>
      </c>
      <c r="R29" s="30" t="s">
        <v>266</v>
      </c>
      <c r="S29" s="30" t="s">
        <v>267</v>
      </c>
      <c r="T29" s="189" t="s">
        <v>76</v>
      </c>
      <c r="U29" s="8" t="str">
        <f>VLOOKUP('IMPO TERR'!T29,'Matriz datos'!$J$2:$K$10,2,0)</f>
        <v>AV. PDTE. EDUARDO FREI 8301, QUILICURA</v>
      </c>
      <c r="W29" s="64"/>
      <c r="X29" s="4" t="s">
        <v>268</v>
      </c>
      <c r="Y29" s="130" t="s">
        <v>269</v>
      </c>
      <c r="Z29" s="127">
        <v>2605105649</v>
      </c>
      <c r="AA29" s="4">
        <v>2605107389</v>
      </c>
      <c r="AB29" s="134">
        <v>46084.080914351849</v>
      </c>
      <c r="AC29" s="43">
        <v>46084</v>
      </c>
      <c r="AD29" s="117">
        <v>46085</v>
      </c>
      <c r="AE29" s="127">
        <v>4090180147</v>
      </c>
      <c r="AF29" s="22">
        <v>46085</v>
      </c>
      <c r="AG29" s="62">
        <v>46085.672048611108</v>
      </c>
      <c r="AH29" s="231">
        <v>46088.467731481483</v>
      </c>
      <c r="AI29" s="80"/>
      <c r="AJ29" s="225"/>
      <c r="AK29" s="9">
        <v>857.58</v>
      </c>
      <c r="AL29" s="28"/>
    </row>
    <row r="30" spans="1:38" ht="24.75" customHeight="1">
      <c r="A30" s="91" t="s">
        <v>270</v>
      </c>
      <c r="B30" s="91">
        <v>180152</v>
      </c>
      <c r="C30" s="162" t="s">
        <v>39</v>
      </c>
      <c r="D30" s="41" t="s">
        <v>142</v>
      </c>
      <c r="E30" s="21">
        <v>46083</v>
      </c>
      <c r="F30" s="12"/>
      <c r="G30" s="12"/>
      <c r="H30" s="1"/>
      <c r="I30" s="1"/>
      <c r="J30" s="1"/>
      <c r="K30" s="2" t="s">
        <v>44</v>
      </c>
      <c r="L30" s="1" t="s">
        <v>45</v>
      </c>
      <c r="M30" s="3" t="s">
        <v>46</v>
      </c>
      <c r="N30" s="3" t="s">
        <v>47</v>
      </c>
      <c r="O30" s="40" t="s">
        <v>271</v>
      </c>
      <c r="P30" s="176"/>
      <c r="Q30" s="169" t="s">
        <v>49</v>
      </c>
      <c r="R30" s="15" t="s">
        <v>272</v>
      </c>
      <c r="S30" s="216" t="s">
        <v>273</v>
      </c>
      <c r="T30" s="189" t="s">
        <v>76</v>
      </c>
      <c r="U30" s="8" t="str">
        <f>VLOOKUP('IMPO TERR'!T30,'Matriz datos'!$J$2:$K$10,2,0)</f>
        <v>AV. PDTE. EDUARDO FREI 8301, QUILICURA</v>
      </c>
      <c r="V30" s="63" t="s">
        <v>274</v>
      </c>
      <c r="W30" s="64" t="s">
        <v>275</v>
      </c>
      <c r="X30" s="4" t="s">
        <v>276</v>
      </c>
      <c r="Y30" s="130" t="s">
        <v>277</v>
      </c>
      <c r="Z30" s="127">
        <v>2605109941</v>
      </c>
      <c r="AA30" s="4">
        <v>2605112533</v>
      </c>
      <c r="AB30" s="232">
        <v>46091</v>
      </c>
      <c r="AC30" s="233">
        <v>46092</v>
      </c>
      <c r="AD30" s="117">
        <v>46086</v>
      </c>
      <c r="AE30" s="127">
        <v>4090180152</v>
      </c>
      <c r="AF30" s="22">
        <v>46091</v>
      </c>
      <c r="AG30" s="115">
        <v>46092</v>
      </c>
      <c r="AH30" s="234">
        <v>46092</v>
      </c>
      <c r="AI30" s="225">
        <v>141548</v>
      </c>
      <c r="AJ30" s="225"/>
      <c r="AK30" s="9">
        <v>857.58</v>
      </c>
      <c r="AL30" s="28"/>
    </row>
    <row r="31" spans="1:38" ht="24.75" customHeight="1">
      <c r="A31" s="91" t="s">
        <v>278</v>
      </c>
      <c r="B31" s="91">
        <v>180153</v>
      </c>
      <c r="C31" s="161" t="s">
        <v>39</v>
      </c>
      <c r="D31" s="1" t="s">
        <v>58</v>
      </c>
      <c r="E31" s="21">
        <v>46083</v>
      </c>
      <c r="F31" s="12"/>
      <c r="G31" s="12"/>
      <c r="H31" s="1"/>
      <c r="I31" s="1"/>
      <c r="J31" s="1"/>
      <c r="K31" s="2" t="s">
        <v>60</v>
      </c>
      <c r="L31" s="1" t="s">
        <v>45</v>
      </c>
      <c r="M31" s="3" t="s">
        <v>46</v>
      </c>
      <c r="N31" s="3" t="s">
        <v>47</v>
      </c>
      <c r="O31" s="40" t="s">
        <v>279</v>
      </c>
      <c r="P31" s="176"/>
      <c r="Q31" s="169" t="s">
        <v>49</v>
      </c>
      <c r="R31" s="15" t="s">
        <v>280</v>
      </c>
      <c r="S31" s="15" t="s">
        <v>281</v>
      </c>
      <c r="T31" s="189" t="s">
        <v>102</v>
      </c>
      <c r="U31" s="8" t="str">
        <f>VLOOKUP('IMPO TERR'!T31,'Matriz datos'!$J$2:$K$10,2,0)</f>
        <v>AV. AMERICO VESPUCIO 0350, QUILICURA</v>
      </c>
      <c r="W31" s="64"/>
      <c r="X31" s="4" t="s">
        <v>282</v>
      </c>
      <c r="Z31" s="127">
        <v>2605105906</v>
      </c>
      <c r="AA31" s="4">
        <v>2605107383</v>
      </c>
      <c r="AB31" s="224">
        <v>46087.730578703704</v>
      </c>
      <c r="AC31" s="226">
        <v>46088</v>
      </c>
      <c r="AD31" s="117">
        <v>46085</v>
      </c>
      <c r="AE31" s="127">
        <v>4090180153</v>
      </c>
      <c r="AF31" s="22">
        <v>46088</v>
      </c>
      <c r="AG31" s="235">
        <v>46088.573564814818</v>
      </c>
      <c r="AH31" s="236">
        <v>46088.648101851853</v>
      </c>
      <c r="AI31" s="225"/>
      <c r="AJ31" s="225"/>
      <c r="AK31" s="9">
        <v>857.58</v>
      </c>
      <c r="AL31" s="28"/>
    </row>
    <row r="32" spans="1:38" ht="24.75" customHeight="1">
      <c r="A32" s="91" t="s">
        <v>283</v>
      </c>
      <c r="B32" s="91">
        <v>180154</v>
      </c>
      <c r="C32" s="161" t="s">
        <v>39</v>
      </c>
      <c r="D32" s="4" t="s">
        <v>142</v>
      </c>
      <c r="E32" s="21">
        <v>46083</v>
      </c>
      <c r="F32" s="12"/>
      <c r="G32" s="12"/>
      <c r="H32" s="1"/>
      <c r="I32" s="1"/>
      <c r="J32" s="1"/>
      <c r="K32" s="2" t="s">
        <v>60</v>
      </c>
      <c r="L32" s="1" t="s">
        <v>45</v>
      </c>
      <c r="M32" s="3" t="s">
        <v>46</v>
      </c>
      <c r="N32" s="3" t="s">
        <v>47</v>
      </c>
      <c r="O32" s="40" t="s">
        <v>284</v>
      </c>
      <c r="P32" s="176"/>
      <c r="Q32" s="169" t="s">
        <v>49</v>
      </c>
      <c r="R32" s="216" t="s">
        <v>285</v>
      </c>
      <c r="S32" s="216" t="s">
        <v>286</v>
      </c>
      <c r="T32" s="189" t="s">
        <v>102</v>
      </c>
      <c r="U32" s="8" t="str">
        <f>VLOOKUP('IMPO TERR'!T32,'Matriz datos'!$J$2:$K$10,2,0)</f>
        <v>AV. AMERICO VESPUCIO 0350, QUILICURA</v>
      </c>
      <c r="V32" s="69" t="s">
        <v>287</v>
      </c>
      <c r="W32" s="64"/>
      <c r="X32" s="4" t="s">
        <v>288</v>
      </c>
      <c r="Z32" s="127">
        <v>2605109424</v>
      </c>
      <c r="AA32" s="4">
        <v>2605110377</v>
      </c>
      <c r="AB32" s="134">
        <v>46089.969363425924</v>
      </c>
      <c r="AC32" s="43">
        <v>46090</v>
      </c>
      <c r="AD32" s="117">
        <v>46086</v>
      </c>
      <c r="AE32" s="127">
        <v>4090180154</v>
      </c>
      <c r="AF32" s="22">
        <v>46090</v>
      </c>
      <c r="AG32" s="42">
        <v>46090</v>
      </c>
      <c r="AH32" s="43">
        <v>46090</v>
      </c>
      <c r="AI32" s="225">
        <v>141505</v>
      </c>
      <c r="AJ32" s="225"/>
      <c r="AK32" s="9">
        <v>857.58</v>
      </c>
      <c r="AL32" s="28"/>
    </row>
    <row r="33" spans="1:38" ht="24.75" customHeight="1">
      <c r="A33" s="91" t="s">
        <v>289</v>
      </c>
      <c r="B33" s="91">
        <v>180178</v>
      </c>
      <c r="C33" s="161" t="s">
        <v>39</v>
      </c>
      <c r="D33" s="4" t="s">
        <v>142</v>
      </c>
      <c r="E33" s="21">
        <v>46084</v>
      </c>
      <c r="F33" s="12"/>
      <c r="G33" s="12"/>
      <c r="H33" s="1"/>
      <c r="I33" s="1"/>
      <c r="J33" s="1"/>
      <c r="K33" s="2" t="s">
        <v>44</v>
      </c>
      <c r="L33" s="1" t="s">
        <v>45</v>
      </c>
      <c r="M33" s="3" t="s">
        <v>46</v>
      </c>
      <c r="N33" s="3" t="s">
        <v>47</v>
      </c>
      <c r="O33" s="40" t="s">
        <v>290</v>
      </c>
      <c r="P33" s="176"/>
      <c r="Q33" s="169" t="s">
        <v>49</v>
      </c>
      <c r="R33" s="216" t="s">
        <v>291</v>
      </c>
      <c r="S33" s="216" t="s">
        <v>292</v>
      </c>
      <c r="T33" s="189" t="s">
        <v>76</v>
      </c>
      <c r="U33" s="8" t="str">
        <f>VLOOKUP('IMPO TERR'!T33,'Matriz datos'!$J$2:$K$10,2,0)</f>
        <v>AV. PDTE. EDUARDO FREI 8301, QUILICURA</v>
      </c>
      <c r="V33" s="63" t="s">
        <v>293</v>
      </c>
      <c r="W33" s="64" t="s">
        <v>294</v>
      </c>
      <c r="X33" s="4" t="s">
        <v>295</v>
      </c>
      <c r="Y33" s="130" t="s">
        <v>296</v>
      </c>
      <c r="Z33" s="127">
        <v>2605111544</v>
      </c>
      <c r="AA33" s="4">
        <v>2605112433</v>
      </c>
      <c r="AB33" s="42">
        <v>46091</v>
      </c>
      <c r="AC33" s="237">
        <v>46092</v>
      </c>
      <c r="AD33" s="117">
        <v>46087</v>
      </c>
      <c r="AE33" s="127">
        <v>4090180178</v>
      </c>
      <c r="AF33" s="22">
        <v>46091</v>
      </c>
      <c r="AG33" s="115">
        <v>46092</v>
      </c>
      <c r="AH33" s="238">
        <v>46092</v>
      </c>
      <c r="AI33" s="225">
        <v>141553</v>
      </c>
      <c r="AJ33" s="225"/>
      <c r="AK33" s="9">
        <v>857.58</v>
      </c>
      <c r="AL33" s="28"/>
    </row>
    <row r="34" spans="1:38" ht="24.75" customHeight="1">
      <c r="A34" s="91" t="s">
        <v>297</v>
      </c>
      <c r="B34" s="91">
        <v>180180</v>
      </c>
      <c r="C34" s="161" t="s">
        <v>39</v>
      </c>
      <c r="D34" s="4" t="s">
        <v>40</v>
      </c>
      <c r="E34" s="21">
        <v>46084</v>
      </c>
      <c r="F34" s="12"/>
      <c r="G34" s="12"/>
      <c r="H34" s="1"/>
      <c r="I34" s="1"/>
      <c r="J34" s="1"/>
      <c r="K34" s="2" t="s">
        <v>44</v>
      </c>
      <c r="L34" s="1" t="s">
        <v>45</v>
      </c>
      <c r="M34" s="3" t="s">
        <v>46</v>
      </c>
      <c r="N34" s="3" t="s">
        <v>47</v>
      </c>
      <c r="O34" s="40" t="s">
        <v>298</v>
      </c>
      <c r="P34" s="176"/>
      <c r="Q34" s="169" t="s">
        <v>49</v>
      </c>
      <c r="R34" s="216" t="s">
        <v>299</v>
      </c>
      <c r="S34" s="216" t="s">
        <v>300</v>
      </c>
      <c r="T34" s="189" t="s">
        <v>76</v>
      </c>
      <c r="U34" s="8" t="str">
        <f>VLOOKUP('IMPO TERR'!T34,'Matriz datos'!$J$2:$K$10,2,0)</f>
        <v>AV. PDTE. EDUARDO FREI 8301, QUILICURA</v>
      </c>
      <c r="V34" s="70" t="s">
        <v>301</v>
      </c>
      <c r="W34" s="64"/>
      <c r="X34" s="4" t="s">
        <v>302</v>
      </c>
      <c r="Y34" s="130" t="s">
        <v>303</v>
      </c>
      <c r="Z34" s="127">
        <v>2605108064</v>
      </c>
      <c r="AA34" s="4">
        <v>2605109863</v>
      </c>
      <c r="AB34" s="205">
        <v>46090.494444444441</v>
      </c>
      <c r="AC34" s="47">
        <v>46091</v>
      </c>
      <c r="AD34" s="117">
        <v>46086</v>
      </c>
      <c r="AE34" s="127">
        <v>4090180180</v>
      </c>
      <c r="AF34" s="22">
        <v>46090</v>
      </c>
      <c r="AG34" s="56">
        <v>46091</v>
      </c>
      <c r="AH34" s="229">
        <v>46091</v>
      </c>
      <c r="AI34" s="225">
        <v>141522</v>
      </c>
      <c r="AJ34" s="225"/>
      <c r="AK34" s="9">
        <v>857.58</v>
      </c>
      <c r="AL34" s="28"/>
    </row>
    <row r="35" spans="1:38" ht="24.75" customHeight="1">
      <c r="A35" s="91" t="s">
        <v>304</v>
      </c>
      <c r="B35" s="91">
        <v>180181</v>
      </c>
      <c r="C35" s="161" t="s">
        <v>39</v>
      </c>
      <c r="D35" s="41" t="s">
        <v>40</v>
      </c>
      <c r="E35" s="21">
        <v>46084</v>
      </c>
      <c r="F35" s="12"/>
      <c r="G35" s="12"/>
      <c r="H35" s="1"/>
      <c r="I35" s="1"/>
      <c r="J35" s="1"/>
      <c r="K35" s="2" t="s">
        <v>44</v>
      </c>
      <c r="L35" s="1" t="s">
        <v>45</v>
      </c>
      <c r="M35" s="3" t="s">
        <v>46</v>
      </c>
      <c r="N35" s="3" t="s">
        <v>47</v>
      </c>
      <c r="O35" s="40" t="s">
        <v>305</v>
      </c>
      <c r="P35" s="176"/>
      <c r="Q35" s="169" t="s">
        <v>49</v>
      </c>
      <c r="R35" s="15" t="s">
        <v>306</v>
      </c>
      <c r="S35" s="15" t="s">
        <v>307</v>
      </c>
      <c r="T35" s="189" t="s">
        <v>76</v>
      </c>
      <c r="U35" s="8" t="str">
        <f>VLOOKUP('IMPO TERR'!T35,'Matriz datos'!$J$2:$K$10,2,0)</f>
        <v>AV. PDTE. EDUARDO FREI 8301, QUILICURA</v>
      </c>
      <c r="V35" s="71" t="s">
        <v>308</v>
      </c>
      <c r="W35" s="64"/>
      <c r="X35" s="4" t="s">
        <v>309</v>
      </c>
      <c r="Y35" s="130" t="s">
        <v>310</v>
      </c>
      <c r="Z35" s="127">
        <v>2605109685</v>
      </c>
      <c r="AA35" s="4">
        <v>2605110139</v>
      </c>
      <c r="AB35" s="234">
        <v>46090</v>
      </c>
      <c r="AC35" s="43">
        <v>46091</v>
      </c>
      <c r="AD35" s="117">
        <v>46086</v>
      </c>
      <c r="AE35" s="127">
        <v>4090180181</v>
      </c>
      <c r="AF35" s="22">
        <v>46091</v>
      </c>
      <c r="AG35" s="232">
        <v>46091</v>
      </c>
      <c r="AH35" s="226">
        <v>46091</v>
      </c>
      <c r="AI35" s="225">
        <v>141526</v>
      </c>
      <c r="AJ35" s="225"/>
      <c r="AK35" s="9">
        <v>857.58</v>
      </c>
      <c r="AL35" s="28"/>
    </row>
    <row r="36" spans="1:38" ht="24.75" customHeight="1">
      <c r="A36" s="91" t="s">
        <v>311</v>
      </c>
      <c r="B36" s="91">
        <v>180183</v>
      </c>
      <c r="C36" s="161" t="s">
        <v>39</v>
      </c>
      <c r="D36" s="4" t="s">
        <v>40</v>
      </c>
      <c r="E36" s="21">
        <v>46084</v>
      </c>
      <c r="F36" s="12"/>
      <c r="G36" s="12"/>
      <c r="H36" s="1"/>
      <c r="I36" s="1"/>
      <c r="J36" s="1"/>
      <c r="K36" s="2" t="s">
        <v>44</v>
      </c>
      <c r="L36" s="1" t="s">
        <v>45</v>
      </c>
      <c r="M36" s="3" t="s">
        <v>46</v>
      </c>
      <c r="N36" s="3" t="s">
        <v>47</v>
      </c>
      <c r="O36" s="40" t="s">
        <v>312</v>
      </c>
      <c r="P36" s="176">
        <v>40365</v>
      </c>
      <c r="Q36" s="169" t="s">
        <v>49</v>
      </c>
      <c r="R36" s="15" t="s">
        <v>313</v>
      </c>
      <c r="S36" s="15" t="s">
        <v>314</v>
      </c>
      <c r="T36" s="189" t="s">
        <v>76</v>
      </c>
      <c r="U36" s="8" t="str">
        <f>VLOOKUP('IMPO TERR'!T36,'Matriz datos'!$J$2:$K$10,2,0)</f>
        <v>AV. PDTE. EDUARDO FREI 8301, QUILICURA</v>
      </c>
      <c r="V36" s="63" t="s">
        <v>315</v>
      </c>
      <c r="W36" s="64" t="s">
        <v>316</v>
      </c>
      <c r="X36" s="4" t="s">
        <v>317</v>
      </c>
      <c r="Y36" s="130" t="s">
        <v>318</v>
      </c>
      <c r="Z36" s="127">
        <v>2605109639</v>
      </c>
      <c r="AA36" s="4">
        <v>2605110120</v>
      </c>
      <c r="AB36" s="238">
        <v>46094</v>
      </c>
      <c r="AC36" s="239">
        <v>46095</v>
      </c>
      <c r="AD36" s="117">
        <v>46086</v>
      </c>
      <c r="AE36" s="127">
        <v>4090180183</v>
      </c>
      <c r="AF36" s="22">
        <v>46095</v>
      </c>
      <c r="AG36" s="234">
        <v>46095</v>
      </c>
      <c r="AH36" s="228">
        <v>46095</v>
      </c>
      <c r="AI36" s="225">
        <v>141601</v>
      </c>
      <c r="AJ36" s="225"/>
      <c r="AK36" s="9">
        <v>857.58</v>
      </c>
      <c r="AL36" s="28"/>
    </row>
    <row r="37" spans="1:38" ht="24.75" customHeight="1">
      <c r="A37" s="91" t="s">
        <v>319</v>
      </c>
      <c r="B37" s="91">
        <v>180184</v>
      </c>
      <c r="C37" s="161" t="s">
        <v>39</v>
      </c>
      <c r="D37" s="4" t="s">
        <v>40</v>
      </c>
      <c r="E37" s="21">
        <v>46084</v>
      </c>
      <c r="F37" s="12"/>
      <c r="G37" s="12"/>
      <c r="H37" s="1"/>
      <c r="I37" s="1"/>
      <c r="J37" s="1"/>
      <c r="K37" s="2" t="s">
        <v>44</v>
      </c>
      <c r="L37" s="1" t="s">
        <v>61</v>
      </c>
      <c r="M37" s="3" t="s">
        <v>46</v>
      </c>
      <c r="N37" s="3" t="s">
        <v>47</v>
      </c>
      <c r="O37" s="40" t="s">
        <v>320</v>
      </c>
      <c r="P37" s="176"/>
      <c r="Q37" s="169" t="s">
        <v>63</v>
      </c>
      <c r="R37" s="15" t="s">
        <v>321</v>
      </c>
      <c r="S37" s="15" t="s">
        <v>322</v>
      </c>
      <c r="T37" s="189" t="s">
        <v>76</v>
      </c>
      <c r="U37" s="8" t="str">
        <f>VLOOKUP('IMPO TERR'!T37,'Matriz datos'!$J$2:$K$10,2,0)</f>
        <v>AV. PDTE. EDUARDO FREI 8301, QUILICURA</v>
      </c>
      <c r="V37" s="63" t="s">
        <v>323</v>
      </c>
      <c r="W37" s="64"/>
      <c r="X37" s="4" t="s">
        <v>324</v>
      </c>
      <c r="Y37" s="130" t="s">
        <v>325</v>
      </c>
      <c r="Z37" s="127">
        <v>2605111953</v>
      </c>
      <c r="AA37" s="4">
        <v>2605112430</v>
      </c>
      <c r="AB37" s="46">
        <v>46088.67019675926</v>
      </c>
      <c r="AC37" s="43">
        <v>46089</v>
      </c>
      <c r="AD37" s="117">
        <v>46087</v>
      </c>
      <c r="AE37" s="127">
        <v>4090180184</v>
      </c>
      <c r="AF37" s="22">
        <v>46090</v>
      </c>
      <c r="AG37" s="224">
        <v>46090.530243055553</v>
      </c>
      <c r="AH37" s="43">
        <v>46092</v>
      </c>
      <c r="AI37" s="225">
        <v>141488</v>
      </c>
      <c r="AJ37" s="225"/>
      <c r="AK37" s="9">
        <v>857.58</v>
      </c>
      <c r="AL37" s="28"/>
    </row>
    <row r="38" spans="1:38" ht="24.75" customHeight="1">
      <c r="A38" s="91" t="s">
        <v>326</v>
      </c>
      <c r="B38" s="91">
        <v>180186</v>
      </c>
      <c r="C38" s="161" t="s">
        <v>39</v>
      </c>
      <c r="D38" s="1" t="s">
        <v>58</v>
      </c>
      <c r="E38" s="21">
        <v>46084</v>
      </c>
      <c r="F38" s="12"/>
      <c r="G38" s="12"/>
      <c r="H38" s="1"/>
      <c r="I38" s="1"/>
      <c r="J38" s="1"/>
      <c r="K38" s="2" t="s">
        <v>44</v>
      </c>
      <c r="L38" s="1" t="s">
        <v>256</v>
      </c>
      <c r="M38" s="3" t="s">
        <v>46</v>
      </c>
      <c r="N38" s="3" t="s">
        <v>47</v>
      </c>
      <c r="O38" s="40" t="s">
        <v>327</v>
      </c>
      <c r="P38" s="176"/>
      <c r="Q38" s="169" t="s">
        <v>265</v>
      </c>
      <c r="R38" s="18" t="s">
        <v>328</v>
      </c>
      <c r="S38" s="18" t="s">
        <v>329</v>
      </c>
      <c r="T38" s="189" t="s">
        <v>330</v>
      </c>
      <c r="U38" s="8" t="str">
        <f>VLOOKUP('IMPO TERR'!T38,'Matriz datos'!$J$2:$K$10,2,0)</f>
        <v>AV. AMERICO VESPUCIO 0350, QUILICURA</v>
      </c>
      <c r="W38" s="64"/>
      <c r="X38" s="4" t="s">
        <v>331</v>
      </c>
      <c r="Y38" s="130" t="s">
        <v>332</v>
      </c>
      <c r="Z38" s="127">
        <v>2605110760</v>
      </c>
      <c r="AA38" s="4">
        <v>2605112514</v>
      </c>
      <c r="AB38" s="46">
        <v>46086.158715277779</v>
      </c>
      <c r="AC38" s="43">
        <v>46087</v>
      </c>
      <c r="AD38" s="117">
        <v>46087</v>
      </c>
      <c r="AE38" s="127">
        <v>4090180186</v>
      </c>
      <c r="AF38" s="22">
        <v>46087</v>
      </c>
      <c r="AG38" s="134">
        <v>46087.774513888886</v>
      </c>
      <c r="AH38" s="44">
        <v>46091</v>
      </c>
      <c r="AI38" s="80"/>
      <c r="AJ38" s="225"/>
      <c r="AK38" s="9">
        <v>857.58</v>
      </c>
      <c r="AL38" s="28"/>
    </row>
    <row r="39" spans="1:38" ht="24.75" customHeight="1">
      <c r="A39" s="91" t="s">
        <v>333</v>
      </c>
      <c r="B39" s="91">
        <v>180188</v>
      </c>
      <c r="C39" s="161" t="s">
        <v>39</v>
      </c>
      <c r="D39" s="4" t="s">
        <v>40</v>
      </c>
      <c r="E39" s="21">
        <v>46084</v>
      </c>
      <c r="F39" s="12"/>
      <c r="G39" s="12"/>
      <c r="H39" s="1"/>
      <c r="I39" s="1"/>
      <c r="J39" s="1"/>
      <c r="K39" s="2" t="s">
        <v>60</v>
      </c>
      <c r="L39" s="1" t="s">
        <v>45</v>
      </c>
      <c r="M39" s="3" t="s">
        <v>46</v>
      </c>
      <c r="N39" s="3" t="s">
        <v>47</v>
      </c>
      <c r="O39" s="40" t="s">
        <v>334</v>
      </c>
      <c r="P39" s="176"/>
      <c r="Q39" s="169" t="s">
        <v>126</v>
      </c>
      <c r="R39" s="15" t="s">
        <v>335</v>
      </c>
      <c r="S39" s="15" t="s">
        <v>336</v>
      </c>
      <c r="T39" s="189" t="s">
        <v>76</v>
      </c>
      <c r="U39" s="8" t="str">
        <f>VLOOKUP('IMPO TERR'!T39,'Matriz datos'!$J$2:$K$10,2,0)</f>
        <v>AV. PDTE. EDUARDO FREI 8301, QUILICURA</v>
      </c>
      <c r="V39" s="63" t="s">
        <v>337</v>
      </c>
      <c r="W39" s="64"/>
      <c r="X39" s="4" t="s">
        <v>338</v>
      </c>
      <c r="Y39" s="130" t="s">
        <v>339</v>
      </c>
      <c r="Z39" s="127">
        <v>2605108147</v>
      </c>
      <c r="AA39" s="4">
        <v>2605109858</v>
      </c>
      <c r="AB39" s="234">
        <v>46090</v>
      </c>
      <c r="AC39" s="226">
        <v>46091</v>
      </c>
      <c r="AD39" s="118">
        <v>46085</v>
      </c>
      <c r="AE39" s="128">
        <v>4090180188</v>
      </c>
      <c r="AF39" s="87">
        <v>46091</v>
      </c>
      <c r="AG39" s="240">
        <v>46091</v>
      </c>
      <c r="AH39" s="43">
        <v>46092</v>
      </c>
      <c r="AI39" s="225">
        <v>141540</v>
      </c>
      <c r="AJ39" s="225"/>
      <c r="AK39" s="9">
        <v>857.58</v>
      </c>
      <c r="AL39" s="28"/>
    </row>
    <row r="40" spans="1:38" ht="24.75" customHeight="1">
      <c r="A40" s="91" t="s">
        <v>340</v>
      </c>
      <c r="B40" s="91">
        <v>180190</v>
      </c>
      <c r="C40" s="161" t="s">
        <v>39</v>
      </c>
      <c r="D40" s="4" t="s">
        <v>40</v>
      </c>
      <c r="E40" s="21">
        <v>46084</v>
      </c>
      <c r="F40" s="12"/>
      <c r="G40" s="12"/>
      <c r="H40" s="1"/>
      <c r="I40" s="1"/>
      <c r="J40" s="1"/>
      <c r="K40" s="2" t="s">
        <v>44</v>
      </c>
      <c r="L40" s="1" t="s">
        <v>45</v>
      </c>
      <c r="M40" s="3" t="s">
        <v>46</v>
      </c>
      <c r="N40" s="3" t="s">
        <v>47</v>
      </c>
      <c r="O40" s="40" t="s">
        <v>341</v>
      </c>
      <c r="P40" s="176">
        <v>40933</v>
      </c>
      <c r="Q40" s="169" t="s">
        <v>49</v>
      </c>
      <c r="R40" s="15" t="s">
        <v>342</v>
      </c>
      <c r="S40" s="15" t="s">
        <v>343</v>
      </c>
      <c r="T40" s="189" t="s">
        <v>76</v>
      </c>
      <c r="U40" s="8" t="str">
        <f>VLOOKUP('IMPO TERR'!T40,'Matriz datos'!$J$2:$K$10,2,0)</f>
        <v>AV. PDTE. EDUARDO FREI 8301, QUILICURA</v>
      </c>
      <c r="V40" s="63" t="s">
        <v>344</v>
      </c>
      <c r="W40" s="241" t="s">
        <v>345</v>
      </c>
      <c r="X40" s="4" t="s">
        <v>346</v>
      </c>
      <c r="Y40" s="130" t="s">
        <v>347</v>
      </c>
      <c r="Z40" s="127">
        <v>2605109742</v>
      </c>
      <c r="AA40" s="163">
        <v>2605110213</v>
      </c>
      <c r="AB40" s="234">
        <v>46096</v>
      </c>
      <c r="AC40" s="226">
        <v>46097</v>
      </c>
      <c r="AD40" s="119">
        <v>46086</v>
      </c>
      <c r="AE40" s="129">
        <v>4090180190</v>
      </c>
      <c r="AF40" s="23">
        <v>46097</v>
      </c>
      <c r="AG40" s="115">
        <v>46098</v>
      </c>
      <c r="AH40" s="238">
        <v>46098</v>
      </c>
      <c r="AI40" s="225">
        <v>141644</v>
      </c>
      <c r="AJ40" s="225"/>
      <c r="AK40" s="9">
        <v>857.58</v>
      </c>
      <c r="AL40" s="28"/>
    </row>
    <row r="41" spans="1:38" ht="24.75" customHeight="1">
      <c r="A41" s="91" t="s">
        <v>348</v>
      </c>
      <c r="B41" s="91">
        <v>180192</v>
      </c>
      <c r="C41" s="161" t="s">
        <v>39</v>
      </c>
      <c r="D41" s="4" t="s">
        <v>142</v>
      </c>
      <c r="E41" s="21">
        <v>46084</v>
      </c>
      <c r="F41" s="12"/>
      <c r="G41" s="12"/>
      <c r="H41" s="1"/>
      <c r="I41" s="1"/>
      <c r="J41" s="1"/>
      <c r="K41" s="2" t="s">
        <v>60</v>
      </c>
      <c r="L41" s="1" t="s">
        <v>45</v>
      </c>
      <c r="M41" s="3" t="s">
        <v>46</v>
      </c>
      <c r="N41" s="3" t="s">
        <v>47</v>
      </c>
      <c r="O41" s="40" t="s">
        <v>349</v>
      </c>
      <c r="P41" s="176"/>
      <c r="Q41" s="169" t="s">
        <v>350</v>
      </c>
      <c r="R41" s="216" t="s">
        <v>351</v>
      </c>
      <c r="S41" s="216" t="s">
        <v>352</v>
      </c>
      <c r="T41" s="189" t="s">
        <v>76</v>
      </c>
      <c r="U41" s="8" t="str">
        <f>VLOOKUP('IMPO TERR'!T41,'Matriz datos'!$J$2:$K$10,2,0)</f>
        <v>AV. PDTE. EDUARDO FREI 8301, QUILICURA</v>
      </c>
      <c r="V41" s="84" t="s">
        <v>353</v>
      </c>
      <c r="W41" s="201"/>
      <c r="X41" s="4" t="s">
        <v>354</v>
      </c>
      <c r="Y41" s="130" t="s">
        <v>355</v>
      </c>
      <c r="Z41" s="127">
        <v>2605108514</v>
      </c>
      <c r="AA41" s="4">
        <v>2605109851</v>
      </c>
      <c r="AB41" s="46">
        <v>46090.378703703704</v>
      </c>
      <c r="AC41" s="47">
        <v>46091</v>
      </c>
      <c r="AD41" s="117">
        <v>46085</v>
      </c>
      <c r="AE41" s="127">
        <v>4090180192</v>
      </c>
      <c r="AF41" s="22">
        <v>46090</v>
      </c>
      <c r="AG41" s="42">
        <v>46091</v>
      </c>
      <c r="AH41" s="226">
        <v>46091</v>
      </c>
      <c r="AI41" s="225">
        <v>141523</v>
      </c>
      <c r="AJ41" s="225"/>
      <c r="AK41" s="9">
        <v>857.58</v>
      </c>
      <c r="AL41" s="28"/>
    </row>
    <row r="42" spans="1:38" ht="24.75" customHeight="1">
      <c r="A42" s="91" t="s">
        <v>356</v>
      </c>
      <c r="B42" s="91">
        <v>180193</v>
      </c>
      <c r="C42" s="161" t="s">
        <v>39</v>
      </c>
      <c r="D42" s="1" t="s">
        <v>58</v>
      </c>
      <c r="E42" s="21">
        <v>46084</v>
      </c>
      <c r="F42" s="12"/>
      <c r="G42" s="12"/>
      <c r="H42" s="1"/>
      <c r="I42" s="1"/>
      <c r="J42" s="1"/>
      <c r="K42" s="2" t="s">
        <v>44</v>
      </c>
      <c r="L42" s="1" t="s">
        <v>61</v>
      </c>
      <c r="M42" s="3" t="s">
        <v>46</v>
      </c>
      <c r="N42" s="3" t="s">
        <v>47</v>
      </c>
      <c r="O42" s="40" t="s">
        <v>357</v>
      </c>
      <c r="P42" s="176"/>
      <c r="Q42" s="169" t="s">
        <v>358</v>
      </c>
      <c r="R42" s="216" t="s">
        <v>359</v>
      </c>
      <c r="S42" s="216" t="s">
        <v>360</v>
      </c>
      <c r="T42" s="189" t="s">
        <v>76</v>
      </c>
      <c r="U42" s="8" t="str">
        <f>VLOOKUP('IMPO TERR'!T42,'Matriz datos'!$J$2:$K$10,2,0)</f>
        <v>AV. PDTE. EDUARDO FREI 8301, QUILICURA</v>
      </c>
      <c r="V42" s="84"/>
      <c r="W42" s="84"/>
      <c r="X42" s="4" t="s">
        <v>361</v>
      </c>
      <c r="Y42" s="130" t="s">
        <v>362</v>
      </c>
      <c r="Z42" s="127">
        <v>2605109732</v>
      </c>
      <c r="AA42" s="4">
        <v>2605110161</v>
      </c>
      <c r="AB42" s="242">
        <v>46087.375636574077</v>
      </c>
      <c r="AC42" s="18" t="s">
        <v>363</v>
      </c>
      <c r="AD42" s="117">
        <v>46086</v>
      </c>
      <c r="AE42" s="127">
        <v>4090180193</v>
      </c>
      <c r="AF42" s="22">
        <v>46087</v>
      </c>
      <c r="AG42" s="227">
        <v>46087.775949074072</v>
      </c>
      <c r="AH42" s="226">
        <v>46091</v>
      </c>
      <c r="AI42" s="225"/>
      <c r="AJ42" s="225"/>
      <c r="AK42" s="9">
        <v>857.58</v>
      </c>
      <c r="AL42" s="28"/>
    </row>
    <row r="43" spans="1:38" ht="24.75" customHeight="1">
      <c r="A43" s="91" t="s">
        <v>364</v>
      </c>
      <c r="B43" s="91">
        <v>180195</v>
      </c>
      <c r="C43" s="161" t="s">
        <v>39</v>
      </c>
      <c r="D43" s="4" t="s">
        <v>142</v>
      </c>
      <c r="E43" s="21">
        <v>46084</v>
      </c>
      <c r="F43" s="12"/>
      <c r="G43" s="12"/>
      <c r="H43" s="1"/>
      <c r="I43" s="1"/>
      <c r="J43" s="1"/>
      <c r="K43" s="2" t="s">
        <v>60</v>
      </c>
      <c r="L43" s="1" t="s">
        <v>45</v>
      </c>
      <c r="M43" s="3" t="s">
        <v>46</v>
      </c>
      <c r="N43" s="3" t="s">
        <v>47</v>
      </c>
      <c r="O43" s="40" t="s">
        <v>365</v>
      </c>
      <c r="P43" s="176"/>
      <c r="Q43" s="169" t="s">
        <v>126</v>
      </c>
      <c r="R43" s="216" t="s">
        <v>366</v>
      </c>
      <c r="S43" s="216" t="s">
        <v>367</v>
      </c>
      <c r="T43" s="189" t="s">
        <v>102</v>
      </c>
      <c r="U43" s="8" t="str">
        <f>VLOOKUP('IMPO TERR'!T43,'Matriz datos'!$J$2:$K$10,2,0)</f>
        <v>AV. AMERICO VESPUCIO 0350, QUILICURA</v>
      </c>
      <c r="V43" s="63" t="s">
        <v>368</v>
      </c>
      <c r="W43" s="74"/>
      <c r="X43" s="4" t="s">
        <v>369</v>
      </c>
      <c r="Y43" s="130" t="s">
        <v>370</v>
      </c>
      <c r="Z43" s="127">
        <v>2605113276</v>
      </c>
      <c r="AA43" s="4">
        <v>2605114534</v>
      </c>
      <c r="AB43" s="166">
        <v>46091</v>
      </c>
      <c r="AC43" s="51">
        <v>46091</v>
      </c>
      <c r="AD43" s="119">
        <v>46087</v>
      </c>
      <c r="AE43" s="129">
        <v>4090180195</v>
      </c>
      <c r="AF43" s="22">
        <v>46091</v>
      </c>
      <c r="AG43" s="234">
        <v>46092</v>
      </c>
      <c r="AH43" s="226">
        <v>46092</v>
      </c>
      <c r="AI43" s="225">
        <v>141546</v>
      </c>
      <c r="AJ43" s="225"/>
      <c r="AK43" s="9">
        <v>857.58</v>
      </c>
      <c r="AL43" s="28"/>
    </row>
    <row r="44" spans="1:38" ht="24.75" customHeight="1">
      <c r="A44" s="91" t="s">
        <v>371</v>
      </c>
      <c r="B44" s="91">
        <v>180196</v>
      </c>
      <c r="C44" s="161" t="s">
        <v>39</v>
      </c>
      <c r="D44" s="4" t="s">
        <v>142</v>
      </c>
      <c r="E44" s="21">
        <v>46084</v>
      </c>
      <c r="F44" s="12"/>
      <c r="G44" s="12"/>
      <c r="H44" s="1"/>
      <c r="I44" s="1"/>
      <c r="J44" s="1"/>
      <c r="K44" s="2" t="s">
        <v>60</v>
      </c>
      <c r="L44" s="1" t="s">
        <v>45</v>
      </c>
      <c r="M44" s="3" t="s">
        <v>46</v>
      </c>
      <c r="N44" s="3" t="s">
        <v>47</v>
      </c>
      <c r="O44" s="40" t="s">
        <v>372</v>
      </c>
      <c r="P44" s="176"/>
      <c r="Q44" s="169" t="s">
        <v>126</v>
      </c>
      <c r="R44" s="15" t="s">
        <v>373</v>
      </c>
      <c r="S44" s="15" t="s">
        <v>374</v>
      </c>
      <c r="T44" s="189" t="s">
        <v>76</v>
      </c>
      <c r="U44" s="8" t="str">
        <f>VLOOKUP('IMPO TERR'!T44,'Matriz datos'!$J$2:$K$10,2,0)</f>
        <v>AV. PDTE. EDUARDO FREI 8301, QUILICURA</v>
      </c>
      <c r="V44" s="63" t="s">
        <v>375</v>
      </c>
      <c r="W44" s="64"/>
      <c r="X44" s="4" t="s">
        <v>376</v>
      </c>
      <c r="Y44" s="130" t="s">
        <v>377</v>
      </c>
      <c r="Z44" s="127">
        <v>2605113362</v>
      </c>
      <c r="AA44" s="4">
        <v>2605114515</v>
      </c>
      <c r="AB44" s="243">
        <v>46089.714236111111</v>
      </c>
      <c r="AC44" s="58">
        <v>46090</v>
      </c>
      <c r="AD44" s="119">
        <v>46087</v>
      </c>
      <c r="AE44" s="129">
        <v>4090180196</v>
      </c>
      <c r="AF44" s="23">
        <v>46090</v>
      </c>
      <c r="AG44" s="42">
        <v>46090</v>
      </c>
      <c r="AH44" s="229">
        <v>46091</v>
      </c>
      <c r="AI44" s="225">
        <v>141509</v>
      </c>
      <c r="AJ44" s="225"/>
      <c r="AK44" s="9">
        <v>857.58</v>
      </c>
      <c r="AL44" s="28"/>
    </row>
    <row r="45" spans="1:38" ht="24.75" customHeight="1">
      <c r="A45" s="91" t="s">
        <v>378</v>
      </c>
      <c r="B45" s="91">
        <v>180198</v>
      </c>
      <c r="C45" s="161" t="s">
        <v>39</v>
      </c>
      <c r="D45" s="1" t="s">
        <v>58</v>
      </c>
      <c r="E45" s="21">
        <v>46084</v>
      </c>
      <c r="F45" s="12"/>
      <c r="G45" s="12"/>
      <c r="H45" s="1"/>
      <c r="I45" s="1"/>
      <c r="J45" s="1"/>
      <c r="K45" s="2" t="s">
        <v>44</v>
      </c>
      <c r="L45" s="1" t="s">
        <v>256</v>
      </c>
      <c r="M45" s="3" t="s">
        <v>46</v>
      </c>
      <c r="N45" s="3" t="s">
        <v>47</v>
      </c>
      <c r="O45" s="40" t="s">
        <v>379</v>
      </c>
      <c r="P45" s="176"/>
      <c r="Q45" s="169" t="s">
        <v>265</v>
      </c>
      <c r="R45" s="30" t="s">
        <v>380</v>
      </c>
      <c r="S45" s="30" t="s">
        <v>381</v>
      </c>
      <c r="T45" s="189" t="s">
        <v>76</v>
      </c>
      <c r="U45" s="8" t="str">
        <f>VLOOKUP('IMPO TERR'!T45,'Matriz datos'!$J$2:$K$10,2,0)</f>
        <v>AV. PDTE. EDUARDO FREI 8301, QUILICURA</v>
      </c>
      <c r="W45" s="64"/>
      <c r="X45" s="4" t="s">
        <v>382</v>
      </c>
      <c r="Y45" s="130" t="s">
        <v>383</v>
      </c>
      <c r="Z45" s="127">
        <v>2605108328</v>
      </c>
      <c r="AA45" s="4">
        <v>2605109841</v>
      </c>
      <c r="AB45" s="46">
        <v>46086.15730324074</v>
      </c>
      <c r="AC45" s="42">
        <v>46087</v>
      </c>
      <c r="AD45" s="119">
        <v>46085</v>
      </c>
      <c r="AE45" s="129">
        <v>4090180198</v>
      </c>
      <c r="AF45" s="23">
        <v>46086</v>
      </c>
      <c r="AG45" s="224">
        <v>46087.596365740741</v>
      </c>
      <c r="AH45" s="43">
        <v>46091</v>
      </c>
      <c r="AI45" s="80"/>
      <c r="AJ45" s="225"/>
      <c r="AK45" s="9">
        <v>857.58</v>
      </c>
      <c r="AL45" s="28"/>
    </row>
    <row r="46" spans="1:38" ht="24.75" customHeight="1">
      <c r="A46" s="91" t="s">
        <v>384</v>
      </c>
      <c r="B46" s="91">
        <v>180199</v>
      </c>
      <c r="C46" s="161" t="s">
        <v>39</v>
      </c>
      <c r="D46" s="4" t="s">
        <v>142</v>
      </c>
      <c r="E46" s="21">
        <v>46084</v>
      </c>
      <c r="F46" s="12"/>
      <c r="G46" s="12"/>
      <c r="H46" s="1"/>
      <c r="I46" s="1"/>
      <c r="J46" s="1"/>
      <c r="K46" s="2" t="s">
        <v>44</v>
      </c>
      <c r="L46" s="1" t="s">
        <v>61</v>
      </c>
      <c r="M46" s="3" t="s">
        <v>46</v>
      </c>
      <c r="N46" s="3" t="s">
        <v>47</v>
      </c>
      <c r="O46" s="40" t="s">
        <v>385</v>
      </c>
      <c r="P46" s="176"/>
      <c r="Q46" s="169" t="s">
        <v>99</v>
      </c>
      <c r="R46" s="15" t="s">
        <v>386</v>
      </c>
      <c r="S46" s="15" t="s">
        <v>387</v>
      </c>
      <c r="T46" s="189" t="s">
        <v>102</v>
      </c>
      <c r="U46" s="8" t="str">
        <f>VLOOKUP('IMPO TERR'!T46,'Matriz datos'!$J$2:$K$10,2,0)</f>
        <v>AV. AMERICO VESPUCIO 0350, QUILICURA</v>
      </c>
      <c r="V46" s="63" t="s">
        <v>388</v>
      </c>
      <c r="W46" s="72"/>
      <c r="X46" s="4" t="s">
        <v>389</v>
      </c>
      <c r="Y46" s="130" t="s">
        <v>390</v>
      </c>
      <c r="Z46" s="127">
        <v>2605109779</v>
      </c>
      <c r="AA46" s="4">
        <v>2605112451</v>
      </c>
      <c r="AB46" s="227">
        <v>46089.79310185185</v>
      </c>
      <c r="AC46" s="226">
        <v>46090</v>
      </c>
      <c r="AD46" s="119">
        <v>46087</v>
      </c>
      <c r="AE46" s="129">
        <v>4090180199</v>
      </c>
      <c r="AF46" s="23">
        <v>46090</v>
      </c>
      <c r="AG46" s="232">
        <v>46090</v>
      </c>
      <c r="AH46" s="43">
        <v>46091</v>
      </c>
      <c r="AI46" s="225">
        <v>141511</v>
      </c>
      <c r="AJ46" s="225"/>
      <c r="AK46" s="9">
        <v>857.58</v>
      </c>
      <c r="AL46" s="28"/>
    </row>
    <row r="47" spans="1:38" ht="24.75" customHeight="1">
      <c r="A47" s="91" t="s">
        <v>391</v>
      </c>
      <c r="B47" s="91">
        <v>180201</v>
      </c>
      <c r="C47" s="161" t="s">
        <v>39</v>
      </c>
      <c r="D47" s="1" t="s">
        <v>58</v>
      </c>
      <c r="E47" s="21">
        <v>46084</v>
      </c>
      <c r="F47" s="12"/>
      <c r="G47" s="12"/>
      <c r="H47" s="1"/>
      <c r="I47" s="1"/>
      <c r="J47" s="1"/>
      <c r="K47" s="2" t="s">
        <v>44</v>
      </c>
      <c r="L47" s="1" t="s">
        <v>256</v>
      </c>
      <c r="M47" s="3" t="s">
        <v>46</v>
      </c>
      <c r="N47" s="3" t="s">
        <v>47</v>
      </c>
      <c r="O47" s="40" t="s">
        <v>392</v>
      </c>
      <c r="P47" s="176"/>
      <c r="Q47" s="169" t="s">
        <v>258</v>
      </c>
      <c r="R47" s="30" t="s">
        <v>393</v>
      </c>
      <c r="S47" s="30" t="s">
        <v>394</v>
      </c>
      <c r="T47" s="189" t="s">
        <v>395</v>
      </c>
      <c r="U47" s="8" t="str">
        <f>VLOOKUP('IMPO TERR'!T47,'Matriz datos'!$J$2:$K$10,2,0)</f>
        <v>CAMINO LO AGUIRRE SUR 537, PUDAHUEL </v>
      </c>
      <c r="V47" s="84" t="s">
        <v>396</v>
      </c>
      <c r="W47" s="219" t="s">
        <v>397</v>
      </c>
      <c r="X47" s="4" t="s">
        <v>398</v>
      </c>
      <c r="Z47" s="127">
        <v>2605108680</v>
      </c>
      <c r="AA47" s="4">
        <v>2605110346</v>
      </c>
      <c r="AB47" s="46">
        <v>46085.890706018516</v>
      </c>
      <c r="AC47" s="42">
        <v>46086</v>
      </c>
      <c r="AD47" s="117">
        <v>46085</v>
      </c>
      <c r="AE47" s="127">
        <v>4090180201</v>
      </c>
      <c r="AF47" s="22">
        <v>46086</v>
      </c>
      <c r="AG47" s="227">
        <v>46086.737673611111</v>
      </c>
      <c r="AH47" s="57">
        <v>46086.831087962964</v>
      </c>
      <c r="AI47" s="225"/>
      <c r="AJ47" s="225"/>
      <c r="AK47" s="9">
        <v>857.58</v>
      </c>
      <c r="AL47" s="28"/>
    </row>
    <row r="48" spans="1:38" ht="24.75" customHeight="1">
      <c r="A48" s="91" t="s">
        <v>399</v>
      </c>
      <c r="B48" s="91">
        <v>180202</v>
      </c>
      <c r="C48" s="161" t="s">
        <v>39</v>
      </c>
      <c r="D48" s="4" t="s">
        <v>142</v>
      </c>
      <c r="E48" s="21">
        <v>46084</v>
      </c>
      <c r="F48" s="12"/>
      <c r="G48" s="12"/>
      <c r="H48" s="1"/>
      <c r="I48" s="1"/>
      <c r="J48" s="1"/>
      <c r="K48" s="2" t="s">
        <v>44</v>
      </c>
      <c r="L48" s="1" t="s">
        <v>61</v>
      </c>
      <c r="M48" s="3" t="s">
        <v>46</v>
      </c>
      <c r="N48" s="3" t="s">
        <v>47</v>
      </c>
      <c r="O48" s="40" t="s">
        <v>400</v>
      </c>
      <c r="P48" s="176">
        <v>2026</v>
      </c>
      <c r="Q48" s="169" t="s">
        <v>166</v>
      </c>
      <c r="R48" s="18" t="s">
        <v>401</v>
      </c>
      <c r="S48" s="15" t="s">
        <v>402</v>
      </c>
      <c r="T48" s="189" t="s">
        <v>403</v>
      </c>
      <c r="U48" s="8" t="str">
        <f>VLOOKUP('IMPO TERR'!T48,'Matriz datos'!$J$2:$K$10,2,0)</f>
        <v>CORDILLERA 451, QUILICURA</v>
      </c>
      <c r="V48" s="69" t="s">
        <v>404</v>
      </c>
      <c r="W48" s="98"/>
      <c r="X48" s="4" t="s">
        <v>405</v>
      </c>
      <c r="Z48" s="127">
        <v>2605113395</v>
      </c>
      <c r="AA48" s="4">
        <v>2605114518</v>
      </c>
      <c r="AB48" s="227">
        <v>46088.621296296296</v>
      </c>
      <c r="AC48" s="226">
        <v>46089</v>
      </c>
      <c r="AD48" s="119">
        <v>46087</v>
      </c>
      <c r="AE48" s="129">
        <v>4090180202</v>
      </c>
      <c r="AF48" s="23">
        <v>46090</v>
      </c>
      <c r="AG48" s="234">
        <v>46090</v>
      </c>
      <c r="AH48" s="226">
        <v>46092</v>
      </c>
      <c r="AI48" s="225">
        <v>141494</v>
      </c>
      <c r="AJ48" s="225"/>
      <c r="AK48" s="9">
        <v>857.58</v>
      </c>
      <c r="AL48" s="28"/>
    </row>
    <row r="49" spans="1:38" ht="24.75" customHeight="1">
      <c r="A49" s="91" t="s">
        <v>406</v>
      </c>
      <c r="B49" s="91">
        <v>180213</v>
      </c>
      <c r="C49" s="161" t="s">
        <v>39</v>
      </c>
      <c r="D49" s="1" t="s">
        <v>58</v>
      </c>
      <c r="E49" s="21">
        <v>46084</v>
      </c>
      <c r="F49" s="14"/>
      <c r="G49" s="14"/>
      <c r="H49" s="10"/>
      <c r="I49" s="10"/>
      <c r="J49" s="10"/>
      <c r="K49" s="2" t="s">
        <v>44</v>
      </c>
      <c r="L49" s="1" t="s">
        <v>256</v>
      </c>
      <c r="M49" s="3" t="s">
        <v>46</v>
      </c>
      <c r="N49" s="3" t="s">
        <v>47</v>
      </c>
      <c r="O49" s="40" t="s">
        <v>407</v>
      </c>
      <c r="P49" s="176"/>
      <c r="Q49" s="169" t="s">
        <v>408</v>
      </c>
      <c r="R49" s="30" t="s">
        <v>409</v>
      </c>
      <c r="S49" s="30" t="s">
        <v>410</v>
      </c>
      <c r="T49" s="189" t="s">
        <v>76</v>
      </c>
      <c r="U49" s="8" t="str">
        <f>VLOOKUP('IMPO TERR'!T49,'Matriz datos'!$J$2:$K$10,2,0)</f>
        <v>AV. PDTE. EDUARDO FREI 8301, QUILICURA</v>
      </c>
      <c r="V49" s="216" t="s">
        <v>411</v>
      </c>
      <c r="W49" s="64" t="s">
        <v>412</v>
      </c>
      <c r="X49" s="4" t="s">
        <v>413</v>
      </c>
      <c r="Z49" s="127">
        <v>2605110890</v>
      </c>
      <c r="AA49" s="4">
        <v>2605112505</v>
      </c>
      <c r="AB49" s="46">
        <v>46085.809814814813</v>
      </c>
      <c r="AC49" s="42">
        <v>46086</v>
      </c>
      <c r="AD49" s="119">
        <v>46087</v>
      </c>
      <c r="AE49" s="129">
        <v>4090180213</v>
      </c>
      <c r="AF49" s="23">
        <v>46087</v>
      </c>
      <c r="AG49" s="227">
        <v>46087.775717592594</v>
      </c>
      <c r="AH49" s="226">
        <v>46090</v>
      </c>
      <c r="AI49" s="80"/>
      <c r="AJ49" s="225"/>
      <c r="AK49" s="9">
        <v>857.58</v>
      </c>
      <c r="AL49" s="29"/>
    </row>
    <row r="50" spans="1:38" ht="24.75" customHeight="1">
      <c r="A50" s="91" t="s">
        <v>414</v>
      </c>
      <c r="B50" s="91">
        <v>180226</v>
      </c>
      <c r="C50" s="161" t="s">
        <v>39</v>
      </c>
      <c r="D50" s="4" t="s">
        <v>142</v>
      </c>
      <c r="E50" s="21">
        <v>46085</v>
      </c>
      <c r="F50" s="12"/>
      <c r="G50" s="12"/>
      <c r="H50" s="1"/>
      <c r="I50" s="1"/>
      <c r="J50" s="1"/>
      <c r="K50" s="2" t="s">
        <v>44</v>
      </c>
      <c r="L50" s="1" t="s">
        <v>45</v>
      </c>
      <c r="M50" s="3" t="s">
        <v>46</v>
      </c>
      <c r="N50" s="1" t="s">
        <v>47</v>
      </c>
      <c r="O50" s="40" t="s">
        <v>415</v>
      </c>
      <c r="P50" s="176"/>
      <c r="Q50" s="169" t="s">
        <v>49</v>
      </c>
      <c r="R50" s="15" t="s">
        <v>416</v>
      </c>
      <c r="S50" s="15" t="s">
        <v>417</v>
      </c>
      <c r="T50" s="189" t="s">
        <v>76</v>
      </c>
      <c r="U50" s="8" t="str">
        <f>VLOOKUP('IMPO TERR'!T50,'Matriz datos'!$J$2:$K$10,2,0)</f>
        <v>AV. PDTE. EDUARDO FREI 8301, QUILICURA</v>
      </c>
      <c r="V50" s="71" t="s">
        <v>418</v>
      </c>
      <c r="W50" s="74" t="s">
        <v>419</v>
      </c>
      <c r="X50" s="4" t="s">
        <v>420</v>
      </c>
      <c r="Z50" s="127">
        <v>2605113776</v>
      </c>
      <c r="AA50" s="4">
        <v>2605114358</v>
      </c>
      <c r="AB50" s="46">
        <v>46089.799814814818</v>
      </c>
      <c r="AC50" s="43">
        <v>46090</v>
      </c>
      <c r="AD50" s="119">
        <v>46087</v>
      </c>
      <c r="AE50" s="129">
        <v>4090180226</v>
      </c>
      <c r="AF50" s="23">
        <v>46090</v>
      </c>
      <c r="AG50" s="234">
        <v>46090</v>
      </c>
      <c r="AH50" s="226">
        <v>46090</v>
      </c>
      <c r="AI50" s="225">
        <v>141500</v>
      </c>
      <c r="AJ50" s="225"/>
      <c r="AK50" s="9">
        <v>857.58</v>
      </c>
      <c r="AL50" s="28"/>
    </row>
    <row r="51" spans="1:38" ht="24.75" customHeight="1">
      <c r="A51" s="91" t="s">
        <v>421</v>
      </c>
      <c r="B51" s="91">
        <v>180228</v>
      </c>
      <c r="C51" s="161" t="s">
        <v>39</v>
      </c>
      <c r="D51" s="4" t="s">
        <v>40</v>
      </c>
      <c r="E51" s="21">
        <v>46085</v>
      </c>
      <c r="F51" s="14"/>
      <c r="G51" s="14"/>
      <c r="H51" s="10"/>
      <c r="I51" s="10"/>
      <c r="J51" s="10"/>
      <c r="K51" s="2" t="s">
        <v>60</v>
      </c>
      <c r="L51" s="1" t="s">
        <v>45</v>
      </c>
      <c r="M51" s="3" t="s">
        <v>46</v>
      </c>
      <c r="N51" s="1" t="s">
        <v>47</v>
      </c>
      <c r="O51" s="40" t="s">
        <v>422</v>
      </c>
      <c r="P51" s="176"/>
      <c r="Q51" s="169" t="s">
        <v>135</v>
      </c>
      <c r="R51" s="15" t="s">
        <v>423</v>
      </c>
      <c r="S51" s="15" t="s">
        <v>424</v>
      </c>
      <c r="T51" s="189" t="s">
        <v>76</v>
      </c>
      <c r="U51" s="8" t="str">
        <f>VLOOKUP('IMPO TERR'!T51,'Matriz datos'!$J$2:$K$10,2,0)</f>
        <v>AV. PDTE. EDUARDO FREI 8301, QUILICURA</v>
      </c>
      <c r="V51" s="63" t="s">
        <v>425</v>
      </c>
      <c r="W51" s="72" t="s">
        <v>426</v>
      </c>
      <c r="X51" s="4" t="s">
        <v>427</v>
      </c>
      <c r="Z51" s="127">
        <v>2605113989</v>
      </c>
      <c r="AA51" s="4">
        <v>2605114359</v>
      </c>
      <c r="AB51" s="227">
        <v>46089.287129629629</v>
      </c>
      <c r="AC51" s="226">
        <v>46090</v>
      </c>
      <c r="AD51" s="117">
        <v>46087</v>
      </c>
      <c r="AE51" s="127">
        <v>4090180228</v>
      </c>
      <c r="AF51" s="23">
        <v>46090</v>
      </c>
      <c r="AG51" s="42">
        <v>46090</v>
      </c>
      <c r="AH51" s="229">
        <v>46091</v>
      </c>
      <c r="AI51" s="225">
        <v>141508</v>
      </c>
      <c r="AJ51" s="225"/>
      <c r="AK51" s="9">
        <v>857.58</v>
      </c>
      <c r="AL51" s="29"/>
    </row>
    <row r="52" spans="1:38" ht="24.75" customHeight="1">
      <c r="A52" s="91" t="s">
        <v>428</v>
      </c>
      <c r="B52" s="91">
        <v>180230</v>
      </c>
      <c r="C52" s="161" t="s">
        <v>39</v>
      </c>
      <c r="D52" s="4" t="s">
        <v>40</v>
      </c>
      <c r="E52" s="21">
        <v>46085</v>
      </c>
      <c r="F52" s="14"/>
      <c r="G52" s="14"/>
      <c r="H52" s="10"/>
      <c r="I52" s="10"/>
      <c r="J52" s="10"/>
      <c r="K52" s="2" t="s">
        <v>44</v>
      </c>
      <c r="L52" s="1" t="s">
        <v>45</v>
      </c>
      <c r="M52" s="3" t="s">
        <v>46</v>
      </c>
      <c r="N52" s="1" t="s">
        <v>47</v>
      </c>
      <c r="O52" s="40" t="s">
        <v>429</v>
      </c>
      <c r="P52" s="176">
        <v>40352</v>
      </c>
      <c r="Q52" s="169" t="s">
        <v>430</v>
      </c>
      <c r="R52" s="15" t="s">
        <v>431</v>
      </c>
      <c r="S52" s="15" t="s">
        <v>432</v>
      </c>
      <c r="T52" s="189" t="s">
        <v>102</v>
      </c>
      <c r="U52" s="8" t="str">
        <f>VLOOKUP('IMPO TERR'!T51,'Matriz datos'!$J$2:$K$10,2,0)</f>
        <v>AV. PDTE. EDUARDO FREI 8301, QUILICURA</v>
      </c>
      <c r="V52" s="63" t="s">
        <v>433</v>
      </c>
      <c r="W52" s="72" t="s">
        <v>434</v>
      </c>
      <c r="X52" s="4" t="s">
        <v>435</v>
      </c>
      <c r="Z52" s="127">
        <v>2605114628</v>
      </c>
      <c r="AA52" s="4">
        <v>2605117796</v>
      </c>
      <c r="AB52" s="234">
        <v>46094</v>
      </c>
      <c r="AC52" s="229">
        <v>46095</v>
      </c>
      <c r="AD52" s="37">
        <v>46090</v>
      </c>
      <c r="AE52" s="129">
        <v>4090180230</v>
      </c>
      <c r="AF52" s="23">
        <v>46095</v>
      </c>
      <c r="AG52" s="232">
        <v>46097</v>
      </c>
      <c r="AH52" s="43">
        <v>46097</v>
      </c>
      <c r="AI52" s="244">
        <v>41609</v>
      </c>
      <c r="AJ52" s="225"/>
      <c r="AK52" s="9">
        <v>857.58</v>
      </c>
      <c r="AL52" s="29"/>
    </row>
    <row r="53" spans="1:38" ht="24.75" customHeight="1">
      <c r="A53" s="91" t="s">
        <v>436</v>
      </c>
      <c r="B53" s="91">
        <v>180242</v>
      </c>
      <c r="C53" s="161" t="s">
        <v>39</v>
      </c>
      <c r="D53" s="41" t="s">
        <v>40</v>
      </c>
      <c r="E53" s="21">
        <v>46086</v>
      </c>
      <c r="F53" s="14"/>
      <c r="G53" s="14" t="s">
        <v>437</v>
      </c>
      <c r="H53" s="10"/>
      <c r="I53" s="10"/>
      <c r="J53" s="10"/>
      <c r="K53" s="2" t="s">
        <v>60</v>
      </c>
      <c r="L53" s="1" t="s">
        <v>45</v>
      </c>
      <c r="M53" s="3" t="s">
        <v>46</v>
      </c>
      <c r="N53" s="1" t="s">
        <v>47</v>
      </c>
      <c r="O53" s="40" t="s">
        <v>438</v>
      </c>
      <c r="P53" s="176"/>
      <c r="Q53" s="169" t="s">
        <v>221</v>
      </c>
      <c r="R53" s="15" t="s">
        <v>439</v>
      </c>
      <c r="S53" s="15" t="s">
        <v>440</v>
      </c>
      <c r="T53" s="189" t="s">
        <v>102</v>
      </c>
      <c r="U53" s="8" t="s">
        <v>441</v>
      </c>
      <c r="V53" s="63" t="s">
        <v>442</v>
      </c>
      <c r="W53" s="72" t="s">
        <v>443</v>
      </c>
      <c r="X53" s="4" t="s">
        <v>444</v>
      </c>
      <c r="Z53" s="127">
        <v>2605111955</v>
      </c>
      <c r="AA53" s="4">
        <v>2605112639</v>
      </c>
      <c r="AB53" s="224">
        <v>46089.864548611113</v>
      </c>
      <c r="AC53" s="43">
        <v>46090</v>
      </c>
      <c r="AD53" s="119">
        <v>46087</v>
      </c>
      <c r="AE53" s="129">
        <v>4090180242</v>
      </c>
      <c r="AF53" s="23">
        <v>46090</v>
      </c>
      <c r="AG53" s="234">
        <v>46090</v>
      </c>
      <c r="AH53" s="237">
        <v>46090</v>
      </c>
      <c r="AI53" s="216">
        <v>141490</v>
      </c>
      <c r="AJ53" s="225"/>
      <c r="AK53" s="9">
        <v>857.58</v>
      </c>
      <c r="AL53" s="29"/>
    </row>
    <row r="54" spans="1:38" ht="24.75" customHeight="1">
      <c r="A54" s="91" t="s">
        <v>445</v>
      </c>
      <c r="B54" s="91">
        <v>180249</v>
      </c>
      <c r="C54" s="161" t="s">
        <v>39</v>
      </c>
      <c r="D54" s="4" t="s">
        <v>40</v>
      </c>
      <c r="E54" s="21">
        <v>46086</v>
      </c>
      <c r="F54" s="12"/>
      <c r="G54" s="12"/>
      <c r="H54" s="1"/>
      <c r="I54" s="1"/>
      <c r="J54" s="1"/>
      <c r="K54" s="2" t="s">
        <v>60</v>
      </c>
      <c r="L54" s="1" t="s">
        <v>45</v>
      </c>
      <c r="M54" s="3" t="s">
        <v>46</v>
      </c>
      <c r="N54" s="1" t="s">
        <v>47</v>
      </c>
      <c r="O54" s="8" t="s">
        <v>446</v>
      </c>
      <c r="P54" s="176"/>
      <c r="Q54" s="169" t="s">
        <v>49</v>
      </c>
      <c r="R54" s="216" t="s">
        <v>447</v>
      </c>
      <c r="S54" s="15" t="s">
        <v>448</v>
      </c>
      <c r="T54" s="189" t="s">
        <v>102</v>
      </c>
      <c r="U54" s="8" t="str">
        <f>VLOOKUP('IMPO TERR'!T54,'Matriz datos'!$J$2:$K$10,2,0)</f>
        <v>AV. AMERICO VESPUCIO 0350, QUILICURA</v>
      </c>
      <c r="V54" s="63" t="s">
        <v>449</v>
      </c>
      <c r="W54" s="64" t="s">
        <v>450</v>
      </c>
      <c r="X54" s="4" t="s">
        <v>451</v>
      </c>
      <c r="Z54" s="127">
        <v>2605111677</v>
      </c>
      <c r="AA54" s="4">
        <v>2605112425</v>
      </c>
      <c r="AB54" s="134">
        <v>46090.026643518519</v>
      </c>
      <c r="AC54" s="43">
        <v>46090</v>
      </c>
      <c r="AD54" s="119">
        <v>46087</v>
      </c>
      <c r="AE54" s="129">
        <v>4090180249</v>
      </c>
      <c r="AF54" s="23">
        <v>46090</v>
      </c>
      <c r="AG54" s="232">
        <v>46090</v>
      </c>
      <c r="AH54" s="43">
        <v>46090</v>
      </c>
      <c r="AI54" s="230">
        <v>141498</v>
      </c>
      <c r="AJ54" s="225"/>
      <c r="AK54" s="9">
        <v>857.58</v>
      </c>
      <c r="AL54" s="28"/>
    </row>
    <row r="55" spans="1:38" ht="24.75" customHeight="1">
      <c r="A55" s="91" t="s">
        <v>452</v>
      </c>
      <c r="B55" s="91">
        <v>180257</v>
      </c>
      <c r="C55" s="161" t="s">
        <v>39</v>
      </c>
      <c r="D55" s="41" t="s">
        <v>40</v>
      </c>
      <c r="E55" s="21">
        <v>46086</v>
      </c>
      <c r="F55" s="12"/>
      <c r="G55" s="12" t="s">
        <v>453</v>
      </c>
      <c r="H55" s="1"/>
      <c r="I55" s="1"/>
      <c r="J55" s="1"/>
      <c r="K55" s="2" t="s">
        <v>44</v>
      </c>
      <c r="L55" s="1" t="s">
        <v>256</v>
      </c>
      <c r="M55" s="3" t="s">
        <v>46</v>
      </c>
      <c r="N55" s="1" t="s">
        <v>47</v>
      </c>
      <c r="O55" s="93" t="s">
        <v>454</v>
      </c>
      <c r="P55" s="176"/>
      <c r="Q55" s="169" t="s">
        <v>455</v>
      </c>
      <c r="R55" s="216" t="s">
        <v>456</v>
      </c>
      <c r="S55" s="216" t="s">
        <v>457</v>
      </c>
      <c r="T55" s="189" t="s">
        <v>395</v>
      </c>
      <c r="U55" s="8" t="str">
        <f>VLOOKUP('IMPO TERR'!T55,'Matriz datos'!$J$2:$K$10,2,0)</f>
        <v>CAMINO LO AGUIRRE SUR 537, PUDAHUEL </v>
      </c>
      <c r="V55" s="63" t="s">
        <v>458</v>
      </c>
      <c r="W55" s="64" t="s">
        <v>459</v>
      </c>
      <c r="X55" s="4" t="s">
        <v>460</v>
      </c>
      <c r="Z55" s="127">
        <v>2605113022</v>
      </c>
      <c r="AA55" s="4">
        <v>2605114351</v>
      </c>
      <c r="AB55" s="224">
        <v>46087.834062499998</v>
      </c>
      <c r="AC55" s="43">
        <v>46088</v>
      </c>
      <c r="AD55" s="119">
        <v>46087</v>
      </c>
      <c r="AE55" s="129">
        <v>4090180257</v>
      </c>
      <c r="AF55" s="23">
        <v>46090</v>
      </c>
      <c r="AG55" s="42">
        <v>46091</v>
      </c>
      <c r="AH55" s="239">
        <v>46092</v>
      </c>
      <c r="AI55" s="225">
        <v>141516</v>
      </c>
      <c r="AJ55" s="225"/>
      <c r="AK55" s="9"/>
      <c r="AL55" s="28"/>
    </row>
    <row r="56" spans="1:38" ht="24.75" customHeight="1">
      <c r="A56" s="91" t="s">
        <v>461</v>
      </c>
      <c r="B56" s="91">
        <v>180261</v>
      </c>
      <c r="C56" s="161" t="s">
        <v>39</v>
      </c>
      <c r="D56" s="41" t="s">
        <v>40</v>
      </c>
      <c r="E56" s="21">
        <v>46086</v>
      </c>
      <c r="F56" s="12"/>
      <c r="G56" s="12"/>
      <c r="H56" s="1"/>
      <c r="I56" s="1"/>
      <c r="J56" s="8"/>
      <c r="K56" s="2" t="s">
        <v>44</v>
      </c>
      <c r="L56" s="1" t="s">
        <v>61</v>
      </c>
      <c r="M56" s="3" t="s">
        <v>46</v>
      </c>
      <c r="N56" s="1" t="s">
        <v>47</v>
      </c>
      <c r="O56" s="245" t="s">
        <v>462</v>
      </c>
      <c r="P56" s="177">
        <v>2026</v>
      </c>
      <c r="Q56" s="170" t="s">
        <v>166</v>
      </c>
      <c r="R56" s="216" t="s">
        <v>463</v>
      </c>
      <c r="S56" s="216" t="s">
        <v>464</v>
      </c>
      <c r="T56" s="189" t="s">
        <v>188</v>
      </c>
      <c r="U56" s="8" t="str">
        <f>VLOOKUP('IMPO TERR'!T56,'Matriz datos'!$J$2:$K$10,2,0)</f>
        <v>AV. EL PARRON 345, LA CISTERNA</v>
      </c>
      <c r="V56" s="63" t="s">
        <v>465</v>
      </c>
      <c r="W56" s="64"/>
      <c r="X56" s="4" t="s">
        <v>466</v>
      </c>
      <c r="Z56" s="127">
        <v>2605114146</v>
      </c>
      <c r="AA56" s="4">
        <v>2605117769</v>
      </c>
      <c r="AB56" s="234">
        <v>46091</v>
      </c>
      <c r="AC56" s="246">
        <v>46092</v>
      </c>
      <c r="AD56" s="21">
        <v>46090</v>
      </c>
      <c r="AE56" s="127">
        <v>4090180261</v>
      </c>
      <c r="AF56" s="22">
        <v>46092</v>
      </c>
      <c r="AG56" s="115">
        <v>46092</v>
      </c>
      <c r="AH56" s="234">
        <v>46094</v>
      </c>
      <c r="AI56" s="225">
        <v>141554</v>
      </c>
      <c r="AJ56" s="222">
        <v>28770000</v>
      </c>
      <c r="AK56" s="9"/>
      <c r="AL56" s="28"/>
    </row>
    <row r="57" spans="1:38" ht="24.75" customHeight="1">
      <c r="A57" s="91" t="s">
        <v>467</v>
      </c>
      <c r="B57" s="91">
        <v>180263</v>
      </c>
      <c r="C57" s="161" t="s">
        <v>39</v>
      </c>
      <c r="D57" s="4" t="s">
        <v>40</v>
      </c>
      <c r="E57" s="21">
        <v>46086</v>
      </c>
      <c r="F57" s="12"/>
      <c r="G57" s="12"/>
      <c r="H57" s="1"/>
      <c r="I57" s="1"/>
      <c r="J57" s="1"/>
      <c r="K57" s="2" t="s">
        <v>44</v>
      </c>
      <c r="L57" s="1" t="s">
        <v>61</v>
      </c>
      <c r="M57" s="3" t="s">
        <v>46</v>
      </c>
      <c r="N57" s="1" t="s">
        <v>47</v>
      </c>
      <c r="O57" s="247" t="s">
        <v>468</v>
      </c>
      <c r="P57" s="176"/>
      <c r="Q57" s="169" t="s">
        <v>63</v>
      </c>
      <c r="R57" s="216" t="s">
        <v>469</v>
      </c>
      <c r="S57" s="216" t="s">
        <v>470</v>
      </c>
      <c r="T57" s="189" t="s">
        <v>395</v>
      </c>
      <c r="U57" s="8" t="str">
        <f>VLOOKUP('IMPO TERR'!T57,'Matriz datos'!$J$2:$K$10,2,0)</f>
        <v>CAMINO LO AGUIRRE SUR 537, PUDAHUEL </v>
      </c>
      <c r="V57" s="63" t="s">
        <v>471</v>
      </c>
      <c r="W57" s="64" t="s">
        <v>472</v>
      </c>
      <c r="X57" s="4" t="s">
        <v>473</v>
      </c>
      <c r="Z57" s="127">
        <v>2605112925</v>
      </c>
      <c r="AA57" s="4">
        <v>2605114353</v>
      </c>
      <c r="AB57" s="248">
        <v>46091</v>
      </c>
      <c r="AC57" s="226">
        <v>46091</v>
      </c>
      <c r="AD57" s="117">
        <v>46088</v>
      </c>
      <c r="AE57" s="127">
        <v>4090180263</v>
      </c>
      <c r="AF57" s="22">
        <v>46091</v>
      </c>
      <c r="AG57" s="238">
        <v>46091</v>
      </c>
      <c r="AH57" s="226">
        <v>46092</v>
      </c>
      <c r="AI57" s="225">
        <v>141533</v>
      </c>
      <c r="AJ57" s="225"/>
      <c r="AK57" s="9"/>
      <c r="AL57" s="28"/>
    </row>
    <row r="58" spans="1:38" ht="24.75" customHeight="1">
      <c r="A58" s="91" t="s">
        <v>474</v>
      </c>
      <c r="B58" s="91">
        <v>180265</v>
      </c>
      <c r="C58" s="161" t="s">
        <v>39</v>
      </c>
      <c r="D58" s="41" t="s">
        <v>40</v>
      </c>
      <c r="E58" s="21">
        <v>46086</v>
      </c>
      <c r="F58" s="12"/>
      <c r="G58" s="12"/>
      <c r="H58" s="1"/>
      <c r="I58" s="1"/>
      <c r="J58" s="1"/>
      <c r="K58" s="2" t="s">
        <v>44</v>
      </c>
      <c r="L58" s="1" t="s">
        <v>61</v>
      </c>
      <c r="M58" s="3" t="s">
        <v>46</v>
      </c>
      <c r="N58" s="1" t="s">
        <v>47</v>
      </c>
      <c r="O58" s="8" t="s">
        <v>475</v>
      </c>
      <c r="P58" s="176">
        <v>2026</v>
      </c>
      <c r="Q58" s="169" t="s">
        <v>166</v>
      </c>
      <c r="R58" s="18" t="s">
        <v>476</v>
      </c>
      <c r="S58" s="216" t="s">
        <v>477</v>
      </c>
      <c r="T58" s="189" t="s">
        <v>478</v>
      </c>
      <c r="U58" s="8" t="str">
        <f>VLOOKUP('IMPO TERR'!T58,'Matriz datos'!$J$2:$K$10,2,0)</f>
        <v>6 ORIENTE 152-D CALETERA ORIENTE ALTURA KM 39, PAINE</v>
      </c>
      <c r="V58" s="63" t="s">
        <v>479</v>
      </c>
      <c r="W58" s="72"/>
      <c r="X58" s="4" t="s">
        <v>480</v>
      </c>
      <c r="Z58" s="127">
        <v>2605115963</v>
      </c>
      <c r="AA58" s="152">
        <v>2605117795</v>
      </c>
      <c r="AB58" s="115">
        <v>46091</v>
      </c>
      <c r="AC58" s="234">
        <v>46092</v>
      </c>
      <c r="AD58" s="6">
        <v>46090</v>
      </c>
      <c r="AE58" s="127">
        <v>4090180265</v>
      </c>
      <c r="AF58" s="22">
        <v>46092</v>
      </c>
      <c r="AG58" s="42">
        <v>46092</v>
      </c>
      <c r="AH58" s="226">
        <v>46093</v>
      </c>
      <c r="AI58" s="225">
        <v>141550</v>
      </c>
      <c r="AJ58" s="225"/>
      <c r="AK58" s="9"/>
      <c r="AL58" s="28"/>
    </row>
    <row r="59" spans="1:38" ht="24.75" customHeight="1">
      <c r="A59" s="91" t="s">
        <v>481</v>
      </c>
      <c r="B59" s="91">
        <v>180284</v>
      </c>
      <c r="C59" s="161" t="s">
        <v>39</v>
      </c>
      <c r="D59" s="4" t="s">
        <v>40</v>
      </c>
      <c r="E59" s="21">
        <v>46087</v>
      </c>
      <c r="F59" s="12"/>
      <c r="G59" s="12"/>
      <c r="H59" s="1"/>
      <c r="I59" s="1"/>
      <c r="J59" s="1"/>
      <c r="K59" s="2" t="s">
        <v>44</v>
      </c>
      <c r="L59" s="1" t="s">
        <v>61</v>
      </c>
      <c r="M59" s="3" t="s">
        <v>46</v>
      </c>
      <c r="N59" s="1" t="s">
        <v>47</v>
      </c>
      <c r="O59" s="249" t="s">
        <v>482</v>
      </c>
      <c r="P59" s="176">
        <v>2026</v>
      </c>
      <c r="Q59" s="171" t="s">
        <v>166</v>
      </c>
      <c r="R59" s="216" t="s">
        <v>483</v>
      </c>
      <c r="S59" s="216" t="s">
        <v>484</v>
      </c>
      <c r="T59" s="189" t="s">
        <v>76</v>
      </c>
      <c r="U59" s="8" t="str">
        <f>VLOOKUP('IMPO TERR'!T59,'Matriz datos'!$J$2:$K$10,2,0)</f>
        <v>AV. PDTE. EDUARDO FREI 8301, QUILICURA</v>
      </c>
      <c r="V59" s="63" t="s">
        <v>485</v>
      </c>
      <c r="W59" s="64"/>
      <c r="X59" s="4" t="s">
        <v>486</v>
      </c>
      <c r="Z59" s="127">
        <v>2605116837</v>
      </c>
      <c r="AA59" s="4">
        <v>2605117897</v>
      </c>
      <c r="AB59" s="42">
        <v>46091</v>
      </c>
      <c r="AC59" s="229">
        <v>46092</v>
      </c>
      <c r="AD59" s="59">
        <v>46091</v>
      </c>
      <c r="AE59" s="127">
        <v>4090180284</v>
      </c>
      <c r="AF59" s="22">
        <v>46092</v>
      </c>
      <c r="AG59" s="248">
        <v>46092</v>
      </c>
      <c r="AH59" s="226">
        <v>46093</v>
      </c>
      <c r="AI59" s="225">
        <v>141551</v>
      </c>
      <c r="AJ59" s="244"/>
      <c r="AK59" s="9"/>
      <c r="AL59" s="28"/>
    </row>
    <row r="60" spans="1:38" ht="24.75" customHeight="1">
      <c r="A60" s="91" t="s">
        <v>487</v>
      </c>
      <c r="B60" s="91">
        <v>180286</v>
      </c>
      <c r="C60" s="161" t="s">
        <v>39</v>
      </c>
      <c r="D60" s="4" t="s">
        <v>40</v>
      </c>
      <c r="E60" s="21">
        <v>46087</v>
      </c>
      <c r="F60" s="12"/>
      <c r="G60" s="12"/>
      <c r="H60" s="1"/>
      <c r="I60" s="1"/>
      <c r="J60" s="1"/>
      <c r="K60" s="2" t="s">
        <v>60</v>
      </c>
      <c r="L60" s="1" t="s">
        <v>45</v>
      </c>
      <c r="M60" s="3" t="s">
        <v>46</v>
      </c>
      <c r="N60" s="1" t="s">
        <v>47</v>
      </c>
      <c r="O60" s="249" t="s">
        <v>488</v>
      </c>
      <c r="P60" s="176"/>
      <c r="Q60" s="169" t="s">
        <v>49</v>
      </c>
      <c r="R60" s="216" t="s">
        <v>489</v>
      </c>
      <c r="S60" s="216" t="s">
        <v>490</v>
      </c>
      <c r="T60" s="189" t="s">
        <v>66</v>
      </c>
      <c r="U60" s="8" t="str">
        <f>VLOOKUP('IMPO TERR'!T60,'Matriz datos'!$J$2:$K$10,2,0)</f>
        <v>CAMINO SANTA MARTA 2101, MAIPU</v>
      </c>
      <c r="V60" s="63" t="s">
        <v>491</v>
      </c>
      <c r="W60" s="73" t="s">
        <v>492</v>
      </c>
      <c r="X60" s="4" t="s">
        <v>493</v>
      </c>
      <c r="Z60" s="127">
        <v>2605115511</v>
      </c>
      <c r="AA60" s="4">
        <v>2605123254</v>
      </c>
      <c r="AB60" s="135">
        <v>46093</v>
      </c>
      <c r="AC60" s="43">
        <v>46094</v>
      </c>
      <c r="AD60" s="54">
        <v>46092</v>
      </c>
      <c r="AE60" s="130">
        <v>4090180286</v>
      </c>
      <c r="AF60" s="22">
        <v>46093</v>
      </c>
      <c r="AG60" s="115">
        <v>46094</v>
      </c>
      <c r="AH60" s="234">
        <v>46094</v>
      </c>
      <c r="AI60" s="225">
        <v>141587</v>
      </c>
      <c r="AJ60" s="217">
        <v>16820000</v>
      </c>
      <c r="AK60" s="9"/>
      <c r="AL60" s="28"/>
    </row>
    <row r="61" spans="1:38" ht="24.75" customHeight="1">
      <c r="A61" s="91" t="s">
        <v>494</v>
      </c>
      <c r="B61" s="91">
        <v>180288</v>
      </c>
      <c r="C61" s="161" t="s">
        <v>495</v>
      </c>
      <c r="D61" s="1" t="s">
        <v>58</v>
      </c>
      <c r="E61" s="21">
        <v>46087</v>
      </c>
      <c r="F61" s="12"/>
      <c r="G61" s="12"/>
      <c r="H61" s="1"/>
      <c r="I61" s="1"/>
      <c r="J61" s="1"/>
      <c r="K61" s="2" t="s">
        <v>44</v>
      </c>
      <c r="L61" s="1" t="s">
        <v>45</v>
      </c>
      <c r="M61" s="3" t="s">
        <v>46</v>
      </c>
      <c r="N61" s="1" t="s">
        <v>47</v>
      </c>
      <c r="O61" s="249" t="s">
        <v>496</v>
      </c>
      <c r="P61" s="176"/>
      <c r="Q61" s="169" t="s">
        <v>49</v>
      </c>
      <c r="R61" s="216" t="s">
        <v>497</v>
      </c>
      <c r="S61" s="216" t="s">
        <v>498</v>
      </c>
      <c r="T61" s="189" t="s">
        <v>76</v>
      </c>
      <c r="U61" s="8" t="str">
        <f>VLOOKUP('IMPO TERR'!T61,'Matriz datos'!$J$2:$K$10,2,0)</f>
        <v>AV. PDTE. EDUARDO FREI 8301, QUILICURA</v>
      </c>
      <c r="V61" s="63" t="s">
        <v>499</v>
      </c>
      <c r="W61" s="72" t="s">
        <v>500</v>
      </c>
      <c r="X61" s="4" t="s">
        <v>501</v>
      </c>
      <c r="Z61" s="127">
        <v>2605117066</v>
      </c>
      <c r="AA61" s="149">
        <v>2605117915</v>
      </c>
      <c r="AB61" s="244"/>
      <c r="AC61" s="239"/>
      <c r="AD61" s="21">
        <v>46091</v>
      </c>
      <c r="AE61" s="130">
        <v>4090180288</v>
      </c>
      <c r="AG61" s="230"/>
      <c r="AH61" s="216"/>
      <c r="AI61" s="225"/>
      <c r="AJ61" s="250"/>
      <c r="AK61" s="9"/>
      <c r="AL61" s="28"/>
    </row>
    <row r="62" spans="1:38" ht="24.75" customHeight="1">
      <c r="A62" s="91" t="s">
        <v>502</v>
      </c>
      <c r="B62" s="91">
        <v>180289</v>
      </c>
      <c r="C62" s="161" t="s">
        <v>503</v>
      </c>
      <c r="D62" s="1" t="s">
        <v>58</v>
      </c>
      <c r="E62" s="21">
        <v>46087</v>
      </c>
      <c r="F62" s="12"/>
      <c r="G62" s="12" t="s">
        <v>504</v>
      </c>
      <c r="H62" s="1"/>
      <c r="I62" s="1"/>
      <c r="J62" s="1"/>
      <c r="K62" s="2" t="s">
        <v>60</v>
      </c>
      <c r="L62" s="1" t="s">
        <v>45</v>
      </c>
      <c r="M62" s="3" t="s">
        <v>46</v>
      </c>
      <c r="N62" s="1" t="s">
        <v>47</v>
      </c>
      <c r="O62" s="249" t="s">
        <v>505</v>
      </c>
      <c r="P62" s="176">
        <v>40322</v>
      </c>
      <c r="Q62" s="169" t="s">
        <v>230</v>
      </c>
      <c r="R62" s="216" t="s">
        <v>506</v>
      </c>
      <c r="S62" s="216" t="s">
        <v>507</v>
      </c>
      <c r="T62" s="189" t="s">
        <v>76</v>
      </c>
      <c r="U62" s="8" t="str">
        <f>VLOOKUP('IMPO TERR'!T62,'Matriz datos'!$J$2:$K$10,2,0)</f>
        <v>AV. PDTE. EDUARDO FREI 8301, QUILICURA</v>
      </c>
      <c r="V62" s="63" t="s">
        <v>508</v>
      </c>
      <c r="W62" s="64" t="s">
        <v>509</v>
      </c>
      <c r="X62" s="4" t="s">
        <v>510</v>
      </c>
      <c r="Z62" s="127">
        <v>2605118034</v>
      </c>
      <c r="AA62" s="149">
        <v>2605120449</v>
      </c>
      <c r="AB62" s="115">
        <v>46094</v>
      </c>
      <c r="AC62" s="234">
        <v>46095</v>
      </c>
      <c r="AD62" s="54">
        <v>46091</v>
      </c>
      <c r="AE62" s="130">
        <v>4090180289</v>
      </c>
      <c r="AF62" s="22">
        <v>46095</v>
      </c>
      <c r="AG62" s="244" t="s">
        <v>511</v>
      </c>
      <c r="AH62" s="251" t="s">
        <v>58</v>
      </c>
      <c r="AI62" s="225"/>
      <c r="AJ62" s="217">
        <v>21190000</v>
      </c>
      <c r="AK62" s="9"/>
      <c r="AL62" s="28"/>
    </row>
    <row r="63" spans="1:38" ht="24.75" customHeight="1">
      <c r="A63" s="91" t="s">
        <v>512</v>
      </c>
      <c r="B63" s="91">
        <v>180290</v>
      </c>
      <c r="C63" s="161" t="s">
        <v>39</v>
      </c>
      <c r="D63" s="41" t="s">
        <v>40</v>
      </c>
      <c r="E63" s="21">
        <v>46088</v>
      </c>
      <c r="F63" s="12"/>
      <c r="G63" s="12"/>
      <c r="H63" s="1"/>
      <c r="I63" s="1"/>
      <c r="J63" s="1"/>
      <c r="K63" s="2" t="s">
        <v>44</v>
      </c>
      <c r="L63" s="1" t="s">
        <v>45</v>
      </c>
      <c r="M63" s="3" t="s">
        <v>46</v>
      </c>
      <c r="N63" s="1" t="s">
        <v>47</v>
      </c>
      <c r="O63" s="249" t="s">
        <v>513</v>
      </c>
      <c r="P63" s="176">
        <v>42111</v>
      </c>
      <c r="Q63" s="169" t="s">
        <v>126</v>
      </c>
      <c r="R63" s="216" t="s">
        <v>514</v>
      </c>
      <c r="S63" s="216" t="s">
        <v>515</v>
      </c>
      <c r="T63" s="189" t="s">
        <v>102</v>
      </c>
      <c r="U63" s="8" t="s">
        <v>516</v>
      </c>
      <c r="V63" s="63" t="s">
        <v>517</v>
      </c>
      <c r="W63" s="74" t="s">
        <v>518</v>
      </c>
      <c r="X63" s="4" t="s">
        <v>519</v>
      </c>
      <c r="Z63" s="127">
        <v>2605115713</v>
      </c>
      <c r="AA63" s="163">
        <v>2605117940</v>
      </c>
      <c r="AB63" s="238">
        <v>46097</v>
      </c>
      <c r="AC63" s="226">
        <v>46098</v>
      </c>
      <c r="AD63" s="21">
        <v>46090</v>
      </c>
      <c r="AE63" s="130">
        <v>4090180290</v>
      </c>
      <c r="AF63" s="22">
        <v>46098</v>
      </c>
      <c r="AG63" s="166">
        <v>46098</v>
      </c>
      <c r="AH63" s="43">
        <v>46098</v>
      </c>
      <c r="AI63" s="225"/>
      <c r="AJ63" s="220">
        <v>27800000</v>
      </c>
      <c r="AK63" s="9"/>
      <c r="AL63" s="28"/>
    </row>
    <row r="64" spans="1:38" ht="24.75" customHeight="1">
      <c r="A64" s="91" t="s">
        <v>520</v>
      </c>
      <c r="B64" s="91">
        <v>180291</v>
      </c>
      <c r="C64" s="161" t="s">
        <v>39</v>
      </c>
      <c r="D64" s="4" t="s">
        <v>40</v>
      </c>
      <c r="E64" s="21">
        <v>46088</v>
      </c>
      <c r="F64" s="12"/>
      <c r="G64" s="12"/>
      <c r="H64" s="1"/>
      <c r="I64" s="1"/>
      <c r="J64" s="1"/>
      <c r="K64" s="2" t="s">
        <v>60</v>
      </c>
      <c r="L64" s="1" t="s">
        <v>45</v>
      </c>
      <c r="M64" s="3" t="s">
        <v>46</v>
      </c>
      <c r="N64" s="1" t="s">
        <v>47</v>
      </c>
      <c r="O64" s="249" t="s">
        <v>521</v>
      </c>
      <c r="P64" s="176">
        <v>40320</v>
      </c>
      <c r="Q64" s="169" t="s">
        <v>49</v>
      </c>
      <c r="R64" s="216" t="s">
        <v>522</v>
      </c>
      <c r="S64" s="216" t="s">
        <v>523</v>
      </c>
      <c r="T64" s="189" t="s">
        <v>76</v>
      </c>
      <c r="U64" s="8" t="str">
        <f>VLOOKUP('IMPO TERR'!T64,'Matriz datos'!$J$2:$K$10,2,0)</f>
        <v>AV. PDTE. EDUARDO FREI 8301, QUILICURA</v>
      </c>
      <c r="V64" s="63" t="s">
        <v>524</v>
      </c>
      <c r="W64" s="73" t="s">
        <v>525</v>
      </c>
      <c r="X64" s="4" t="s">
        <v>526</v>
      </c>
      <c r="Z64" s="127">
        <v>2605117336</v>
      </c>
      <c r="AA64" s="4">
        <v>2605120518</v>
      </c>
      <c r="AB64" s="234">
        <v>46094</v>
      </c>
      <c r="AC64" s="229">
        <v>46095</v>
      </c>
      <c r="AD64" s="21">
        <v>46091</v>
      </c>
      <c r="AE64" s="130">
        <v>4090180291</v>
      </c>
      <c r="AF64" s="22">
        <v>46095</v>
      </c>
      <c r="AG64" s="238">
        <v>46095</v>
      </c>
      <c r="AH64" s="239">
        <v>46095</v>
      </c>
      <c r="AI64" s="225">
        <v>141598</v>
      </c>
      <c r="AJ64" s="223">
        <v>20440000</v>
      </c>
      <c r="AK64" s="9"/>
      <c r="AL64" s="28"/>
    </row>
    <row r="65" spans="1:38" ht="24.75" customHeight="1">
      <c r="A65" s="91" t="s">
        <v>527</v>
      </c>
      <c r="B65" s="91">
        <v>180292</v>
      </c>
      <c r="C65" s="161" t="s">
        <v>39</v>
      </c>
      <c r="D65" s="4" t="s">
        <v>40</v>
      </c>
      <c r="E65" s="21">
        <v>46088</v>
      </c>
      <c r="F65" s="12"/>
      <c r="G65" s="12"/>
      <c r="H65" s="1"/>
      <c r="I65" s="1"/>
      <c r="J65" s="1"/>
      <c r="K65" s="2" t="s">
        <v>44</v>
      </c>
      <c r="L65" s="1" t="s">
        <v>45</v>
      </c>
      <c r="M65" s="3" t="s">
        <v>46</v>
      </c>
      <c r="N65" s="1" t="s">
        <v>47</v>
      </c>
      <c r="O65" s="249" t="s">
        <v>528</v>
      </c>
      <c r="P65" s="176">
        <v>41046</v>
      </c>
      <c r="Q65" s="169" t="s">
        <v>49</v>
      </c>
      <c r="R65" s="216" t="s">
        <v>529</v>
      </c>
      <c r="S65" s="216" t="s">
        <v>529</v>
      </c>
      <c r="T65" s="189" t="s">
        <v>76</v>
      </c>
      <c r="U65" s="8" t="str">
        <f>VLOOKUP('IMPO TERR'!T65,'Matriz datos'!$J$2:$K$10,2,0)</f>
        <v>AV. PDTE. EDUARDO FREI 8301, QUILICURA</v>
      </c>
      <c r="V65" s="63" t="s">
        <v>530</v>
      </c>
      <c r="W65" s="64" t="s">
        <v>531</v>
      </c>
      <c r="X65" s="4" t="s">
        <v>532</v>
      </c>
      <c r="Z65" s="127">
        <v>2605116674</v>
      </c>
      <c r="AA65" s="4">
        <v>2605117725</v>
      </c>
      <c r="AB65" s="232">
        <v>46096</v>
      </c>
      <c r="AC65" s="43">
        <v>46097</v>
      </c>
      <c r="AD65" s="146">
        <v>46090</v>
      </c>
      <c r="AE65" s="130">
        <v>4090180292</v>
      </c>
      <c r="AF65" s="22">
        <v>46097</v>
      </c>
      <c r="AG65" s="234">
        <v>46097</v>
      </c>
      <c r="AH65" s="226">
        <v>46098</v>
      </c>
      <c r="AI65" s="225">
        <v>141638</v>
      </c>
      <c r="AJ65" s="217">
        <v>26080000</v>
      </c>
      <c r="AK65" s="9"/>
      <c r="AL65" s="28"/>
    </row>
    <row r="66" spans="1:38" ht="24.75" customHeight="1">
      <c r="A66" s="91" t="s">
        <v>533</v>
      </c>
      <c r="B66" s="91">
        <v>180293</v>
      </c>
      <c r="C66" s="161" t="s">
        <v>39</v>
      </c>
      <c r="D66" s="4" t="s">
        <v>142</v>
      </c>
      <c r="E66" s="21">
        <v>46088</v>
      </c>
      <c r="F66" s="12"/>
      <c r="G66" s="12"/>
      <c r="H66" s="1"/>
      <c r="I66" s="1"/>
      <c r="J66" s="1"/>
      <c r="K66" s="2" t="s">
        <v>44</v>
      </c>
      <c r="L66" s="1" t="s">
        <v>45</v>
      </c>
      <c r="M66" s="3" t="s">
        <v>46</v>
      </c>
      <c r="N66" s="1" t="s">
        <v>47</v>
      </c>
      <c r="O66" s="249" t="s">
        <v>534</v>
      </c>
      <c r="P66" s="176">
        <v>41312</v>
      </c>
      <c r="Q66" s="172" t="s">
        <v>49</v>
      </c>
      <c r="R66" s="216" t="s">
        <v>535</v>
      </c>
      <c r="S66" s="216" t="s">
        <v>536</v>
      </c>
      <c r="T66" s="189" t="s">
        <v>76</v>
      </c>
      <c r="U66" s="93" t="str">
        <f>VLOOKUP('IMPO TERR'!T66,'Matriz datos'!$J$2:$K$10,2,0)</f>
        <v>AV. PDTE. EDUARDO FREI 8301, QUILICURA</v>
      </c>
      <c r="V66" s="63" t="s">
        <v>537</v>
      </c>
      <c r="W66" s="72" t="s">
        <v>538</v>
      </c>
      <c r="X66" s="4" t="s">
        <v>539</v>
      </c>
      <c r="Z66" s="127">
        <v>2605116951</v>
      </c>
      <c r="AA66" s="163">
        <v>2605117887</v>
      </c>
      <c r="AB66" s="248">
        <v>46096</v>
      </c>
      <c r="AC66" s="239">
        <v>46097</v>
      </c>
      <c r="AD66" s="55">
        <v>46091</v>
      </c>
      <c r="AE66" s="127">
        <v>4090180293</v>
      </c>
      <c r="AF66" s="22">
        <v>46097</v>
      </c>
      <c r="AG66" s="234">
        <v>46098</v>
      </c>
      <c r="AH66" s="226">
        <v>46098</v>
      </c>
      <c r="AI66" s="225">
        <v>141650</v>
      </c>
      <c r="AJ66" s="252">
        <v>24400000</v>
      </c>
      <c r="AK66" s="9"/>
      <c r="AL66" s="28"/>
    </row>
    <row r="67" spans="1:38" ht="24.75" customHeight="1">
      <c r="A67" s="91" t="s">
        <v>540</v>
      </c>
      <c r="B67" s="91">
        <v>180311</v>
      </c>
      <c r="C67" s="161" t="s">
        <v>39</v>
      </c>
      <c r="D67" s="41" t="s">
        <v>40</v>
      </c>
      <c r="E67" s="21">
        <v>46090</v>
      </c>
      <c r="F67" s="12"/>
      <c r="G67" s="12"/>
      <c r="H67" s="1"/>
      <c r="I67" s="1"/>
      <c r="J67" s="1"/>
      <c r="K67" s="2" t="s">
        <v>60</v>
      </c>
      <c r="L67" s="1" t="s">
        <v>45</v>
      </c>
      <c r="M67" s="3" t="s">
        <v>46</v>
      </c>
      <c r="N67" s="1" t="s">
        <v>47</v>
      </c>
      <c r="O67" s="249" t="s">
        <v>541</v>
      </c>
      <c r="P67" s="176">
        <v>40314</v>
      </c>
      <c r="Q67" s="169"/>
      <c r="R67" s="216" t="s">
        <v>542</v>
      </c>
      <c r="S67" s="216" t="s">
        <v>543</v>
      </c>
      <c r="T67" s="189" t="s">
        <v>102</v>
      </c>
      <c r="U67" s="245" t="s">
        <v>224</v>
      </c>
      <c r="V67" s="123" t="s">
        <v>544</v>
      </c>
      <c r="W67" s="64">
        <v>24625000</v>
      </c>
      <c r="X67" s="4" t="s">
        <v>545</v>
      </c>
      <c r="Z67" s="127">
        <v>2605119647</v>
      </c>
      <c r="AA67" s="4">
        <v>2605120411</v>
      </c>
      <c r="AB67" s="115">
        <v>46094</v>
      </c>
      <c r="AC67" s="234">
        <v>46095</v>
      </c>
      <c r="AD67" s="21">
        <v>46092</v>
      </c>
      <c r="AE67" s="130">
        <v>4090180311</v>
      </c>
      <c r="AF67" s="22">
        <v>46095</v>
      </c>
      <c r="AG67" s="234">
        <v>46095</v>
      </c>
      <c r="AH67" s="226">
        <v>46095</v>
      </c>
      <c r="AI67" s="225">
        <v>141604</v>
      </c>
      <c r="AJ67" s="220">
        <v>17540000</v>
      </c>
      <c r="AK67" s="9"/>
      <c r="AL67" s="28"/>
    </row>
    <row r="68" spans="1:38" ht="24.75" customHeight="1">
      <c r="A68" s="91" t="s">
        <v>546</v>
      </c>
      <c r="B68" s="91">
        <v>180312</v>
      </c>
      <c r="C68" s="161" t="s">
        <v>39</v>
      </c>
      <c r="D68" s="4" t="s">
        <v>142</v>
      </c>
      <c r="E68" s="21">
        <v>46090</v>
      </c>
      <c r="F68" s="12"/>
      <c r="G68" s="12"/>
      <c r="H68" s="1"/>
      <c r="I68" s="1"/>
      <c r="J68" s="1"/>
      <c r="K68" s="2" t="s">
        <v>44</v>
      </c>
      <c r="L68" s="1" t="s">
        <v>45</v>
      </c>
      <c r="M68" s="3" t="s">
        <v>46</v>
      </c>
      <c r="N68" s="1" t="s">
        <v>47</v>
      </c>
      <c r="O68" s="249" t="s">
        <v>547</v>
      </c>
      <c r="P68" s="176">
        <v>40978</v>
      </c>
      <c r="Q68" s="169" t="s">
        <v>49</v>
      </c>
      <c r="R68" s="216" t="s">
        <v>548</v>
      </c>
      <c r="S68" s="216" t="s">
        <v>549</v>
      </c>
      <c r="T68" s="189" t="s">
        <v>76</v>
      </c>
      <c r="U68" s="145" t="str">
        <f>VLOOKUP('IMPO TERR'!T68,'Matriz datos'!$J$2:$K$10,2,0)</f>
        <v>AV. PDTE. EDUARDO FREI 8301, QUILICURA</v>
      </c>
      <c r="V68" s="63" t="s">
        <v>550</v>
      </c>
      <c r="W68" s="74" t="s">
        <v>551</v>
      </c>
      <c r="X68" s="4" t="s">
        <v>552</v>
      </c>
      <c r="Z68" s="127">
        <v>2605118330</v>
      </c>
      <c r="AA68" s="163">
        <v>2605120465</v>
      </c>
      <c r="AB68" s="238">
        <v>46096</v>
      </c>
      <c r="AC68" s="229">
        <v>46097</v>
      </c>
      <c r="AD68" s="120">
        <v>46091</v>
      </c>
      <c r="AE68" s="127">
        <v>4090180312</v>
      </c>
      <c r="AF68" s="22">
        <v>46097</v>
      </c>
      <c r="AG68" s="234">
        <v>46098</v>
      </c>
      <c r="AH68" s="226">
        <v>46098</v>
      </c>
      <c r="AI68" s="225">
        <v>141647</v>
      </c>
      <c r="AJ68" s="222">
        <v>24110000</v>
      </c>
      <c r="AK68" s="9"/>
      <c r="AL68" s="28"/>
    </row>
    <row r="69" spans="1:38" ht="24.75" customHeight="1">
      <c r="A69" s="91" t="s">
        <v>553</v>
      </c>
      <c r="B69" s="91">
        <v>180313</v>
      </c>
      <c r="C69" s="161" t="s">
        <v>39</v>
      </c>
      <c r="D69" s="4" t="s">
        <v>40</v>
      </c>
      <c r="E69" s="21">
        <v>46090</v>
      </c>
      <c r="F69" s="12"/>
      <c r="G69" s="12"/>
      <c r="H69" s="1"/>
      <c r="I69" s="1"/>
      <c r="J69" s="1"/>
      <c r="K69" s="2" t="s">
        <v>60</v>
      </c>
      <c r="L69" s="1" t="s">
        <v>45</v>
      </c>
      <c r="M69" s="3" t="s">
        <v>46</v>
      </c>
      <c r="N69" s="1" t="s">
        <v>47</v>
      </c>
      <c r="O69" s="249" t="s">
        <v>554</v>
      </c>
      <c r="P69" s="176">
        <v>40485</v>
      </c>
      <c r="Q69" s="169"/>
      <c r="R69" s="216" t="s">
        <v>555</v>
      </c>
      <c r="S69" s="216" t="s">
        <v>556</v>
      </c>
      <c r="T69" s="32" t="s">
        <v>66</v>
      </c>
      <c r="U69" s="8" t="str">
        <f>VLOOKUP('IMPO TERR'!T69,'Matriz datos'!$J$2:$K$10,2,0)</f>
        <v>CAMINO SANTA MARTA 2101, MAIPU</v>
      </c>
      <c r="V69" s="63" t="s">
        <v>557</v>
      </c>
      <c r="W69" s="74" t="s">
        <v>558</v>
      </c>
      <c r="X69" s="4" t="s">
        <v>559</v>
      </c>
      <c r="Z69" s="127">
        <v>2605117369</v>
      </c>
      <c r="AA69" s="4">
        <v>2605122815</v>
      </c>
      <c r="AB69" s="240">
        <v>46094</v>
      </c>
      <c r="AC69" s="43">
        <v>46095</v>
      </c>
      <c r="AD69" s="55">
        <v>46093</v>
      </c>
      <c r="AE69" s="127">
        <v>4090180313</v>
      </c>
      <c r="AF69" s="22">
        <v>46095</v>
      </c>
      <c r="AG69" s="234">
        <v>46095</v>
      </c>
      <c r="AH69" s="226">
        <v>46095</v>
      </c>
      <c r="AI69" s="225">
        <v>141610</v>
      </c>
      <c r="AJ69" s="222">
        <v>16870000</v>
      </c>
      <c r="AK69" s="9"/>
      <c r="AL69" s="28"/>
    </row>
    <row r="70" spans="1:38" ht="24.75" customHeight="1">
      <c r="A70" s="91" t="s">
        <v>560</v>
      </c>
      <c r="B70" s="91">
        <v>180314</v>
      </c>
      <c r="C70" s="161" t="s">
        <v>39</v>
      </c>
      <c r="D70" s="4" t="s">
        <v>40</v>
      </c>
      <c r="E70" s="21">
        <v>46090</v>
      </c>
      <c r="F70" s="12"/>
      <c r="G70" s="12" t="s">
        <v>561</v>
      </c>
      <c r="H70" s="1"/>
      <c r="I70" s="1"/>
      <c r="J70" s="1"/>
      <c r="K70" s="2" t="s">
        <v>44</v>
      </c>
      <c r="L70" s="1" t="s">
        <v>45</v>
      </c>
      <c r="M70" s="3" t="s">
        <v>46</v>
      </c>
      <c r="N70" s="1" t="s">
        <v>47</v>
      </c>
      <c r="O70" s="249" t="s">
        <v>562</v>
      </c>
      <c r="P70" s="176">
        <v>37030</v>
      </c>
      <c r="Q70" s="171" t="s">
        <v>49</v>
      </c>
      <c r="R70" s="216" t="s">
        <v>563</v>
      </c>
      <c r="S70" s="216" t="s">
        <v>564</v>
      </c>
      <c r="T70" s="32" t="s">
        <v>76</v>
      </c>
      <c r="U70" s="8" t="str">
        <f>VLOOKUP('IMPO TERR'!T70,'Matriz datos'!$J$2:$K$10,2,0)</f>
        <v>AV. PDTE. EDUARDO FREI 8301, QUILICURA</v>
      </c>
      <c r="V70" s="63" t="s">
        <v>565</v>
      </c>
      <c r="W70" s="73" t="s">
        <v>566</v>
      </c>
      <c r="X70" s="4" t="s">
        <v>567</v>
      </c>
      <c r="Z70" s="127">
        <v>2605116934</v>
      </c>
      <c r="AA70" s="4">
        <v>2605125477</v>
      </c>
      <c r="AB70" s="115">
        <v>46089</v>
      </c>
      <c r="AC70" s="238">
        <v>46090</v>
      </c>
      <c r="AD70" s="21">
        <v>46093</v>
      </c>
      <c r="AE70" s="127">
        <v>4090180314</v>
      </c>
      <c r="AF70" s="22">
        <v>46094</v>
      </c>
      <c r="AG70" s="135">
        <v>46094</v>
      </c>
      <c r="AH70" s="51">
        <v>46094</v>
      </c>
      <c r="AI70" s="225">
        <v>141596</v>
      </c>
      <c r="AJ70" s="222">
        <v>25560000</v>
      </c>
      <c r="AK70" s="9"/>
      <c r="AL70" s="28"/>
    </row>
    <row r="71" spans="1:38" ht="24.75" customHeight="1">
      <c r="A71" s="91" t="s">
        <v>568</v>
      </c>
      <c r="B71" s="91">
        <v>180318</v>
      </c>
      <c r="C71" s="161" t="s">
        <v>39</v>
      </c>
      <c r="D71" s="1" t="s">
        <v>58</v>
      </c>
      <c r="E71" s="21">
        <v>46090</v>
      </c>
      <c r="F71" s="12"/>
      <c r="G71" s="12"/>
      <c r="H71" s="1"/>
      <c r="I71" s="1"/>
      <c r="J71" s="1"/>
      <c r="K71" s="2" t="s">
        <v>44</v>
      </c>
      <c r="L71" s="1" t="s">
        <v>61</v>
      </c>
      <c r="M71" s="3" t="s">
        <v>46</v>
      </c>
      <c r="N71" s="1" t="s">
        <v>47</v>
      </c>
      <c r="O71" s="249" t="s">
        <v>569</v>
      </c>
      <c r="P71" s="176">
        <v>40724</v>
      </c>
      <c r="Q71" s="169" t="s">
        <v>63</v>
      </c>
      <c r="R71" s="216" t="s">
        <v>570</v>
      </c>
      <c r="S71" s="216" t="s">
        <v>571</v>
      </c>
      <c r="T71" s="32" t="s">
        <v>76</v>
      </c>
      <c r="U71" s="8" t="str">
        <f>VLOOKUP('IMPO TERR'!T71,'Matriz datos'!$J$2:$K$10,2,0)</f>
        <v>AV. PDTE. EDUARDO FREI 8301, QUILICURA</v>
      </c>
      <c r="V71" s="63" t="s">
        <v>572</v>
      </c>
      <c r="W71" s="64" t="s">
        <v>573</v>
      </c>
      <c r="X71" s="4" t="s">
        <v>574</v>
      </c>
      <c r="Z71" s="127">
        <v>2605117104</v>
      </c>
      <c r="AA71" s="4">
        <v>2605118333</v>
      </c>
      <c r="AB71" s="238">
        <v>46095</v>
      </c>
      <c r="AC71" s="226">
        <v>46096</v>
      </c>
      <c r="AD71" s="53">
        <v>46091</v>
      </c>
      <c r="AE71" s="127">
        <v>4090180318</v>
      </c>
      <c r="AF71" s="22">
        <v>46097</v>
      </c>
      <c r="AG71" s="234">
        <v>46097</v>
      </c>
      <c r="AH71" s="51">
        <v>46098</v>
      </c>
      <c r="AI71" s="225">
        <v>141614</v>
      </c>
      <c r="AJ71" s="222">
        <v>27060000</v>
      </c>
      <c r="AK71" s="9"/>
      <c r="AL71" s="28"/>
    </row>
    <row r="72" spans="1:38" ht="24.75" customHeight="1">
      <c r="A72" s="91" t="s">
        <v>575</v>
      </c>
      <c r="B72" s="91">
        <v>180319</v>
      </c>
      <c r="C72" s="161" t="s">
        <v>39</v>
      </c>
      <c r="D72" s="4" t="s">
        <v>40</v>
      </c>
      <c r="E72" s="21">
        <v>46090</v>
      </c>
      <c r="F72" s="12"/>
      <c r="G72" s="12"/>
      <c r="H72" s="1"/>
      <c r="I72" s="1"/>
      <c r="K72" s="2" t="s">
        <v>44</v>
      </c>
      <c r="L72" s="1" t="s">
        <v>45</v>
      </c>
      <c r="M72" s="3" t="s">
        <v>46</v>
      </c>
      <c r="N72" s="1" t="s">
        <v>47</v>
      </c>
      <c r="O72" s="249" t="s">
        <v>576</v>
      </c>
      <c r="P72" s="176">
        <v>41073</v>
      </c>
      <c r="Q72" s="173"/>
      <c r="R72" s="216" t="s">
        <v>577</v>
      </c>
      <c r="S72" s="216" t="s">
        <v>578</v>
      </c>
      <c r="T72" s="32" t="s">
        <v>76</v>
      </c>
      <c r="U72" s="8" t="str">
        <f>VLOOKUP('IMPO TERR'!T72,'Matriz datos'!$J$2:$K$10,2,0)</f>
        <v>AV. PDTE. EDUARDO FREI 8301, QUILICURA</v>
      </c>
      <c r="V72" s="76" t="s">
        <v>579</v>
      </c>
      <c r="W72" s="78" t="s">
        <v>580</v>
      </c>
      <c r="X72" s="4" t="s">
        <v>581</v>
      </c>
      <c r="Z72" s="127">
        <v>2605119861</v>
      </c>
      <c r="AA72" s="163">
        <v>2605120421</v>
      </c>
      <c r="AB72" s="234">
        <v>46096</v>
      </c>
      <c r="AC72" s="226">
        <v>46097</v>
      </c>
      <c r="AD72" s="21">
        <v>46092</v>
      </c>
      <c r="AE72" s="130">
        <v>4090180319</v>
      </c>
      <c r="AF72" s="22">
        <v>46097</v>
      </c>
      <c r="AG72" s="234">
        <v>46098</v>
      </c>
      <c r="AH72" s="229">
        <v>46098</v>
      </c>
      <c r="AI72" s="225">
        <v>141643</v>
      </c>
      <c r="AJ72" s="222">
        <v>24760000</v>
      </c>
      <c r="AK72" s="9"/>
      <c r="AL72" s="28"/>
    </row>
    <row r="73" spans="1:38" ht="24.75" customHeight="1">
      <c r="A73" s="91" t="s">
        <v>582</v>
      </c>
      <c r="B73" s="91">
        <v>180320</v>
      </c>
      <c r="C73" s="161" t="s">
        <v>39</v>
      </c>
      <c r="D73" s="1" t="s">
        <v>58</v>
      </c>
      <c r="E73" s="21">
        <v>45360</v>
      </c>
      <c r="F73" s="12"/>
      <c r="G73" s="12"/>
      <c r="H73" s="1"/>
      <c r="I73" s="1"/>
      <c r="J73" s="1"/>
      <c r="K73" s="2" t="s">
        <v>44</v>
      </c>
      <c r="L73" s="1" t="s">
        <v>61</v>
      </c>
      <c r="M73" s="3" t="s">
        <v>46</v>
      </c>
      <c r="N73" s="1" t="s">
        <v>47</v>
      </c>
      <c r="O73" s="249" t="s">
        <v>583</v>
      </c>
      <c r="P73" s="176">
        <v>40725</v>
      </c>
      <c r="Q73" s="169" t="s">
        <v>63</v>
      </c>
      <c r="R73" s="216" t="s">
        <v>584</v>
      </c>
      <c r="S73" s="216" t="s">
        <v>585</v>
      </c>
      <c r="T73" s="32" t="s">
        <v>395</v>
      </c>
      <c r="U73" s="8" t="str">
        <f>VLOOKUP('IMPO TERR'!T73,'Matriz datos'!$J$2:$K$10,2,0)</f>
        <v>CAMINO LO AGUIRRE SUR 537, PUDAHUEL </v>
      </c>
      <c r="V73" s="76" t="s">
        <v>586</v>
      </c>
      <c r="W73" s="73" t="s">
        <v>587</v>
      </c>
      <c r="X73" s="4" t="s">
        <v>588</v>
      </c>
      <c r="Z73" s="127">
        <v>2605118527</v>
      </c>
      <c r="AA73" s="4">
        <v>2605120479</v>
      </c>
      <c r="AB73" s="234">
        <v>46095</v>
      </c>
      <c r="AC73" s="226">
        <v>46096</v>
      </c>
      <c r="AD73" s="55">
        <v>46091</v>
      </c>
      <c r="AE73" s="127">
        <v>4090180320</v>
      </c>
      <c r="AF73" s="22">
        <v>46097</v>
      </c>
      <c r="AG73" s="232">
        <v>46097</v>
      </c>
      <c r="AH73" s="43">
        <v>46098</v>
      </c>
      <c r="AI73" s="225">
        <v>141613</v>
      </c>
      <c r="AJ73" s="222">
        <v>34020000</v>
      </c>
      <c r="AK73" s="9"/>
      <c r="AL73" s="28"/>
    </row>
    <row r="74" spans="1:38" ht="24.75" customHeight="1">
      <c r="A74" s="91" t="s">
        <v>589</v>
      </c>
      <c r="B74" s="91">
        <v>180328</v>
      </c>
      <c r="C74" s="161" t="s">
        <v>39</v>
      </c>
      <c r="D74" s="4" t="s">
        <v>40</v>
      </c>
      <c r="E74" s="21">
        <v>46090</v>
      </c>
      <c r="F74" s="12"/>
      <c r="G74" s="12" t="s">
        <v>590</v>
      </c>
      <c r="H74" s="1"/>
      <c r="I74" s="1"/>
      <c r="J74" s="1"/>
      <c r="K74" s="1" t="s">
        <v>60</v>
      </c>
      <c r="L74" s="1" t="s">
        <v>45</v>
      </c>
      <c r="M74" s="3" t="s">
        <v>46</v>
      </c>
      <c r="N74" s="1" t="s">
        <v>47</v>
      </c>
      <c r="O74" s="249" t="s">
        <v>591</v>
      </c>
      <c r="P74" s="176">
        <v>39870</v>
      </c>
      <c r="Q74" s="169" t="s">
        <v>221</v>
      </c>
      <c r="R74" s="216" t="s">
        <v>592</v>
      </c>
      <c r="S74" s="216" t="s">
        <v>593</v>
      </c>
      <c r="T74" s="32" t="s">
        <v>66</v>
      </c>
      <c r="U74" s="8" t="str">
        <f>VLOOKUP('IMPO TERR'!T74,'Matriz datos'!$J$2:$K$10,2,0)</f>
        <v>CAMINO SANTA MARTA 2101, MAIPU</v>
      </c>
      <c r="V74" s="63" t="s">
        <v>594</v>
      </c>
      <c r="W74" s="64"/>
      <c r="X74" s="4" t="s">
        <v>595</v>
      </c>
      <c r="Z74" s="127">
        <v>2605121781</v>
      </c>
      <c r="AA74" s="4">
        <v>2605125611</v>
      </c>
      <c r="AB74" s="234">
        <v>46093</v>
      </c>
      <c r="AC74" s="226">
        <v>46094</v>
      </c>
      <c r="AD74" s="21">
        <v>46093</v>
      </c>
      <c r="AE74" s="127">
        <v>4090180328</v>
      </c>
      <c r="AF74" s="22">
        <v>46094</v>
      </c>
      <c r="AG74" s="42">
        <v>46094</v>
      </c>
      <c r="AH74" s="58">
        <v>46095</v>
      </c>
      <c r="AI74" s="225">
        <v>141594</v>
      </c>
      <c r="AJ74" s="225" t="s">
        <v>596</v>
      </c>
      <c r="AK74" s="9"/>
      <c r="AL74" s="28"/>
    </row>
    <row r="75" spans="1:38" ht="24.75" customHeight="1">
      <c r="A75" s="91" t="s">
        <v>597</v>
      </c>
      <c r="B75" s="91">
        <v>180329</v>
      </c>
      <c r="C75" s="161" t="s">
        <v>39</v>
      </c>
      <c r="D75" s="4" t="s">
        <v>40</v>
      </c>
      <c r="E75" s="21">
        <v>46090</v>
      </c>
      <c r="F75" s="12"/>
      <c r="G75" s="12"/>
      <c r="H75" s="1"/>
      <c r="I75" s="1"/>
      <c r="J75" s="1"/>
      <c r="K75" s="1" t="s">
        <v>44</v>
      </c>
      <c r="L75" s="1" t="s">
        <v>256</v>
      </c>
      <c r="M75" s="3" t="s">
        <v>46</v>
      </c>
      <c r="N75" s="1" t="s">
        <v>47</v>
      </c>
      <c r="O75" s="249" t="s">
        <v>598</v>
      </c>
      <c r="P75" s="176"/>
      <c r="Q75" s="169" t="s">
        <v>258</v>
      </c>
      <c r="R75" s="15" t="s">
        <v>599</v>
      </c>
      <c r="S75" s="15" t="s">
        <v>600</v>
      </c>
      <c r="T75" s="32" t="s">
        <v>395</v>
      </c>
      <c r="U75" s="8" t="str">
        <f>VLOOKUP('IMPO TERR'!T75,'Matriz datos'!$J$2:$K$10,2,0)</f>
        <v>CAMINO LO AGUIRRE SUR 537, PUDAHUEL </v>
      </c>
      <c r="V75" s="63" t="s">
        <v>601</v>
      </c>
      <c r="W75" s="64" t="s">
        <v>602</v>
      </c>
      <c r="X75" s="4" t="s">
        <v>603</v>
      </c>
      <c r="Z75" s="127">
        <v>2605118861</v>
      </c>
      <c r="AA75" s="4">
        <v>2605120536</v>
      </c>
      <c r="AB75" s="234">
        <v>46091</v>
      </c>
      <c r="AC75" s="226">
        <v>46092</v>
      </c>
      <c r="AD75" s="121">
        <v>46092</v>
      </c>
      <c r="AE75" s="127">
        <v>4090180329</v>
      </c>
      <c r="AF75" s="22">
        <v>46092</v>
      </c>
      <c r="AG75" s="234">
        <v>46092</v>
      </c>
      <c r="AH75" s="228">
        <v>46092</v>
      </c>
      <c r="AI75" s="225">
        <v>141569</v>
      </c>
      <c r="AJ75" s="222">
        <v>29110000</v>
      </c>
      <c r="AK75" s="9"/>
      <c r="AL75" s="28"/>
    </row>
    <row r="76" spans="1:38" ht="24.75" customHeight="1">
      <c r="A76" s="91" t="s">
        <v>604</v>
      </c>
      <c r="B76" s="91">
        <v>180331</v>
      </c>
      <c r="C76" s="161" t="s">
        <v>39</v>
      </c>
      <c r="D76" s="4" t="s">
        <v>40</v>
      </c>
      <c r="E76" s="21">
        <v>46090</v>
      </c>
      <c r="F76" s="12"/>
      <c r="G76" s="12" t="s">
        <v>605</v>
      </c>
      <c r="H76" s="1"/>
      <c r="I76" s="1"/>
      <c r="J76" s="1"/>
      <c r="K76" s="1" t="s">
        <v>44</v>
      </c>
      <c r="L76" s="1" t="s">
        <v>256</v>
      </c>
      <c r="M76" s="3" t="s">
        <v>46</v>
      </c>
      <c r="N76" s="1" t="s">
        <v>47</v>
      </c>
      <c r="O76" s="249" t="s">
        <v>606</v>
      </c>
      <c r="P76" s="178" t="s">
        <v>607</v>
      </c>
      <c r="Q76" s="169"/>
      <c r="R76" s="216" t="s">
        <v>608</v>
      </c>
      <c r="S76" s="216" t="s">
        <v>609</v>
      </c>
      <c r="T76" s="32" t="s">
        <v>610</v>
      </c>
      <c r="U76" s="8" t="s">
        <v>611</v>
      </c>
      <c r="V76" s="63" t="s">
        <v>612</v>
      </c>
      <c r="W76" s="64" t="s">
        <v>613</v>
      </c>
      <c r="X76" s="4" t="s">
        <v>614</v>
      </c>
      <c r="Z76" s="127">
        <v>2605119244</v>
      </c>
      <c r="AA76" s="4">
        <v>2605120402</v>
      </c>
      <c r="AB76" s="234">
        <v>46093</v>
      </c>
      <c r="AC76" s="51">
        <v>46093</v>
      </c>
      <c r="AD76" s="51">
        <v>46092</v>
      </c>
      <c r="AE76" s="131">
        <v>4090180331</v>
      </c>
      <c r="AF76" s="22">
        <v>46093</v>
      </c>
      <c r="AG76" s="135">
        <v>46093</v>
      </c>
      <c r="AH76" s="47">
        <v>46094</v>
      </c>
      <c r="AI76" s="225">
        <v>141573</v>
      </c>
      <c r="AJ76" s="222">
        <v>36780000</v>
      </c>
      <c r="AK76" s="9"/>
      <c r="AL76" s="28"/>
    </row>
    <row r="77" spans="1:38" ht="24.75" customHeight="1">
      <c r="A77" s="198" t="s">
        <v>615</v>
      </c>
      <c r="B77" s="198">
        <v>180332</v>
      </c>
      <c r="C77" s="161" t="s">
        <v>39</v>
      </c>
      <c r="D77" s="4" t="s">
        <v>40</v>
      </c>
      <c r="E77" s="21">
        <v>46304</v>
      </c>
      <c r="F77" s="12"/>
      <c r="G77" s="12"/>
      <c r="H77" s="1"/>
      <c r="I77" s="1"/>
      <c r="J77" s="1"/>
      <c r="K77" s="1" t="s">
        <v>44</v>
      </c>
      <c r="L77" s="1" t="s">
        <v>61</v>
      </c>
      <c r="M77" s="3" t="s">
        <v>46</v>
      </c>
      <c r="N77" s="1" t="s">
        <v>47</v>
      </c>
      <c r="O77" s="249" t="s">
        <v>616</v>
      </c>
      <c r="P77" s="176">
        <v>40352</v>
      </c>
      <c r="Q77" s="169"/>
      <c r="R77" s="216" t="s">
        <v>617</v>
      </c>
      <c r="S77" s="216" t="s">
        <v>618</v>
      </c>
      <c r="T77" s="32" t="s">
        <v>76</v>
      </c>
      <c r="U77" s="8" t="str">
        <f>VLOOKUP('IMPO TERR'!T77,'Matriz datos'!$J$2:$K$10,2,0)</f>
        <v>AV. PDTE. EDUARDO FREI 8301, QUILICURA</v>
      </c>
      <c r="V77" s="63" t="s">
        <v>619</v>
      </c>
      <c r="W77" s="64"/>
      <c r="X77" s="4" t="s">
        <v>620</v>
      </c>
      <c r="Z77" s="127">
        <v>2605119955</v>
      </c>
      <c r="AA77" s="4">
        <v>2605121038</v>
      </c>
      <c r="AB77" s="232">
        <v>46094</v>
      </c>
      <c r="AC77" s="226">
        <v>46095</v>
      </c>
      <c r="AD77" s="21">
        <v>46092</v>
      </c>
      <c r="AE77" s="127">
        <v>4090180332</v>
      </c>
      <c r="AF77" s="22">
        <v>46095</v>
      </c>
      <c r="AG77" s="232">
        <v>46095</v>
      </c>
      <c r="AH77" s="47">
        <v>46097</v>
      </c>
      <c r="AI77" s="225">
        <v>141606</v>
      </c>
      <c r="AJ77" s="222">
        <v>9010000</v>
      </c>
      <c r="AK77" s="9"/>
      <c r="AL77" s="28"/>
    </row>
    <row r="78" spans="1:38" ht="24.75" customHeight="1">
      <c r="A78" s="198" t="s">
        <v>621</v>
      </c>
      <c r="B78" s="198">
        <v>180333</v>
      </c>
      <c r="C78" s="161" t="s">
        <v>39</v>
      </c>
      <c r="D78" s="4" t="s">
        <v>40</v>
      </c>
      <c r="E78" s="21">
        <v>46304</v>
      </c>
      <c r="F78" s="12"/>
      <c r="G78" s="12"/>
      <c r="H78" s="1"/>
      <c r="I78" s="1"/>
      <c r="J78" s="1"/>
      <c r="K78" s="1" t="s">
        <v>44</v>
      </c>
      <c r="L78" s="1" t="s">
        <v>61</v>
      </c>
      <c r="M78" s="3" t="s">
        <v>46</v>
      </c>
      <c r="N78" s="1" t="s">
        <v>47</v>
      </c>
      <c r="O78" s="249" t="s">
        <v>622</v>
      </c>
      <c r="P78" s="176">
        <v>40352</v>
      </c>
      <c r="Q78" s="169"/>
      <c r="R78" s="216" t="s">
        <v>617</v>
      </c>
      <c r="S78" s="216" t="s">
        <v>618</v>
      </c>
      <c r="T78" s="32" t="s">
        <v>76</v>
      </c>
      <c r="U78" s="8" t="str">
        <f>VLOOKUP('IMPO TERR'!T78,'Matriz datos'!$J$2:$K$10,2,0)</f>
        <v>AV. PDTE. EDUARDO FREI 8301, QUILICURA</v>
      </c>
      <c r="V78" s="63" t="s">
        <v>619</v>
      </c>
      <c r="W78" s="64"/>
      <c r="X78" s="4" t="s">
        <v>620</v>
      </c>
      <c r="Z78" s="127">
        <v>2605120001</v>
      </c>
      <c r="AA78" s="4">
        <v>2605121013</v>
      </c>
      <c r="AB78" s="238">
        <v>46094</v>
      </c>
      <c r="AC78" s="239">
        <v>46095</v>
      </c>
      <c r="AD78" s="120">
        <v>46092</v>
      </c>
      <c r="AE78" s="127">
        <v>4090180333</v>
      </c>
      <c r="AF78" s="22">
        <v>46095</v>
      </c>
      <c r="AG78" s="253">
        <v>46095</v>
      </c>
      <c r="AH78" s="43">
        <v>46097</v>
      </c>
      <c r="AI78" s="225">
        <v>141606</v>
      </c>
      <c r="AJ78" s="222">
        <v>18520000</v>
      </c>
      <c r="AK78" s="9"/>
      <c r="AL78" s="28"/>
    </row>
    <row r="79" spans="1:38" ht="24.75" customHeight="1">
      <c r="A79" s="91" t="s">
        <v>623</v>
      </c>
      <c r="B79" s="91">
        <v>180334</v>
      </c>
      <c r="C79" s="161" t="s">
        <v>39</v>
      </c>
      <c r="D79" s="4" t="s">
        <v>40</v>
      </c>
      <c r="E79" s="21">
        <v>46090</v>
      </c>
      <c r="F79" s="12"/>
      <c r="G79" s="12"/>
      <c r="H79" s="1"/>
      <c r="I79" s="1"/>
      <c r="J79" s="1"/>
      <c r="K79" s="1" t="s">
        <v>44</v>
      </c>
      <c r="L79" s="1" t="s">
        <v>45</v>
      </c>
      <c r="M79" s="3" t="s">
        <v>46</v>
      </c>
      <c r="N79" s="1" t="s">
        <v>47</v>
      </c>
      <c r="O79" s="249" t="s">
        <v>624</v>
      </c>
      <c r="P79" s="176"/>
      <c r="Q79" s="173" t="s">
        <v>49</v>
      </c>
      <c r="R79" s="18" t="s">
        <v>625</v>
      </c>
      <c r="S79" s="216" t="s">
        <v>626</v>
      </c>
      <c r="T79" s="32" t="s">
        <v>76</v>
      </c>
      <c r="U79" s="8" t="str">
        <f>VLOOKUP('IMPO TERR'!T79,'Matriz datos'!$J$2:$K$10,2,0)</f>
        <v>AV. PDTE. EDUARDO FREI 8301, QUILICURA</v>
      </c>
      <c r="V79" s="63" t="s">
        <v>627</v>
      </c>
      <c r="W79" s="64" t="s">
        <v>628</v>
      </c>
      <c r="X79" s="4" t="s">
        <v>629</v>
      </c>
      <c r="Z79" s="127">
        <v>2605118942</v>
      </c>
      <c r="AA79" s="4">
        <v>2605120305</v>
      </c>
      <c r="AB79" s="42">
        <v>46089</v>
      </c>
      <c r="AC79" s="226">
        <v>46090</v>
      </c>
      <c r="AD79" s="53">
        <v>46092</v>
      </c>
      <c r="AE79" s="127">
        <v>4090180334</v>
      </c>
      <c r="AF79" s="22">
        <v>46092</v>
      </c>
      <c r="AG79" s="234">
        <v>46092</v>
      </c>
      <c r="AH79" s="239">
        <v>46092</v>
      </c>
      <c r="AI79" s="225">
        <v>141566</v>
      </c>
      <c r="AJ79" s="222">
        <v>25590000</v>
      </c>
      <c r="AK79" s="9"/>
      <c r="AL79" s="28"/>
    </row>
    <row r="80" spans="1:38" ht="24.75" customHeight="1">
      <c r="A80" s="91" t="s">
        <v>630</v>
      </c>
      <c r="B80" s="91">
        <v>180338</v>
      </c>
      <c r="C80" s="161" t="s">
        <v>39</v>
      </c>
      <c r="D80" s="4" t="s">
        <v>40</v>
      </c>
      <c r="E80" s="21">
        <v>46091</v>
      </c>
      <c r="F80" s="12"/>
      <c r="G80" s="12"/>
      <c r="H80" s="1"/>
      <c r="I80" s="1"/>
      <c r="J80" s="1"/>
      <c r="K80" s="1" t="s">
        <v>44</v>
      </c>
      <c r="L80" s="1" t="s">
        <v>256</v>
      </c>
      <c r="M80" s="3" t="s">
        <v>46</v>
      </c>
      <c r="N80" s="1" t="s">
        <v>47</v>
      </c>
      <c r="O80" s="249" t="s">
        <v>631</v>
      </c>
      <c r="P80" s="176"/>
      <c r="Q80" s="169" t="s">
        <v>258</v>
      </c>
      <c r="R80" s="15" t="s">
        <v>632</v>
      </c>
      <c r="S80" s="18" t="s">
        <v>633</v>
      </c>
      <c r="T80" s="32" t="s">
        <v>76</v>
      </c>
      <c r="U80" s="8" t="str">
        <f>VLOOKUP('IMPO TERR'!T80,'Matriz datos'!$J$2:$K$10,2,0)</f>
        <v>AV. PDTE. EDUARDO FREI 8301, QUILICURA</v>
      </c>
      <c r="V80" s="63" t="s">
        <v>634</v>
      </c>
      <c r="W80" s="64" t="s">
        <v>635</v>
      </c>
      <c r="X80" s="4" t="s">
        <v>636</v>
      </c>
      <c r="Z80" s="127">
        <v>2605118967</v>
      </c>
      <c r="AA80" s="4">
        <v>2605120420</v>
      </c>
      <c r="AB80" s="234">
        <v>46091</v>
      </c>
      <c r="AC80" s="226">
        <v>46092</v>
      </c>
      <c r="AD80" s="21">
        <v>46091</v>
      </c>
      <c r="AE80" s="130">
        <v>4090180338</v>
      </c>
      <c r="AF80" s="22">
        <v>46091</v>
      </c>
      <c r="AG80" s="234">
        <v>46092</v>
      </c>
      <c r="AH80" s="226">
        <v>46092</v>
      </c>
      <c r="AI80" s="225">
        <v>141565</v>
      </c>
      <c r="AJ80" s="222">
        <v>49300000</v>
      </c>
      <c r="AK80" s="9"/>
      <c r="AL80" s="28"/>
    </row>
    <row r="81" spans="1:38" ht="24.75" customHeight="1">
      <c r="A81" s="91" t="s">
        <v>637</v>
      </c>
      <c r="B81" s="91">
        <v>180339</v>
      </c>
      <c r="C81" s="161" t="s">
        <v>39</v>
      </c>
      <c r="D81" s="1" t="s">
        <v>58</v>
      </c>
      <c r="E81" s="21">
        <v>46091</v>
      </c>
      <c r="F81" s="12"/>
      <c r="G81" s="12"/>
      <c r="H81" s="1"/>
      <c r="I81" s="1"/>
      <c r="J81" s="1"/>
      <c r="K81" s="1" t="s">
        <v>60</v>
      </c>
      <c r="L81" s="1" t="s">
        <v>61</v>
      </c>
      <c r="M81" s="3" t="s">
        <v>46</v>
      </c>
      <c r="N81" s="1" t="s">
        <v>47</v>
      </c>
      <c r="O81" s="249" t="s">
        <v>638</v>
      </c>
      <c r="P81" s="176">
        <v>40765</v>
      </c>
      <c r="Q81" s="169"/>
      <c r="R81" s="216" t="s">
        <v>639</v>
      </c>
      <c r="S81" s="216" t="s">
        <v>640</v>
      </c>
      <c r="T81" s="32" t="s">
        <v>102</v>
      </c>
      <c r="U81" s="8" t="str">
        <f>VLOOKUP('IMPO TERR'!T81,'Matriz datos'!$J$2:$K$10,2,0)</f>
        <v>AV. AMERICO VESPUCIO 0350, QUILICURA</v>
      </c>
      <c r="V81" s="83" t="s">
        <v>641</v>
      </c>
      <c r="W81" s="254" t="s">
        <v>642</v>
      </c>
      <c r="X81" s="4" t="s">
        <v>643</v>
      </c>
      <c r="Z81" s="127">
        <v>2605120555</v>
      </c>
      <c r="AA81" s="4">
        <v>2605122751</v>
      </c>
      <c r="AB81" s="234">
        <v>46095</v>
      </c>
      <c r="AC81" s="226">
        <v>46096</v>
      </c>
      <c r="AD81" s="55">
        <v>46092</v>
      </c>
      <c r="AE81" s="127">
        <v>4090180339</v>
      </c>
      <c r="AF81" s="22">
        <v>46097</v>
      </c>
      <c r="AG81" s="234">
        <v>46097</v>
      </c>
      <c r="AH81" s="226">
        <v>46099</v>
      </c>
      <c r="AI81" s="225">
        <v>141636</v>
      </c>
      <c r="AJ81" s="222">
        <v>24530000</v>
      </c>
      <c r="AK81" s="9"/>
      <c r="AL81" s="28"/>
    </row>
    <row r="82" spans="1:38" ht="24.75" customHeight="1">
      <c r="A82" s="91" t="s">
        <v>644</v>
      </c>
      <c r="B82" s="91">
        <v>180340</v>
      </c>
      <c r="C82" s="161" t="s">
        <v>39</v>
      </c>
      <c r="D82" s="4" t="s">
        <v>40</v>
      </c>
      <c r="E82" s="21">
        <v>46091</v>
      </c>
      <c r="F82" s="12"/>
      <c r="G82" s="12"/>
      <c r="H82" s="1"/>
      <c r="I82" s="1"/>
      <c r="J82" s="1"/>
      <c r="K82" s="1" t="s">
        <v>44</v>
      </c>
      <c r="L82" s="1" t="s">
        <v>61</v>
      </c>
      <c r="M82" s="3" t="s">
        <v>46</v>
      </c>
      <c r="N82" s="1" t="s">
        <v>47</v>
      </c>
      <c r="O82" s="249" t="s">
        <v>645</v>
      </c>
      <c r="P82" s="176">
        <v>40471</v>
      </c>
      <c r="Q82" s="169"/>
      <c r="R82" s="216" t="s">
        <v>646</v>
      </c>
      <c r="S82" s="216" t="s">
        <v>647</v>
      </c>
      <c r="T82" s="32" t="s">
        <v>76</v>
      </c>
      <c r="U82" s="8" t="str">
        <f>VLOOKUP('IMPO TERR'!T82,'Matriz datos'!$J$2:$K$10,2,0)</f>
        <v>AV. PDTE. EDUARDO FREI 8301, QUILICURA</v>
      </c>
      <c r="V82" s="216" t="s">
        <v>648</v>
      </c>
      <c r="W82" s="92" t="s">
        <v>649</v>
      </c>
      <c r="X82" s="4" t="s">
        <v>650</v>
      </c>
      <c r="Z82" s="127">
        <v>2605120568</v>
      </c>
      <c r="AA82" s="4">
        <v>2605122896</v>
      </c>
      <c r="AB82" s="234">
        <v>46094</v>
      </c>
      <c r="AC82" s="226">
        <v>46095</v>
      </c>
      <c r="AD82" s="21">
        <v>46092</v>
      </c>
      <c r="AE82" s="127">
        <v>4090180340</v>
      </c>
      <c r="AF82" s="22">
        <v>46095</v>
      </c>
      <c r="AG82" s="234">
        <v>46095</v>
      </c>
      <c r="AH82" s="226">
        <v>46098</v>
      </c>
      <c r="AI82" s="225">
        <v>141605</v>
      </c>
      <c r="AJ82" s="222">
        <v>13560000</v>
      </c>
      <c r="AK82" s="9"/>
      <c r="AL82" s="28"/>
    </row>
    <row r="83" spans="1:38" ht="24.75" customHeight="1">
      <c r="A83" s="91" t="s">
        <v>651</v>
      </c>
      <c r="B83" s="91">
        <v>180341</v>
      </c>
      <c r="C83" s="161" t="s">
        <v>39</v>
      </c>
      <c r="D83" s="4" t="s">
        <v>40</v>
      </c>
      <c r="E83" s="54" t="s">
        <v>652</v>
      </c>
      <c r="F83" s="12"/>
      <c r="G83" s="12"/>
      <c r="H83" s="1"/>
      <c r="I83" s="1"/>
      <c r="J83" s="1"/>
      <c r="K83" s="1" t="s">
        <v>44</v>
      </c>
      <c r="L83" s="1" t="s">
        <v>61</v>
      </c>
      <c r="M83" s="3" t="s">
        <v>46</v>
      </c>
      <c r="N83" s="1" t="s">
        <v>47</v>
      </c>
      <c r="O83" s="249" t="s">
        <v>653</v>
      </c>
      <c r="P83" s="176">
        <v>40471</v>
      </c>
      <c r="R83" s="216" t="s">
        <v>646</v>
      </c>
      <c r="S83" s="190" t="s">
        <v>647</v>
      </c>
      <c r="T83" s="32" t="s">
        <v>76</v>
      </c>
      <c r="U83" s="8" t="str">
        <f>VLOOKUP('IMPO TERR'!T83,'Matriz datos'!$J$2:$K$10,2,0)</f>
        <v>AV. PDTE. EDUARDO FREI 8301, QUILICURA</v>
      </c>
      <c r="V83" s="216" t="s">
        <v>648</v>
      </c>
      <c r="W83" s="92" t="s">
        <v>649</v>
      </c>
      <c r="X83" s="4" t="s">
        <v>650</v>
      </c>
      <c r="Z83" s="127">
        <v>2605120044</v>
      </c>
      <c r="AA83" s="4">
        <v>2605122843</v>
      </c>
      <c r="AB83" s="234">
        <v>46094</v>
      </c>
      <c r="AC83" s="226">
        <v>46095</v>
      </c>
      <c r="AD83" s="21">
        <v>46092</v>
      </c>
      <c r="AE83" s="127">
        <v>4090180341</v>
      </c>
      <c r="AF83" s="22">
        <v>46095</v>
      </c>
      <c r="AG83" s="248">
        <v>46095</v>
      </c>
      <c r="AH83" s="226">
        <v>46098</v>
      </c>
      <c r="AI83" s="225">
        <v>141605</v>
      </c>
      <c r="AJ83" s="222">
        <v>13640000</v>
      </c>
      <c r="AK83" s="9"/>
      <c r="AL83" s="28"/>
    </row>
    <row r="84" spans="1:38" ht="24.75" customHeight="1">
      <c r="A84" s="91" t="s">
        <v>654</v>
      </c>
      <c r="B84" s="91">
        <v>180356</v>
      </c>
      <c r="C84" s="161" t="s">
        <v>39</v>
      </c>
      <c r="D84" s="41" t="s">
        <v>40</v>
      </c>
      <c r="E84" s="21">
        <v>46091</v>
      </c>
      <c r="F84" s="12"/>
      <c r="G84" s="12"/>
      <c r="H84" s="1"/>
      <c r="I84" s="1"/>
      <c r="J84" s="1"/>
      <c r="K84" s="1" t="s">
        <v>44</v>
      </c>
      <c r="L84" s="1" t="s">
        <v>256</v>
      </c>
      <c r="M84" s="3" t="s">
        <v>46</v>
      </c>
      <c r="N84" s="1" t="s">
        <v>47</v>
      </c>
      <c r="O84" s="249" t="s">
        <v>655</v>
      </c>
      <c r="P84" s="176"/>
      <c r="Q84" s="169" t="s">
        <v>656</v>
      </c>
      <c r="R84" s="216" t="s">
        <v>657</v>
      </c>
      <c r="S84" s="216" t="s">
        <v>658</v>
      </c>
      <c r="T84" s="32" t="s">
        <v>76</v>
      </c>
      <c r="U84" s="8" t="str">
        <f>VLOOKUP('IMPO TERR'!T84,'Matriz datos'!$J$2:$K$10,2,0)</f>
        <v>AV. PDTE. EDUARDO FREI 8301, QUILICURA</v>
      </c>
      <c r="V84" s="63" t="s">
        <v>659</v>
      </c>
      <c r="W84" s="73" t="s">
        <v>660</v>
      </c>
      <c r="X84" s="4" t="s">
        <v>661</v>
      </c>
      <c r="Z84" s="127">
        <v>2605120769</v>
      </c>
      <c r="AA84" s="4">
        <v>2605122963</v>
      </c>
      <c r="AB84" s="234">
        <v>46093</v>
      </c>
      <c r="AC84" s="95">
        <v>46093</v>
      </c>
      <c r="AD84" s="21">
        <v>46092</v>
      </c>
      <c r="AE84" s="127">
        <v>4090180356</v>
      </c>
      <c r="AF84" s="22">
        <v>46093</v>
      </c>
      <c r="AG84" s="115">
        <v>46094</v>
      </c>
      <c r="AH84" s="234">
        <v>46094</v>
      </c>
      <c r="AI84" s="225">
        <v>141148</v>
      </c>
      <c r="AJ84" s="222">
        <v>49180000</v>
      </c>
      <c r="AK84" s="9"/>
      <c r="AL84" s="28"/>
    </row>
    <row r="85" spans="1:38" ht="24.75" customHeight="1">
      <c r="A85" s="91" t="s">
        <v>662</v>
      </c>
      <c r="B85" s="91">
        <v>180357</v>
      </c>
      <c r="C85" s="161" t="s">
        <v>39</v>
      </c>
      <c r="D85" s="4" t="s">
        <v>40</v>
      </c>
      <c r="E85" s="21">
        <v>46091</v>
      </c>
      <c r="F85" s="12"/>
      <c r="G85" s="12"/>
      <c r="H85" s="1"/>
      <c r="I85" s="1"/>
      <c r="J85" s="1"/>
      <c r="K85" s="1" t="s">
        <v>44</v>
      </c>
      <c r="L85" s="1" t="s">
        <v>256</v>
      </c>
      <c r="M85" s="3" t="s">
        <v>46</v>
      </c>
      <c r="N85" s="1" t="s">
        <v>47</v>
      </c>
      <c r="O85" s="249" t="s">
        <v>663</v>
      </c>
      <c r="P85" s="176"/>
      <c r="Q85" s="169" t="s">
        <v>258</v>
      </c>
      <c r="R85" s="216" t="s">
        <v>664</v>
      </c>
      <c r="S85" s="216" t="s">
        <v>665</v>
      </c>
      <c r="T85" s="32" t="s">
        <v>76</v>
      </c>
      <c r="U85" s="8" t="str">
        <f>VLOOKUP('IMPO TERR'!T85,'Matriz datos'!$J$2:$K$10,2,0)</f>
        <v>AV. PDTE. EDUARDO FREI 8301, QUILICURA</v>
      </c>
      <c r="V85" s="63" t="s">
        <v>666</v>
      </c>
      <c r="W85" s="78" t="s">
        <v>667</v>
      </c>
      <c r="X85" s="4" t="s">
        <v>668</v>
      </c>
      <c r="Z85" s="127">
        <v>2605121478</v>
      </c>
      <c r="AA85" s="4">
        <v>2605122911</v>
      </c>
      <c r="AB85" s="192">
        <v>46092</v>
      </c>
      <c r="AC85" s="96">
        <v>46093</v>
      </c>
      <c r="AD85" s="21">
        <v>46093</v>
      </c>
      <c r="AE85" s="127">
        <v>4090180357</v>
      </c>
      <c r="AF85" s="22">
        <v>46093</v>
      </c>
      <c r="AG85" s="116">
        <v>46093</v>
      </c>
      <c r="AH85" s="232">
        <v>46093</v>
      </c>
      <c r="AI85" s="216">
        <v>141578</v>
      </c>
      <c r="AJ85" s="222">
        <v>30550000</v>
      </c>
      <c r="AK85" s="9"/>
      <c r="AL85" s="28"/>
    </row>
    <row r="86" spans="1:38" ht="24.75" customHeight="1">
      <c r="A86" s="91" t="s">
        <v>669</v>
      </c>
      <c r="B86" s="91">
        <v>180358</v>
      </c>
      <c r="C86" s="161" t="s">
        <v>503</v>
      </c>
      <c r="D86" s="89" t="s">
        <v>142</v>
      </c>
      <c r="E86" s="21">
        <v>46091</v>
      </c>
      <c r="F86" s="12"/>
      <c r="G86" s="12"/>
      <c r="H86" s="1"/>
      <c r="I86" s="1"/>
      <c r="J86" s="1"/>
      <c r="K86" s="1" t="s">
        <v>60</v>
      </c>
      <c r="L86" s="1" t="s">
        <v>45</v>
      </c>
      <c r="M86" s="3" t="s">
        <v>46</v>
      </c>
      <c r="N86" s="1" t="s">
        <v>47</v>
      </c>
      <c r="O86" s="249" t="s">
        <v>670</v>
      </c>
      <c r="P86" s="176">
        <v>43701</v>
      </c>
      <c r="Q86" s="169" t="s">
        <v>221</v>
      </c>
      <c r="R86" s="216" t="s">
        <v>671</v>
      </c>
      <c r="S86" s="216" t="s">
        <v>672</v>
      </c>
      <c r="T86" s="32" t="s">
        <v>102</v>
      </c>
      <c r="U86" s="8" t="s">
        <v>673</v>
      </c>
      <c r="V86" s="83" t="s">
        <v>674</v>
      </c>
      <c r="W86" s="221">
        <v>162138413</v>
      </c>
      <c r="X86" s="4" t="s">
        <v>675</v>
      </c>
      <c r="Z86" s="127">
        <v>2605125296</v>
      </c>
      <c r="AA86" s="149">
        <v>2605127569</v>
      </c>
      <c r="AB86" s="234">
        <v>46099</v>
      </c>
      <c r="AC86" s="226">
        <v>46100</v>
      </c>
      <c r="AD86" s="53">
        <v>46094</v>
      </c>
      <c r="AE86" s="127">
        <v>4090180358</v>
      </c>
      <c r="AF86" s="22">
        <v>46100</v>
      </c>
      <c r="AG86" s="208" t="s">
        <v>676</v>
      </c>
      <c r="AH86" s="251" t="s">
        <v>58</v>
      </c>
      <c r="AI86" s="216"/>
      <c r="AJ86" s="222">
        <v>14980000</v>
      </c>
      <c r="AK86" s="9"/>
      <c r="AL86" s="28"/>
    </row>
    <row r="87" spans="1:38" ht="24.75" customHeight="1">
      <c r="A87" s="91" t="s">
        <v>677</v>
      </c>
      <c r="B87" s="91">
        <v>180359</v>
      </c>
      <c r="C87" s="161" t="s">
        <v>39</v>
      </c>
      <c r="D87" s="4" t="s">
        <v>40</v>
      </c>
      <c r="E87" s="21">
        <v>46091</v>
      </c>
      <c r="F87" s="12"/>
      <c r="G87" s="12"/>
      <c r="H87" s="1"/>
      <c r="I87" s="1"/>
      <c r="J87" s="1"/>
      <c r="K87" s="1" t="s">
        <v>44</v>
      </c>
      <c r="L87" s="1" t="s">
        <v>45</v>
      </c>
      <c r="M87" s="3" t="s">
        <v>46</v>
      </c>
      <c r="N87" s="1" t="s">
        <v>47</v>
      </c>
      <c r="O87" s="8" t="s">
        <v>678</v>
      </c>
      <c r="P87" s="176">
        <v>41827</v>
      </c>
      <c r="Q87" s="169" t="s">
        <v>49</v>
      </c>
      <c r="R87" s="15" t="s">
        <v>679</v>
      </c>
      <c r="S87" s="15" t="s">
        <v>680</v>
      </c>
      <c r="T87" s="32" t="s">
        <v>76</v>
      </c>
      <c r="U87" s="8" t="str">
        <f>VLOOKUP('IMPO TERR'!T87,'Matriz datos'!$J$2:$K$10,2,0)</f>
        <v>AV. PDTE. EDUARDO FREI 8301, QUILICURA</v>
      </c>
      <c r="V87" s="216" t="s">
        <v>681</v>
      </c>
      <c r="W87" s="64" t="s">
        <v>682</v>
      </c>
      <c r="X87" s="4" t="s">
        <v>683</v>
      </c>
      <c r="Z87" s="127">
        <v>2605122382</v>
      </c>
      <c r="AA87" s="163">
        <v>2605125584</v>
      </c>
      <c r="AB87" s="234">
        <v>46097</v>
      </c>
      <c r="AC87" s="226">
        <v>46098</v>
      </c>
      <c r="AD87" s="21">
        <v>46093</v>
      </c>
      <c r="AE87" s="130">
        <v>4090180359</v>
      </c>
      <c r="AF87" s="22">
        <v>46097</v>
      </c>
      <c r="AG87" s="232"/>
      <c r="AH87" s="43">
        <v>46099</v>
      </c>
      <c r="AI87" s="225"/>
      <c r="AJ87" s="222">
        <v>25420000</v>
      </c>
      <c r="AK87" s="9"/>
      <c r="AL87" s="28"/>
    </row>
    <row r="88" spans="1:38" ht="24.75" customHeight="1">
      <c r="A88" s="91" t="s">
        <v>684</v>
      </c>
      <c r="B88" s="91">
        <v>180360</v>
      </c>
      <c r="C88" s="161" t="s">
        <v>39</v>
      </c>
      <c r="D88" s="1" t="s">
        <v>58</v>
      </c>
      <c r="E88" s="21">
        <v>46091</v>
      </c>
      <c r="F88" s="12"/>
      <c r="G88" s="12"/>
      <c r="H88" s="1"/>
      <c r="I88" s="1"/>
      <c r="J88" s="1"/>
      <c r="K88" s="1" t="s">
        <v>44</v>
      </c>
      <c r="L88" s="1" t="s">
        <v>61</v>
      </c>
      <c r="M88" s="3" t="s">
        <v>46</v>
      </c>
      <c r="N88" s="1" t="s">
        <v>47</v>
      </c>
      <c r="O88" s="249" t="s">
        <v>685</v>
      </c>
      <c r="P88" s="176">
        <v>41146</v>
      </c>
      <c r="Q88" s="169" t="s">
        <v>63</v>
      </c>
      <c r="R88" s="15" t="s">
        <v>686</v>
      </c>
      <c r="S88" s="15" t="s">
        <v>687</v>
      </c>
      <c r="T88" s="32" t="s">
        <v>403</v>
      </c>
      <c r="U88" s="8" t="str">
        <f>VLOOKUP('IMPO TERR'!T88,'Matriz datos'!$J$2:$K$10,2,0)</f>
        <v>CORDILLERA 451, QUILICURA</v>
      </c>
      <c r="V88" s="255" t="s">
        <v>688</v>
      </c>
      <c r="W88" s="64" t="s">
        <v>689</v>
      </c>
      <c r="X88" s="4" t="s">
        <v>690</v>
      </c>
      <c r="Z88" s="127">
        <v>2605122451</v>
      </c>
      <c r="AA88" s="4">
        <v>2605125662</v>
      </c>
      <c r="AB88" s="234">
        <v>46096</v>
      </c>
      <c r="AC88" s="226">
        <v>46097</v>
      </c>
      <c r="AD88" s="94">
        <v>46093</v>
      </c>
      <c r="AE88" s="131">
        <v>4090180360</v>
      </c>
      <c r="AF88" s="22">
        <v>46097</v>
      </c>
      <c r="AG88" s="234">
        <v>46097</v>
      </c>
      <c r="AH88" s="239">
        <v>46099</v>
      </c>
      <c r="AI88" s="216">
        <v>141622</v>
      </c>
      <c r="AJ88" s="222">
        <v>28710000</v>
      </c>
      <c r="AK88" s="9"/>
      <c r="AL88" s="28"/>
    </row>
    <row r="89" spans="1:38" ht="24.75" customHeight="1">
      <c r="A89" s="91" t="s">
        <v>691</v>
      </c>
      <c r="B89" s="91">
        <v>180361</v>
      </c>
      <c r="C89" s="161" t="s">
        <v>39</v>
      </c>
      <c r="D89" s="4" t="s">
        <v>142</v>
      </c>
      <c r="E89" s="21">
        <v>46091</v>
      </c>
      <c r="F89" s="12"/>
      <c r="G89" s="12"/>
      <c r="H89" s="1"/>
      <c r="I89" s="1"/>
      <c r="J89" s="1"/>
      <c r="K89" s="1" t="s">
        <v>44</v>
      </c>
      <c r="L89" s="1" t="s">
        <v>61</v>
      </c>
      <c r="M89" s="3" t="s">
        <v>46</v>
      </c>
      <c r="N89" s="1" t="s">
        <v>47</v>
      </c>
      <c r="O89" s="249" t="s">
        <v>692</v>
      </c>
      <c r="P89" s="176">
        <v>40911</v>
      </c>
      <c r="Q89" s="169" t="s">
        <v>693</v>
      </c>
      <c r="R89" s="216" t="s">
        <v>694</v>
      </c>
      <c r="S89" s="216" t="s">
        <v>695</v>
      </c>
      <c r="T89" s="32" t="s">
        <v>188</v>
      </c>
      <c r="U89" s="8" t="str">
        <f>VLOOKUP('IMPO TERR'!T89,'Matriz datos'!$J$2:$K$10,2,0)</f>
        <v>AV. EL PARRON 345, LA CISTERNA</v>
      </c>
      <c r="V89" s="255" t="s">
        <v>696</v>
      </c>
      <c r="W89" s="64"/>
      <c r="X89" s="4" t="s">
        <v>697</v>
      </c>
      <c r="Z89" s="127">
        <v>2605125301</v>
      </c>
      <c r="AA89" s="163">
        <v>2605127571</v>
      </c>
      <c r="AB89" s="234">
        <v>46096</v>
      </c>
      <c r="AC89" s="226">
        <v>46097</v>
      </c>
      <c r="AD89" s="53">
        <v>46084</v>
      </c>
      <c r="AE89" s="131">
        <v>4090180361</v>
      </c>
      <c r="AF89" s="22">
        <v>46097</v>
      </c>
      <c r="AG89" s="234">
        <v>46098</v>
      </c>
      <c r="AH89" s="51">
        <v>46099</v>
      </c>
      <c r="AI89" s="216">
        <v>141639</v>
      </c>
      <c r="AJ89" s="222">
        <v>28790000</v>
      </c>
      <c r="AK89" s="9"/>
      <c r="AL89" s="28"/>
    </row>
    <row r="90" spans="1:38" ht="24.75" customHeight="1">
      <c r="A90" s="91" t="s">
        <v>698</v>
      </c>
      <c r="B90" s="91">
        <v>180365</v>
      </c>
      <c r="C90" s="161" t="s">
        <v>495</v>
      </c>
      <c r="D90" s="1" t="s">
        <v>58</v>
      </c>
      <c r="E90" s="21">
        <v>46091</v>
      </c>
      <c r="F90" s="12"/>
      <c r="G90" s="12"/>
      <c r="H90" s="1"/>
      <c r="I90" s="1"/>
      <c r="J90" s="1"/>
      <c r="K90" s="1" t="s">
        <v>44</v>
      </c>
      <c r="L90" s="1" t="s">
        <v>45</v>
      </c>
      <c r="M90" s="1" t="s">
        <v>46</v>
      </c>
      <c r="N90" s="1" t="s">
        <v>47</v>
      </c>
      <c r="O90" s="249" t="s">
        <v>699</v>
      </c>
      <c r="P90" s="176"/>
      <c r="Q90" s="169" t="s">
        <v>49</v>
      </c>
      <c r="R90" s="216" t="s">
        <v>700</v>
      </c>
      <c r="S90" s="216" t="s">
        <v>701</v>
      </c>
      <c r="T90" s="32" t="s">
        <v>76</v>
      </c>
      <c r="U90" s="8" t="str">
        <f>VLOOKUP('IMPO TERR'!T90,'Matriz datos'!$J$2:$K$10,2,0)</f>
        <v>AV. PDTE. EDUARDO FREI 8301, QUILICURA</v>
      </c>
      <c r="V90" s="31" t="s">
        <v>702</v>
      </c>
      <c r="W90" s="84" t="s">
        <v>703</v>
      </c>
      <c r="X90" s="4" t="s">
        <v>704</v>
      </c>
      <c r="Z90" s="127">
        <v>2605123608</v>
      </c>
      <c r="AA90" s="149">
        <v>2605125446</v>
      </c>
      <c r="AB90" s="225"/>
      <c r="AC90" s="226"/>
      <c r="AD90" s="21">
        <v>46093</v>
      </c>
      <c r="AE90" s="127">
        <v>4090180365</v>
      </c>
      <c r="AG90" s="244"/>
      <c r="AH90" s="216"/>
      <c r="AI90" s="216"/>
      <c r="AJ90" s="222">
        <v>24380000</v>
      </c>
      <c r="AK90" s="9"/>
      <c r="AL90" s="28"/>
    </row>
    <row r="91" spans="1:38" ht="24.75" customHeight="1">
      <c r="A91" s="91" t="s">
        <v>705</v>
      </c>
      <c r="B91" s="91">
        <v>180366</v>
      </c>
      <c r="C91" s="161" t="s">
        <v>39</v>
      </c>
      <c r="D91" s="4" t="s">
        <v>40</v>
      </c>
      <c r="E91" s="21">
        <v>46091</v>
      </c>
      <c r="F91" s="12"/>
      <c r="G91" s="12"/>
      <c r="H91" s="1"/>
      <c r="I91" s="1"/>
      <c r="J91" s="1"/>
      <c r="K91" s="1" t="s">
        <v>44</v>
      </c>
      <c r="L91" s="1" t="s">
        <v>61</v>
      </c>
      <c r="M91" s="1" t="s">
        <v>46</v>
      </c>
      <c r="N91" s="1" t="s">
        <v>47</v>
      </c>
      <c r="O91" s="249" t="s">
        <v>706</v>
      </c>
      <c r="P91" s="176">
        <v>40910</v>
      </c>
      <c r="Q91" s="169" t="s">
        <v>693</v>
      </c>
      <c r="R91" s="216" t="s">
        <v>707</v>
      </c>
      <c r="S91" s="216" t="s">
        <v>708</v>
      </c>
      <c r="T91" s="32" t="s">
        <v>395</v>
      </c>
      <c r="U91" s="8" t="str">
        <f>VLOOKUP('IMPO TERR'!T91,'Matriz datos'!$J$2:$K$10,2,0)</f>
        <v>CAMINO LO AGUIRRE SUR 537, PUDAHUEL </v>
      </c>
      <c r="V91" s="76" t="s">
        <v>709</v>
      </c>
      <c r="W91" s="74" t="s">
        <v>710</v>
      </c>
      <c r="X91" s="4" t="s">
        <v>711</v>
      </c>
      <c r="Z91" s="127">
        <v>2605121569</v>
      </c>
      <c r="AA91" s="163">
        <v>2605122923</v>
      </c>
      <c r="AB91" s="234">
        <v>46096</v>
      </c>
      <c r="AC91" s="226">
        <v>46097</v>
      </c>
      <c r="AD91" s="55">
        <v>46093</v>
      </c>
      <c r="AE91" s="127">
        <v>4090180366</v>
      </c>
      <c r="AF91" s="22">
        <v>46097</v>
      </c>
      <c r="AG91" s="115">
        <v>46098</v>
      </c>
      <c r="AH91" s="116">
        <v>46099</v>
      </c>
      <c r="AI91" s="216"/>
      <c r="AJ91" s="222">
        <v>34270000</v>
      </c>
      <c r="AK91" s="9"/>
      <c r="AL91" s="28"/>
    </row>
    <row r="92" spans="1:38" ht="24.75" customHeight="1">
      <c r="A92" s="91" t="s">
        <v>712</v>
      </c>
      <c r="B92" s="91">
        <v>180369</v>
      </c>
      <c r="C92" s="161" t="s">
        <v>503</v>
      </c>
      <c r="D92" s="1" t="s">
        <v>58</v>
      </c>
      <c r="E92" s="21">
        <v>46091</v>
      </c>
      <c r="F92" s="12"/>
      <c r="G92" s="12"/>
      <c r="H92" s="1"/>
      <c r="I92" s="1"/>
      <c r="J92" s="1"/>
      <c r="K92" s="1" t="s">
        <v>60</v>
      </c>
      <c r="L92" s="1" t="s">
        <v>45</v>
      </c>
      <c r="M92" s="1" t="s">
        <v>46</v>
      </c>
      <c r="N92" s="1" t="s">
        <v>47</v>
      </c>
      <c r="O92" s="249" t="s">
        <v>713</v>
      </c>
      <c r="P92" s="176">
        <v>43669</v>
      </c>
      <c r="Q92" s="169" t="s">
        <v>221</v>
      </c>
      <c r="R92" s="216" t="s">
        <v>714</v>
      </c>
      <c r="S92" s="216" t="s">
        <v>715</v>
      </c>
      <c r="T92" s="32" t="s">
        <v>102</v>
      </c>
      <c r="U92" s="8" t="str">
        <f>VLOOKUP('IMPO TERR'!T92,'Matriz datos'!$J$2:$K$10,2,0)</f>
        <v>AV. AMERICO VESPUCIO 0350, QUILICURA</v>
      </c>
      <c r="V92" s="76" t="s">
        <v>716</v>
      </c>
      <c r="W92" s="78" t="s">
        <v>717</v>
      </c>
      <c r="X92" s="4" t="s">
        <v>718</v>
      </c>
      <c r="Z92" s="127">
        <v>2605123199</v>
      </c>
      <c r="AA92" s="149">
        <v>2605125529</v>
      </c>
      <c r="AB92" s="234">
        <v>46099</v>
      </c>
      <c r="AC92" s="226">
        <v>46100</v>
      </c>
      <c r="AD92" s="21">
        <v>46093</v>
      </c>
      <c r="AE92" s="127">
        <v>4090180369</v>
      </c>
      <c r="AF92" s="22">
        <v>46100</v>
      </c>
      <c r="AG92" s="238">
        <v>46100</v>
      </c>
      <c r="AH92" s="216" t="s">
        <v>58</v>
      </c>
      <c r="AI92" s="216"/>
      <c r="AJ92" s="222">
        <v>14830000</v>
      </c>
      <c r="AK92" s="9"/>
      <c r="AL92" s="28"/>
    </row>
    <row r="93" spans="1:38" ht="24.75" customHeight="1">
      <c r="A93" s="91" t="s">
        <v>719</v>
      </c>
      <c r="B93" s="91">
        <v>180370</v>
      </c>
      <c r="C93" s="161" t="s">
        <v>39</v>
      </c>
      <c r="D93" s="4" t="s">
        <v>40</v>
      </c>
      <c r="E93" s="21">
        <v>46091</v>
      </c>
      <c r="F93" s="12"/>
      <c r="G93" s="12"/>
      <c r="H93" s="1"/>
      <c r="I93" s="1"/>
      <c r="J93" s="1"/>
      <c r="K93" s="1" t="s">
        <v>44</v>
      </c>
      <c r="L93" s="1" t="s">
        <v>45</v>
      </c>
      <c r="M93" s="1" t="s">
        <v>46</v>
      </c>
      <c r="N93" s="1" t="s">
        <v>47</v>
      </c>
      <c r="O93" s="249" t="s">
        <v>720</v>
      </c>
      <c r="P93" s="176">
        <v>43620</v>
      </c>
      <c r="Q93" s="169" t="s">
        <v>49</v>
      </c>
      <c r="R93" s="216" t="s">
        <v>721</v>
      </c>
      <c r="S93" s="216" t="s">
        <v>722</v>
      </c>
      <c r="T93" s="32" t="s">
        <v>76</v>
      </c>
      <c r="U93" s="8" t="str">
        <f>VLOOKUP('IMPO TERR'!T93,'Matriz datos'!$J$2:$K$10,2,0)</f>
        <v>AV. PDTE. EDUARDO FREI 8301, QUILICURA</v>
      </c>
      <c r="V93" s="83" t="s">
        <v>723</v>
      </c>
      <c r="W93" s="73" t="s">
        <v>724</v>
      </c>
      <c r="X93" s="4" t="s">
        <v>725</v>
      </c>
      <c r="Z93" s="127">
        <v>2605125312</v>
      </c>
      <c r="AA93" s="149">
        <v>2605127573</v>
      </c>
      <c r="AB93" s="234">
        <v>46099</v>
      </c>
      <c r="AC93" s="226">
        <v>46100</v>
      </c>
      <c r="AD93" s="21">
        <v>46094</v>
      </c>
      <c r="AE93" s="127">
        <v>4090180370</v>
      </c>
      <c r="AF93" s="22">
        <v>46100</v>
      </c>
      <c r="AG93" s="234">
        <v>46100</v>
      </c>
      <c r="AH93" s="226">
        <v>46100</v>
      </c>
      <c r="AI93" s="216"/>
      <c r="AJ93" s="222">
        <v>24220000</v>
      </c>
      <c r="AK93" s="9"/>
      <c r="AL93" s="28"/>
    </row>
    <row r="94" spans="1:38" ht="24.75" customHeight="1">
      <c r="A94" s="91" t="s">
        <v>726</v>
      </c>
      <c r="B94" s="91">
        <v>180385</v>
      </c>
      <c r="C94" s="161" t="s">
        <v>495</v>
      </c>
      <c r="D94" s="1" t="s">
        <v>58</v>
      </c>
      <c r="E94" s="21">
        <v>46092</v>
      </c>
      <c r="F94" s="12"/>
      <c r="G94" s="12"/>
      <c r="H94" s="1"/>
      <c r="I94" s="1"/>
      <c r="J94" s="1"/>
      <c r="K94" s="1" t="s">
        <v>44</v>
      </c>
      <c r="L94" s="1" t="s">
        <v>45</v>
      </c>
      <c r="M94" s="1" t="s">
        <v>46</v>
      </c>
      <c r="N94" s="1" t="s">
        <v>47</v>
      </c>
      <c r="O94" s="249" t="s">
        <v>727</v>
      </c>
      <c r="P94" s="176"/>
      <c r="Q94" s="169" t="s">
        <v>49</v>
      </c>
      <c r="R94" s="216" t="s">
        <v>728</v>
      </c>
      <c r="S94" s="216" t="s">
        <v>729</v>
      </c>
      <c r="T94" s="32" t="s">
        <v>76</v>
      </c>
      <c r="U94" s="8" t="str">
        <f>VLOOKUP('IMPO TERR'!T94,'Matriz datos'!$J$2:$K$10,2,0)</f>
        <v>AV. PDTE. EDUARDO FREI 8301, QUILICURA</v>
      </c>
      <c r="V94" s="216" t="s">
        <v>730</v>
      </c>
      <c r="W94" s="64" t="s">
        <v>731</v>
      </c>
      <c r="X94" s="4" t="s">
        <v>732</v>
      </c>
      <c r="Z94" s="127">
        <v>2605123531</v>
      </c>
      <c r="AA94" s="149">
        <v>2605125490</v>
      </c>
      <c r="AB94" s="225"/>
      <c r="AC94" s="226"/>
      <c r="AD94" s="21">
        <v>46093</v>
      </c>
      <c r="AE94" s="127">
        <v>4090180385</v>
      </c>
      <c r="AG94" s="225"/>
      <c r="AH94" s="216"/>
      <c r="AI94" s="216"/>
      <c r="AJ94" s="222">
        <v>24270000</v>
      </c>
      <c r="AK94" s="9"/>
      <c r="AL94" s="28"/>
    </row>
    <row r="95" spans="1:38" ht="24.75" customHeight="1">
      <c r="A95" s="91" t="s">
        <v>733</v>
      </c>
      <c r="B95" s="91">
        <v>180400</v>
      </c>
      <c r="C95" s="161" t="s">
        <v>39</v>
      </c>
      <c r="D95" s="4" t="s">
        <v>40</v>
      </c>
      <c r="E95" s="21">
        <v>46092</v>
      </c>
      <c r="F95" s="12"/>
      <c r="G95" s="12"/>
      <c r="H95" s="1"/>
      <c r="I95" s="1"/>
      <c r="J95" s="1"/>
      <c r="K95" s="1" t="s">
        <v>60</v>
      </c>
      <c r="L95" s="1" t="s">
        <v>45</v>
      </c>
      <c r="M95" s="1" t="s">
        <v>46</v>
      </c>
      <c r="N95" s="1" t="s">
        <v>47</v>
      </c>
      <c r="O95" s="249" t="s">
        <v>734</v>
      </c>
      <c r="P95" s="176">
        <v>42173</v>
      </c>
      <c r="Q95" s="169" t="s">
        <v>49</v>
      </c>
      <c r="R95" s="216" t="s">
        <v>735</v>
      </c>
      <c r="S95" s="216" t="s">
        <v>736</v>
      </c>
      <c r="T95" s="32" t="s">
        <v>76</v>
      </c>
      <c r="U95" s="8" t="str">
        <f>VLOOKUP('IMPO TERR'!T95,'Matriz datos'!$J$2:$K$10,2,0)</f>
        <v>AV. PDTE. EDUARDO FREI 8301, QUILICURA</v>
      </c>
      <c r="V95" s="85" t="s">
        <v>737</v>
      </c>
      <c r="W95" s="64">
        <v>57217642</v>
      </c>
      <c r="X95" s="4" t="s">
        <v>738</v>
      </c>
      <c r="Z95" s="127">
        <v>2605124864</v>
      </c>
      <c r="AA95" s="163">
        <v>2605125499</v>
      </c>
      <c r="AB95" s="234">
        <v>46097</v>
      </c>
      <c r="AC95" s="226">
        <v>46098</v>
      </c>
      <c r="AD95" s="21">
        <v>46094</v>
      </c>
      <c r="AE95" s="127">
        <v>4090180400</v>
      </c>
      <c r="AF95" s="22">
        <v>46098</v>
      </c>
      <c r="AG95" s="234">
        <v>46098</v>
      </c>
      <c r="AH95" s="51">
        <v>46099</v>
      </c>
      <c r="AI95" s="216"/>
      <c r="AJ95" s="222">
        <v>21200000</v>
      </c>
      <c r="AK95" s="9"/>
      <c r="AL95" s="28"/>
    </row>
    <row r="96" spans="1:38" ht="24.75" customHeight="1">
      <c r="A96" s="91" t="s">
        <v>739</v>
      </c>
      <c r="B96" s="91">
        <v>180401</v>
      </c>
      <c r="C96" s="161" t="s">
        <v>39</v>
      </c>
      <c r="D96" s="4" t="s">
        <v>40</v>
      </c>
      <c r="E96" s="21">
        <v>46092</v>
      </c>
      <c r="F96" s="12"/>
      <c r="G96" s="12"/>
      <c r="H96" s="1"/>
      <c r="I96" s="1"/>
      <c r="J96" s="1"/>
      <c r="K96" s="1" t="s">
        <v>60</v>
      </c>
      <c r="L96" s="1" t="s">
        <v>45</v>
      </c>
      <c r="M96" s="1" t="s">
        <v>46</v>
      </c>
      <c r="N96" s="1" t="s">
        <v>47</v>
      </c>
      <c r="O96" s="249" t="s">
        <v>740</v>
      </c>
      <c r="P96" s="176">
        <v>42786</v>
      </c>
      <c r="Q96" s="172" t="s">
        <v>230</v>
      </c>
      <c r="R96" s="216" t="s">
        <v>741</v>
      </c>
      <c r="S96" s="216" t="s">
        <v>742</v>
      </c>
      <c r="T96" s="32" t="s">
        <v>76</v>
      </c>
      <c r="U96" s="8" t="str">
        <f>VLOOKUP('IMPO TERR'!T96,'Matriz datos'!$J$2:$K$10,2,0)</f>
        <v>AV. PDTE. EDUARDO FREI 8301, QUILICURA</v>
      </c>
      <c r="V96" s="76" t="s">
        <v>743</v>
      </c>
      <c r="W96" s="64" t="s">
        <v>744</v>
      </c>
      <c r="X96" s="4" t="s">
        <v>745</v>
      </c>
      <c r="Z96" s="127">
        <v>2605124553</v>
      </c>
      <c r="AA96" s="163">
        <v>2605125424</v>
      </c>
      <c r="AB96" s="234">
        <v>46098</v>
      </c>
      <c r="AC96" s="226">
        <v>46099</v>
      </c>
      <c r="AD96" s="21">
        <v>46094</v>
      </c>
      <c r="AE96" s="127">
        <v>4090180401</v>
      </c>
      <c r="AF96" s="22">
        <v>46098</v>
      </c>
      <c r="AG96" s="116">
        <v>46099</v>
      </c>
      <c r="AH96" s="226">
        <v>46099</v>
      </c>
      <c r="AI96" s="216"/>
      <c r="AJ96" s="222">
        <v>21200000</v>
      </c>
      <c r="AK96" s="9"/>
      <c r="AL96" s="28"/>
    </row>
    <row r="97" spans="1:38" ht="24.75" customHeight="1">
      <c r="A97" s="91" t="s">
        <v>746</v>
      </c>
      <c r="B97" s="91">
        <v>180402</v>
      </c>
      <c r="C97" s="161"/>
      <c r="D97" s="1" t="s">
        <v>58</v>
      </c>
      <c r="E97" s="21">
        <v>46092</v>
      </c>
      <c r="F97" s="12"/>
      <c r="G97" s="12"/>
      <c r="H97" s="1"/>
      <c r="I97" s="1"/>
      <c r="J97" s="1"/>
      <c r="K97" s="1" t="s">
        <v>44</v>
      </c>
      <c r="L97" s="1" t="s">
        <v>45</v>
      </c>
      <c r="M97" s="1" t="s">
        <v>46</v>
      </c>
      <c r="N97" s="1" t="s">
        <v>47</v>
      </c>
      <c r="O97" s="249" t="s">
        <v>747</v>
      </c>
      <c r="P97" s="179"/>
      <c r="Q97" s="174"/>
      <c r="R97" s="216" t="s">
        <v>748</v>
      </c>
      <c r="S97" s="216" t="s">
        <v>749</v>
      </c>
      <c r="T97" s="32" t="s">
        <v>76</v>
      </c>
      <c r="U97" s="8" t="str">
        <f>VLOOKUP('IMPO TERR'!T97,'Matriz datos'!$J$2:$K$10,2,0)</f>
        <v>AV. PDTE. EDUARDO FREI 8301, QUILICURA</v>
      </c>
      <c r="V97" s="86" t="s">
        <v>750</v>
      </c>
      <c r="W97" s="64" t="s">
        <v>751</v>
      </c>
      <c r="X97" s="4" t="s">
        <v>752</v>
      </c>
      <c r="Z97" s="127">
        <v>2605127196</v>
      </c>
      <c r="AA97" s="149">
        <v>2605127579</v>
      </c>
      <c r="AB97" s="225"/>
      <c r="AC97" s="226"/>
      <c r="AD97" s="21">
        <v>46095</v>
      </c>
      <c r="AE97" s="142">
        <v>4090180402</v>
      </c>
      <c r="AG97" s="225"/>
      <c r="AH97" s="216"/>
      <c r="AI97" s="216"/>
      <c r="AJ97" s="222">
        <v>25760000</v>
      </c>
      <c r="AK97" s="9"/>
      <c r="AL97" s="28"/>
    </row>
    <row r="98" spans="1:38" ht="24.75" customHeight="1">
      <c r="A98" s="91" t="s">
        <v>753</v>
      </c>
      <c r="B98" s="91">
        <v>180403</v>
      </c>
      <c r="C98" s="161" t="s">
        <v>39</v>
      </c>
      <c r="D98" s="4" t="s">
        <v>142</v>
      </c>
      <c r="E98" s="21">
        <v>46092</v>
      </c>
      <c r="F98" s="12"/>
      <c r="G98" s="97" t="s">
        <v>754</v>
      </c>
      <c r="H98" s="1"/>
      <c r="I98" s="1"/>
      <c r="J98" s="1"/>
      <c r="K98" s="1" t="s">
        <v>44</v>
      </c>
      <c r="L98" s="1" t="s">
        <v>256</v>
      </c>
      <c r="M98" s="1" t="s">
        <v>46</v>
      </c>
      <c r="N98" s="1" t="s">
        <v>47</v>
      </c>
      <c r="O98" s="249" t="s">
        <v>755</v>
      </c>
      <c r="P98" s="179" t="s">
        <v>756</v>
      </c>
      <c r="Q98" s="174"/>
      <c r="R98" s="216" t="s">
        <v>757</v>
      </c>
      <c r="S98" s="216" t="s">
        <v>758</v>
      </c>
      <c r="T98" s="32" t="s">
        <v>610</v>
      </c>
      <c r="U98" s="8" t="s">
        <v>611</v>
      </c>
      <c r="V98" s="76" t="s">
        <v>759</v>
      </c>
      <c r="W98" s="221" t="s">
        <v>760</v>
      </c>
      <c r="X98" s="4" t="s">
        <v>761</v>
      </c>
      <c r="Z98" s="127">
        <v>2605123208</v>
      </c>
      <c r="AA98" s="163">
        <v>2605125489</v>
      </c>
      <c r="AB98" s="248">
        <v>46097</v>
      </c>
      <c r="AC98" s="226">
        <v>46098</v>
      </c>
      <c r="AD98" s="21">
        <v>46097</v>
      </c>
      <c r="AE98" s="127">
        <v>4090180403</v>
      </c>
      <c r="AF98" s="22">
        <v>46098</v>
      </c>
      <c r="AG98" s="116">
        <v>46099</v>
      </c>
      <c r="AH98" s="226">
        <v>46100</v>
      </c>
      <c r="AI98" s="216"/>
      <c r="AJ98" s="222">
        <v>35880000</v>
      </c>
      <c r="AK98" s="9"/>
      <c r="AL98" s="28"/>
    </row>
    <row r="99" spans="1:38" ht="24.75" customHeight="1">
      <c r="A99" s="91" t="s">
        <v>762</v>
      </c>
      <c r="B99" s="91">
        <v>180405</v>
      </c>
      <c r="C99" s="161" t="s">
        <v>503</v>
      </c>
      <c r="D99" s="1" t="s">
        <v>58</v>
      </c>
      <c r="E99" s="21">
        <v>46092</v>
      </c>
      <c r="F99" s="12"/>
      <c r="G99" s="12" t="s">
        <v>763</v>
      </c>
      <c r="H99" s="1"/>
      <c r="I99" s="1"/>
      <c r="J99" s="1"/>
      <c r="K99" s="1" t="s">
        <v>44</v>
      </c>
      <c r="L99" s="1" t="s">
        <v>45</v>
      </c>
      <c r="M99" s="1" t="s">
        <v>46</v>
      </c>
      <c r="N99" s="1" t="s">
        <v>47</v>
      </c>
      <c r="O99" s="249" t="s">
        <v>764</v>
      </c>
      <c r="P99" s="179">
        <v>42857</v>
      </c>
      <c r="Q99" s="175" t="s">
        <v>49</v>
      </c>
      <c r="R99" s="216" t="s">
        <v>765</v>
      </c>
      <c r="S99" s="216" t="s">
        <v>766</v>
      </c>
      <c r="T99" s="32" t="s">
        <v>76</v>
      </c>
      <c r="U99" s="8" t="str">
        <f>VLOOKUP('IMPO TERR'!T99,'Matriz datos'!$J$2:$K$10,2,0)</f>
        <v>AV. PDTE. EDUARDO FREI 8301, QUILICURA</v>
      </c>
      <c r="V99" s="69" t="s">
        <v>767</v>
      </c>
      <c r="W99" s="64" t="s">
        <v>768</v>
      </c>
      <c r="X99" s="4" t="s">
        <v>769</v>
      </c>
      <c r="Z99" s="127">
        <v>2605125079</v>
      </c>
      <c r="AA99" s="149">
        <v>2605127592</v>
      </c>
      <c r="AB99" s="115">
        <v>46098</v>
      </c>
      <c r="AC99" s="234">
        <v>46099</v>
      </c>
      <c r="AD99" s="55">
        <v>46094</v>
      </c>
      <c r="AE99" s="127">
        <v>4090180405</v>
      </c>
      <c r="AF99" s="22">
        <v>46099</v>
      </c>
      <c r="AG99" s="225" t="s">
        <v>58</v>
      </c>
      <c r="AH99" s="216" t="s">
        <v>58</v>
      </c>
      <c r="AI99" s="216"/>
      <c r="AJ99" s="222">
        <v>25090000</v>
      </c>
      <c r="AK99" s="9"/>
      <c r="AL99" s="28"/>
    </row>
    <row r="100" spans="1:38" ht="24.75" customHeight="1">
      <c r="A100" s="91" t="s">
        <v>770</v>
      </c>
      <c r="B100" s="91">
        <v>180407</v>
      </c>
      <c r="C100" s="161" t="s">
        <v>39</v>
      </c>
      <c r="D100" s="4" t="s">
        <v>40</v>
      </c>
      <c r="E100" s="21">
        <v>46092</v>
      </c>
      <c r="F100" s="12"/>
      <c r="G100" s="12"/>
      <c r="H100" s="1"/>
      <c r="I100" s="1"/>
      <c r="J100" s="36"/>
      <c r="K100" s="36" t="s">
        <v>60</v>
      </c>
      <c r="L100" s="36" t="s">
        <v>45</v>
      </c>
      <c r="M100" s="36" t="s">
        <v>46</v>
      </c>
      <c r="N100" s="36" t="s">
        <v>47</v>
      </c>
      <c r="O100" s="247" t="s">
        <v>771</v>
      </c>
      <c r="P100" s="176">
        <v>41498</v>
      </c>
      <c r="Q100" s="171" t="s">
        <v>772</v>
      </c>
      <c r="R100" s="216" t="s">
        <v>773</v>
      </c>
      <c r="S100" s="216" t="s">
        <v>774</v>
      </c>
      <c r="T100" s="32" t="s">
        <v>66</v>
      </c>
      <c r="U100" s="8" t="str">
        <f>VLOOKUP('IMPO TERR'!T100,'Matriz datos'!$J$2:$K$10,2,0)</f>
        <v>CAMINO SANTA MARTA 2101, MAIPU</v>
      </c>
      <c r="V100" s="216" t="s">
        <v>775</v>
      </c>
      <c r="W100" s="78" t="s">
        <v>776</v>
      </c>
      <c r="X100" s="4" t="s">
        <v>777</v>
      </c>
      <c r="Z100" s="127">
        <v>2605124012</v>
      </c>
      <c r="AA100" s="4">
        <v>2605125449</v>
      </c>
      <c r="AB100" s="238">
        <v>46097</v>
      </c>
      <c r="AC100" s="226">
        <v>46097</v>
      </c>
      <c r="AD100" s="21">
        <v>46093</v>
      </c>
      <c r="AE100" s="127">
        <v>4090180407</v>
      </c>
      <c r="AF100" s="22">
        <v>46097</v>
      </c>
      <c r="AG100" s="234">
        <v>46097</v>
      </c>
      <c r="AH100" s="226">
        <v>46098</v>
      </c>
      <c r="AI100" s="216">
        <v>141621</v>
      </c>
      <c r="AJ100" s="222">
        <v>16090000</v>
      </c>
      <c r="AK100" s="9"/>
      <c r="AL100" s="28"/>
    </row>
    <row r="101" spans="1:38" ht="24.75" customHeight="1">
      <c r="A101" s="91" t="s">
        <v>778</v>
      </c>
      <c r="B101" s="91">
        <v>180408</v>
      </c>
      <c r="C101" s="161" t="s">
        <v>39</v>
      </c>
      <c r="D101" s="89" t="s">
        <v>40</v>
      </c>
      <c r="E101" s="21">
        <v>46092</v>
      </c>
      <c r="F101" s="12"/>
      <c r="G101" s="12"/>
      <c r="H101" s="1"/>
      <c r="I101" s="1"/>
      <c r="J101" s="1"/>
      <c r="K101" s="1" t="s">
        <v>44</v>
      </c>
      <c r="L101" s="1" t="s">
        <v>61</v>
      </c>
      <c r="M101" s="1" t="s">
        <v>46</v>
      </c>
      <c r="N101" s="1" t="s">
        <v>47</v>
      </c>
      <c r="O101" s="249" t="s">
        <v>779</v>
      </c>
      <c r="P101" s="176">
        <v>42034</v>
      </c>
      <c r="Q101" s="169"/>
      <c r="R101" s="216" t="s">
        <v>780</v>
      </c>
      <c r="S101" s="216" t="s">
        <v>781</v>
      </c>
      <c r="T101" s="32" t="s">
        <v>102</v>
      </c>
      <c r="U101" s="8" t="str">
        <f>VLOOKUP('IMPO TERR'!T101,'Matriz datos'!$J$2:$K$10,2,0)</f>
        <v>AV. AMERICO VESPUCIO 0350, QUILICURA</v>
      </c>
      <c r="V101" s="255" t="s">
        <v>782</v>
      </c>
      <c r="W101" s="64" t="s">
        <v>783</v>
      </c>
      <c r="X101" s="4" t="s">
        <v>784</v>
      </c>
      <c r="Z101" s="127">
        <v>2605127558</v>
      </c>
      <c r="AA101" s="153">
        <v>2605129024</v>
      </c>
      <c r="AB101" s="234">
        <v>46097</v>
      </c>
      <c r="AC101" s="226">
        <v>46098</v>
      </c>
      <c r="AD101" s="21">
        <v>46095</v>
      </c>
      <c r="AE101" s="142">
        <v>4090180408</v>
      </c>
      <c r="AF101" s="22">
        <v>46098</v>
      </c>
      <c r="AG101" s="248">
        <v>46098</v>
      </c>
      <c r="AH101" s="226">
        <v>46100</v>
      </c>
      <c r="AI101" s="216"/>
      <c r="AJ101" s="222">
        <v>28740000</v>
      </c>
      <c r="AK101" s="9"/>
      <c r="AL101" s="28"/>
    </row>
    <row r="102" spans="1:38" ht="24.75" customHeight="1">
      <c r="A102" s="91" t="s">
        <v>785</v>
      </c>
      <c r="B102" s="91">
        <v>180409</v>
      </c>
      <c r="C102" s="210" t="s">
        <v>39</v>
      </c>
      <c r="D102" s="209" t="s">
        <v>40</v>
      </c>
      <c r="E102" s="146">
        <v>46092</v>
      </c>
      <c r="F102" s="12"/>
      <c r="G102" s="12"/>
      <c r="H102" s="1"/>
      <c r="I102" s="1"/>
      <c r="J102" s="1"/>
      <c r="K102" s="1" t="s">
        <v>44</v>
      </c>
      <c r="L102" s="1" t="s">
        <v>61</v>
      </c>
      <c r="M102" s="1" t="s">
        <v>46</v>
      </c>
      <c r="N102" s="1" t="s">
        <v>47</v>
      </c>
      <c r="O102" s="247" t="s">
        <v>786</v>
      </c>
      <c r="P102" s="176">
        <v>40915</v>
      </c>
      <c r="Q102" s="172" t="s">
        <v>693</v>
      </c>
      <c r="R102" s="216" t="s">
        <v>787</v>
      </c>
      <c r="S102" s="216" t="s">
        <v>788</v>
      </c>
      <c r="T102" s="32" t="s">
        <v>102</v>
      </c>
      <c r="U102" s="8" t="str">
        <f>VLOOKUP('IMPO TERR'!T102,'Matriz datos'!$J$2:$K$10,2,0)</f>
        <v>AV. AMERICO VESPUCIO 0350, QUILICURA</v>
      </c>
      <c r="V102" s="255" t="s">
        <v>789</v>
      </c>
      <c r="W102" s="74" t="s">
        <v>790</v>
      </c>
      <c r="X102" s="4" t="s">
        <v>791</v>
      </c>
      <c r="Z102" s="127">
        <v>2605124992</v>
      </c>
      <c r="AA102" s="149">
        <v>2605127574</v>
      </c>
      <c r="AB102" s="234">
        <v>46096</v>
      </c>
      <c r="AC102" s="226">
        <v>46097</v>
      </c>
      <c r="AD102" s="94">
        <v>46094</v>
      </c>
      <c r="AE102" s="132">
        <v>4090180409</v>
      </c>
      <c r="AF102" s="22">
        <v>46097</v>
      </c>
      <c r="AG102" s="115">
        <v>46098</v>
      </c>
      <c r="AH102" s="208" t="s">
        <v>676</v>
      </c>
      <c r="AI102" s="216"/>
      <c r="AJ102" s="222">
        <v>25360000</v>
      </c>
      <c r="AK102" s="9"/>
      <c r="AL102" s="28"/>
    </row>
    <row r="103" spans="1:38" ht="24.75" customHeight="1">
      <c r="A103" s="91" t="s">
        <v>792</v>
      </c>
      <c r="B103" s="91">
        <v>180410</v>
      </c>
      <c r="C103" s="161" t="s">
        <v>39</v>
      </c>
      <c r="D103" s="211" t="s">
        <v>142</v>
      </c>
      <c r="E103" s="21">
        <v>46092</v>
      </c>
      <c r="F103" s="12"/>
      <c r="G103" s="12"/>
      <c r="H103" s="1"/>
      <c r="I103" s="1"/>
      <c r="J103" s="1"/>
      <c r="K103" s="1" t="s">
        <v>44</v>
      </c>
      <c r="L103" s="1" t="s">
        <v>45</v>
      </c>
      <c r="M103" s="1" t="s">
        <v>46</v>
      </c>
      <c r="N103" s="1" t="s">
        <v>47</v>
      </c>
      <c r="O103" s="249" t="s">
        <v>793</v>
      </c>
      <c r="P103" s="179">
        <v>42858</v>
      </c>
      <c r="Q103" s="174" t="s">
        <v>49</v>
      </c>
      <c r="R103" s="216" t="s">
        <v>794</v>
      </c>
      <c r="S103" s="216" t="s">
        <v>795</v>
      </c>
      <c r="T103" s="32" t="s">
        <v>76</v>
      </c>
      <c r="U103" s="8" t="str">
        <f>VLOOKUP('IMPO TERR'!T103,'Matriz datos'!$J$2:$K$10,2,0)</f>
        <v>AV. PDTE. EDUARDO FREI 8301, QUILICURA</v>
      </c>
      <c r="V103" s="71" t="s">
        <v>796</v>
      </c>
      <c r="W103" s="64" t="s">
        <v>797</v>
      </c>
      <c r="X103" s="4" t="s">
        <v>798</v>
      </c>
      <c r="Z103" s="127">
        <v>2605125152</v>
      </c>
      <c r="AA103" s="163">
        <v>2605127597</v>
      </c>
      <c r="AB103" s="248">
        <v>46098</v>
      </c>
      <c r="AC103" s="229">
        <v>46099</v>
      </c>
      <c r="AD103" s="21">
        <v>46094</v>
      </c>
      <c r="AE103" s="127">
        <v>4090180410</v>
      </c>
      <c r="AF103" s="22">
        <v>46099</v>
      </c>
      <c r="AG103" s="192">
        <v>46099</v>
      </c>
      <c r="AH103" s="51">
        <v>46099</v>
      </c>
      <c r="AI103" s="216"/>
      <c r="AJ103" s="222">
        <v>25360000</v>
      </c>
      <c r="AK103" s="9"/>
      <c r="AL103" s="28"/>
    </row>
    <row r="104" spans="1:38" ht="24.75" customHeight="1">
      <c r="A104" s="91" t="s">
        <v>799</v>
      </c>
      <c r="B104" s="91">
        <v>180411</v>
      </c>
      <c r="C104" s="161" t="s">
        <v>503</v>
      </c>
      <c r="D104" s="1" t="s">
        <v>58</v>
      </c>
      <c r="E104" s="21">
        <v>46092</v>
      </c>
      <c r="F104" s="12"/>
      <c r="G104" s="197" t="s">
        <v>800</v>
      </c>
      <c r="H104" s="1"/>
      <c r="I104" s="1"/>
      <c r="J104" s="1"/>
      <c r="K104" s="1" t="s">
        <v>44</v>
      </c>
      <c r="L104" s="1" t="s">
        <v>45</v>
      </c>
      <c r="M104" s="1" t="s">
        <v>46</v>
      </c>
      <c r="N104" s="1" t="s">
        <v>47</v>
      </c>
      <c r="O104" s="249" t="s">
        <v>801</v>
      </c>
      <c r="P104" s="179">
        <v>42876</v>
      </c>
      <c r="Q104" s="175"/>
      <c r="R104" s="216" t="s">
        <v>802</v>
      </c>
      <c r="S104" s="216" t="s">
        <v>803</v>
      </c>
      <c r="T104" s="32" t="s">
        <v>76</v>
      </c>
      <c r="U104" s="8" t="str">
        <f>VLOOKUP('IMPO TERR'!T104,'Matriz datos'!$J$2:$K$10,2,0)</f>
        <v>AV. PDTE. EDUARDO FREI 8301, QUILICURA</v>
      </c>
      <c r="V104" s="63" t="s">
        <v>804</v>
      </c>
      <c r="W104" s="64" t="s">
        <v>805</v>
      </c>
      <c r="X104" s="4" t="s">
        <v>806</v>
      </c>
      <c r="Z104" s="127">
        <v>2605127560</v>
      </c>
      <c r="AA104" s="153">
        <v>2605128891</v>
      </c>
      <c r="AB104" s="166">
        <v>46098</v>
      </c>
      <c r="AC104" s="43">
        <v>46099</v>
      </c>
      <c r="AD104" s="146">
        <v>46095</v>
      </c>
      <c r="AE104" s="142">
        <v>4090180411</v>
      </c>
      <c r="AF104" s="22">
        <v>46098</v>
      </c>
      <c r="AG104" s="225" t="s">
        <v>58</v>
      </c>
      <c r="AH104" s="216" t="s">
        <v>58</v>
      </c>
      <c r="AI104" s="216"/>
      <c r="AJ104" s="222">
        <v>22740000</v>
      </c>
      <c r="AK104" s="9"/>
      <c r="AL104" s="28"/>
    </row>
    <row r="105" spans="1:38" ht="24.75" customHeight="1">
      <c r="A105" s="91" t="s">
        <v>807</v>
      </c>
      <c r="B105" s="91">
        <v>180412</v>
      </c>
      <c r="C105" s="161" t="s">
        <v>39</v>
      </c>
      <c r="D105" s="4" t="s">
        <v>40</v>
      </c>
      <c r="E105" s="21">
        <v>46092</v>
      </c>
      <c r="F105" s="12"/>
      <c r="G105" s="12"/>
      <c r="H105" s="1"/>
      <c r="I105" s="1"/>
      <c r="J105" s="1"/>
      <c r="K105" s="1" t="s">
        <v>44</v>
      </c>
      <c r="L105" s="1" t="s">
        <v>61</v>
      </c>
      <c r="M105" s="1" t="s">
        <v>46</v>
      </c>
      <c r="N105" s="1" t="s">
        <v>47</v>
      </c>
      <c r="O105" s="249" t="s">
        <v>808</v>
      </c>
      <c r="P105" s="176">
        <v>42781</v>
      </c>
      <c r="Q105" s="171" t="s">
        <v>166</v>
      </c>
      <c r="R105" s="216" t="s">
        <v>809</v>
      </c>
      <c r="S105" s="216" t="s">
        <v>810</v>
      </c>
      <c r="T105" s="32" t="s">
        <v>76</v>
      </c>
      <c r="U105" s="8" t="str">
        <f>VLOOKUP('IMPO TERR'!T105,'Matriz datos'!$J$2:$K$10,2,0)</f>
        <v>AV. PDTE. EDUARDO FREI 8301, QUILICURA</v>
      </c>
      <c r="V105" s="63" t="s">
        <v>811</v>
      </c>
      <c r="W105" s="64"/>
      <c r="X105" s="4" t="s">
        <v>812</v>
      </c>
      <c r="Z105" s="127">
        <v>2605126039</v>
      </c>
      <c r="AA105" s="195" t="s">
        <v>813</v>
      </c>
      <c r="AB105" s="253">
        <v>46098</v>
      </c>
      <c r="AC105" s="58">
        <v>46098</v>
      </c>
      <c r="AD105" s="146">
        <v>46094</v>
      </c>
      <c r="AE105" s="127">
        <v>4090180412</v>
      </c>
      <c r="AF105" s="22">
        <v>46098</v>
      </c>
      <c r="AG105" s="234">
        <v>46098</v>
      </c>
      <c r="AH105" s="226">
        <v>46099</v>
      </c>
      <c r="AI105" s="216"/>
      <c r="AJ105" s="222">
        <v>18270000</v>
      </c>
      <c r="AK105" s="9"/>
      <c r="AL105" s="28"/>
    </row>
    <row r="106" spans="1:38" ht="24.75" customHeight="1">
      <c r="A106" s="91" t="s">
        <v>814</v>
      </c>
      <c r="B106" s="91">
        <v>180413</v>
      </c>
      <c r="C106" s="161" t="s">
        <v>39</v>
      </c>
      <c r="D106" s="4" t="s">
        <v>40</v>
      </c>
      <c r="E106" s="21">
        <v>46092</v>
      </c>
      <c r="F106" s="12"/>
      <c r="G106" s="12"/>
      <c r="H106" s="1"/>
      <c r="I106" s="1"/>
      <c r="J106" s="1"/>
      <c r="K106" s="1" t="s">
        <v>44</v>
      </c>
      <c r="L106" s="1" t="s">
        <v>61</v>
      </c>
      <c r="M106" s="1" t="s">
        <v>46</v>
      </c>
      <c r="N106" s="1" t="s">
        <v>47</v>
      </c>
      <c r="O106" s="249" t="s">
        <v>815</v>
      </c>
      <c r="P106" s="176">
        <v>42781</v>
      </c>
      <c r="Q106" s="169" t="s">
        <v>166</v>
      </c>
      <c r="R106" s="216" t="s">
        <v>809</v>
      </c>
      <c r="S106" s="216" t="s">
        <v>810</v>
      </c>
      <c r="T106" s="32" t="s">
        <v>76</v>
      </c>
      <c r="U106" s="8" t="str">
        <f>VLOOKUP('IMPO TERR'!T106,'Matriz datos'!$J$2:$K$10,2,0)</f>
        <v>AV. PDTE. EDUARDO FREI 8301, QUILICURA</v>
      </c>
      <c r="V106" s="63" t="s">
        <v>816</v>
      </c>
      <c r="W106" s="64"/>
      <c r="X106" s="4" t="s">
        <v>812</v>
      </c>
      <c r="Z106" s="127">
        <v>2605125430</v>
      </c>
      <c r="AA106" s="163">
        <v>2605127606</v>
      </c>
      <c r="AB106" s="234">
        <v>46098</v>
      </c>
      <c r="AC106" s="239">
        <v>46098</v>
      </c>
      <c r="AD106" s="21">
        <v>46094</v>
      </c>
      <c r="AE106" s="142">
        <v>4090180413</v>
      </c>
      <c r="AF106" s="22">
        <v>46098</v>
      </c>
      <c r="AG106" s="116">
        <v>46098</v>
      </c>
      <c r="AH106" s="51">
        <v>46099</v>
      </c>
      <c r="AI106" s="216"/>
      <c r="AJ106" s="222">
        <v>8830000</v>
      </c>
      <c r="AK106" s="9"/>
      <c r="AL106" s="28"/>
    </row>
    <row r="107" spans="1:38" ht="24.75" customHeight="1">
      <c r="A107" s="91" t="s">
        <v>817</v>
      </c>
      <c r="B107" s="91">
        <v>180418</v>
      </c>
      <c r="C107" s="161" t="s">
        <v>495</v>
      </c>
      <c r="D107" s="1" t="s">
        <v>58</v>
      </c>
      <c r="E107" s="21">
        <v>46093</v>
      </c>
      <c r="F107" s="12"/>
      <c r="G107" s="12"/>
      <c r="H107" s="1"/>
      <c r="I107" s="1"/>
      <c r="J107" s="1"/>
      <c r="K107" s="1" t="s">
        <v>44</v>
      </c>
      <c r="L107" s="1" t="s">
        <v>45</v>
      </c>
      <c r="M107" s="1" t="s">
        <v>46</v>
      </c>
      <c r="N107" s="1" t="s">
        <v>47</v>
      </c>
      <c r="O107" s="249" t="s">
        <v>818</v>
      </c>
      <c r="P107" s="176"/>
      <c r="Q107" s="169" t="s">
        <v>49</v>
      </c>
      <c r="R107" s="216" t="s">
        <v>819</v>
      </c>
      <c r="S107" s="216" t="s">
        <v>820</v>
      </c>
      <c r="T107" s="32" t="s">
        <v>76</v>
      </c>
      <c r="U107" s="8" t="str">
        <f>VLOOKUP('IMPO TERR'!T107,'Matriz datos'!$J$2:$K$10,2,0)</f>
        <v>AV. PDTE. EDUARDO FREI 8301, QUILICURA</v>
      </c>
      <c r="V107" s="63" t="s">
        <v>821</v>
      </c>
      <c r="W107" s="64" t="s">
        <v>822</v>
      </c>
      <c r="X107" s="4" t="s">
        <v>823</v>
      </c>
      <c r="Z107" s="127">
        <v>2605125143</v>
      </c>
      <c r="AA107" s="149">
        <v>2605127578</v>
      </c>
      <c r="AB107" s="225"/>
      <c r="AC107" s="226"/>
      <c r="AD107" s="21">
        <v>46094</v>
      </c>
      <c r="AE107" s="127">
        <v>4090180418</v>
      </c>
      <c r="AG107" s="32"/>
      <c r="AH107" s="15"/>
      <c r="AI107" s="216"/>
      <c r="AJ107" s="222">
        <v>24820000</v>
      </c>
      <c r="AK107" s="9"/>
      <c r="AL107" s="28"/>
    </row>
    <row r="108" spans="1:38" ht="24.75" customHeight="1">
      <c r="A108" s="91" t="s">
        <v>824</v>
      </c>
      <c r="B108" s="91">
        <v>180419</v>
      </c>
      <c r="C108" s="161" t="s">
        <v>495</v>
      </c>
      <c r="D108" s="1" t="s">
        <v>58</v>
      </c>
      <c r="E108" s="21">
        <v>46093</v>
      </c>
      <c r="F108" s="12"/>
      <c r="G108" s="12"/>
      <c r="H108" s="1"/>
      <c r="I108" s="1"/>
      <c r="J108" s="1"/>
      <c r="K108" s="1" t="s">
        <v>44</v>
      </c>
      <c r="L108" s="1" t="s">
        <v>45</v>
      </c>
      <c r="M108" s="1" t="s">
        <v>46</v>
      </c>
      <c r="N108" s="1" t="s">
        <v>47</v>
      </c>
      <c r="O108" s="249" t="s">
        <v>825</v>
      </c>
      <c r="P108" s="176"/>
      <c r="Q108" s="172" t="s">
        <v>49</v>
      </c>
      <c r="R108" s="216" t="s">
        <v>826</v>
      </c>
      <c r="S108" s="216" t="s">
        <v>827</v>
      </c>
      <c r="T108" s="32" t="s">
        <v>102</v>
      </c>
      <c r="U108" s="8" t="str">
        <f>VLOOKUP('IMPO TERR'!T108,'Matriz datos'!$J$2:$K$10,2,0)</f>
        <v>AV. AMERICO VESPUCIO 0350, QUILICURA</v>
      </c>
      <c r="V108" s="63" t="s">
        <v>828</v>
      </c>
      <c r="W108" s="64" t="s">
        <v>829</v>
      </c>
      <c r="X108" s="4" t="s">
        <v>830</v>
      </c>
      <c r="Z108" s="127">
        <v>2605126060</v>
      </c>
      <c r="AA108" s="149">
        <v>2605127612</v>
      </c>
      <c r="AB108" s="244"/>
      <c r="AC108" s="226"/>
      <c r="AD108" s="21">
        <v>46094</v>
      </c>
      <c r="AE108" s="127">
        <v>4090180419</v>
      </c>
      <c r="AG108" s="32"/>
      <c r="AH108" s="15"/>
      <c r="AI108" s="216"/>
      <c r="AJ108" s="222">
        <v>25210000</v>
      </c>
      <c r="AK108" s="9"/>
      <c r="AL108" s="28"/>
    </row>
    <row r="109" spans="1:38" ht="24.75" customHeight="1">
      <c r="A109" s="91" t="s">
        <v>831</v>
      </c>
      <c r="B109" s="91">
        <v>180420</v>
      </c>
      <c r="C109" s="161" t="s">
        <v>503</v>
      </c>
      <c r="D109" s="1" t="s">
        <v>58</v>
      </c>
      <c r="E109" s="21">
        <v>46093</v>
      </c>
      <c r="F109" s="12"/>
      <c r="G109" s="12" t="s">
        <v>832</v>
      </c>
      <c r="H109" s="1"/>
      <c r="I109" s="1"/>
      <c r="J109" s="1"/>
      <c r="K109" s="1" t="s">
        <v>60</v>
      </c>
      <c r="L109" s="1" t="s">
        <v>45</v>
      </c>
      <c r="M109" s="1" t="s">
        <v>46</v>
      </c>
      <c r="N109" s="1" t="s">
        <v>47</v>
      </c>
      <c r="O109" s="249" t="s">
        <v>833</v>
      </c>
      <c r="P109" s="179">
        <v>42692</v>
      </c>
      <c r="Q109" s="175"/>
      <c r="R109" s="251" t="s">
        <v>834</v>
      </c>
      <c r="S109" s="216" t="s">
        <v>835</v>
      </c>
      <c r="T109" s="32" t="s">
        <v>102</v>
      </c>
      <c r="U109" s="8" t="str">
        <f>VLOOKUP('IMPO TERR'!T109,'Matriz datos'!$J$2:$K$10,2,0)</f>
        <v>AV. AMERICO VESPUCIO 0350, QUILICURA</v>
      </c>
      <c r="V109" s="63" t="s">
        <v>836</v>
      </c>
      <c r="W109" s="64" t="s">
        <v>837</v>
      </c>
      <c r="X109" s="149" t="s">
        <v>838</v>
      </c>
      <c r="Z109" s="127">
        <v>2605129127</v>
      </c>
      <c r="AA109" s="143">
        <v>2605131528</v>
      </c>
      <c r="AB109" s="206">
        <v>46098</v>
      </c>
      <c r="AC109" s="234">
        <v>46098</v>
      </c>
      <c r="AD109" s="1" t="s">
        <v>839</v>
      </c>
      <c r="AE109" s="8">
        <v>4090180420</v>
      </c>
      <c r="AG109" s="32" t="s">
        <v>58</v>
      </c>
      <c r="AH109" s="15" t="s">
        <v>58</v>
      </c>
      <c r="AI109" s="216"/>
      <c r="AJ109" s="222">
        <v>14420000</v>
      </c>
      <c r="AK109" s="9"/>
      <c r="AL109" s="28"/>
    </row>
    <row r="110" spans="1:38" ht="24.75" customHeight="1">
      <c r="A110" s="91" t="s">
        <v>840</v>
      </c>
      <c r="B110" s="91">
        <v>180423</v>
      </c>
      <c r="C110" s="161" t="s">
        <v>503</v>
      </c>
      <c r="D110" s="1" t="s">
        <v>58</v>
      </c>
      <c r="E110" s="21">
        <v>46093</v>
      </c>
      <c r="F110" s="12"/>
      <c r="G110" s="12" t="s">
        <v>841</v>
      </c>
      <c r="H110" s="1"/>
      <c r="I110" s="1"/>
      <c r="J110" s="1"/>
      <c r="K110" s="1" t="s">
        <v>60</v>
      </c>
      <c r="L110" s="1" t="s">
        <v>45</v>
      </c>
      <c r="M110" s="1" t="s">
        <v>46</v>
      </c>
      <c r="N110" s="1" t="s">
        <v>47</v>
      </c>
      <c r="O110" s="249" t="s">
        <v>842</v>
      </c>
      <c r="P110" s="176">
        <v>42692</v>
      </c>
      <c r="Q110" s="171"/>
      <c r="R110" s="18" t="s">
        <v>834</v>
      </c>
      <c r="S110" s="225" t="s">
        <v>835</v>
      </c>
      <c r="T110" s="32" t="s">
        <v>102</v>
      </c>
      <c r="U110" s="8" t="str">
        <f>VLOOKUP('IMPO TERR'!T110,'Matriz datos'!$J$2:$K$10,2,0)</f>
        <v>AV. AMERICO VESPUCIO 0350, QUILICURA</v>
      </c>
      <c r="V110" s="63" t="s">
        <v>836</v>
      </c>
      <c r="W110" s="64" t="s">
        <v>837</v>
      </c>
      <c r="X110" s="149" t="s">
        <v>838</v>
      </c>
      <c r="Z110" s="127">
        <v>2605129274</v>
      </c>
      <c r="AA110" s="149">
        <v>2605131490</v>
      </c>
      <c r="AB110" s="115">
        <v>46098</v>
      </c>
      <c r="AC110" s="234">
        <v>46098</v>
      </c>
      <c r="AD110" s="1" t="s">
        <v>839</v>
      </c>
      <c r="AE110" s="8">
        <v>4090180423</v>
      </c>
      <c r="AG110" s="32" t="s">
        <v>58</v>
      </c>
      <c r="AH110" s="15" t="s">
        <v>58</v>
      </c>
      <c r="AI110" s="216"/>
      <c r="AJ110" s="222">
        <v>3540000</v>
      </c>
      <c r="AK110" s="9"/>
      <c r="AL110" s="28"/>
    </row>
    <row r="111" spans="1:38" ht="24.75" customHeight="1">
      <c r="A111" s="91" t="s">
        <v>843</v>
      </c>
      <c r="B111" s="91">
        <v>180433</v>
      </c>
      <c r="C111" s="161" t="s">
        <v>495</v>
      </c>
      <c r="D111" s="1" t="s">
        <v>58</v>
      </c>
      <c r="E111" s="21">
        <v>46093</v>
      </c>
      <c r="F111" s="12"/>
      <c r="G111" s="12" t="s">
        <v>844</v>
      </c>
      <c r="H111" s="1"/>
      <c r="I111" s="1"/>
      <c r="J111" s="1"/>
      <c r="K111" s="1" t="s">
        <v>44</v>
      </c>
      <c r="L111" s="1" t="s">
        <v>45</v>
      </c>
      <c r="M111" s="1" t="s">
        <v>46</v>
      </c>
      <c r="N111" s="1" t="s">
        <v>47</v>
      </c>
      <c r="O111" s="8" t="s">
        <v>845</v>
      </c>
      <c r="P111" s="176"/>
      <c r="Q111" s="169"/>
      <c r="R111" s="256" t="s">
        <v>846</v>
      </c>
      <c r="S111" s="216" t="s">
        <v>847</v>
      </c>
      <c r="T111" s="32" t="s">
        <v>76</v>
      </c>
      <c r="U111" s="8" t="str">
        <f>VLOOKUP('IMPO TERR'!T111,'Matriz datos'!$J$2:$K$10,2,0)</f>
        <v>AV. PDTE. EDUARDO FREI 8301, QUILICURA</v>
      </c>
      <c r="V111" s="63" t="s">
        <v>848</v>
      </c>
      <c r="W111" s="64" t="s">
        <v>849</v>
      </c>
      <c r="X111" s="4" t="s">
        <v>850</v>
      </c>
      <c r="Z111" s="127">
        <v>2605126161</v>
      </c>
      <c r="AA111" s="149">
        <v>2605127618</v>
      </c>
      <c r="AB111" s="230"/>
      <c r="AC111" s="226"/>
      <c r="AD111" s="21">
        <v>46097</v>
      </c>
      <c r="AE111" s="127">
        <v>4090180433</v>
      </c>
      <c r="AG111" s="32"/>
      <c r="AH111" s="15"/>
      <c r="AI111" s="216"/>
      <c r="AJ111" s="222">
        <v>25980000</v>
      </c>
      <c r="AK111" s="9"/>
      <c r="AL111" s="28"/>
    </row>
    <row r="112" spans="1:38" ht="24.75" customHeight="1">
      <c r="A112" s="91" t="s">
        <v>851</v>
      </c>
      <c r="B112" s="91">
        <v>180436</v>
      </c>
      <c r="C112" s="161" t="s">
        <v>495</v>
      </c>
      <c r="D112" s="1" t="s">
        <v>58</v>
      </c>
      <c r="E112" s="21">
        <v>46093</v>
      </c>
      <c r="F112" s="12"/>
      <c r="G112" s="12"/>
      <c r="H112" s="1"/>
      <c r="I112" s="1"/>
      <c r="J112" s="1"/>
      <c r="K112" s="1" t="s">
        <v>44</v>
      </c>
      <c r="L112" s="1" t="s">
        <v>45</v>
      </c>
      <c r="M112" s="1" t="s">
        <v>46</v>
      </c>
      <c r="N112" s="1" t="s">
        <v>47</v>
      </c>
      <c r="O112" s="8" t="s">
        <v>852</v>
      </c>
      <c r="P112" s="176"/>
      <c r="Q112" s="169"/>
      <c r="R112" s="216" t="s">
        <v>853</v>
      </c>
      <c r="S112" s="216" t="s">
        <v>854</v>
      </c>
      <c r="T112" s="32" t="s">
        <v>76</v>
      </c>
      <c r="U112" s="8" t="str">
        <f>VLOOKUP('IMPO TERR'!T112,'Matriz datos'!$J$2:$K$10,2,0)</f>
        <v>AV. PDTE. EDUARDO FREI 8301, QUILICURA</v>
      </c>
      <c r="V112" s="63" t="s">
        <v>855</v>
      </c>
      <c r="W112" s="64" t="s">
        <v>856</v>
      </c>
      <c r="X112" s="4" t="s">
        <v>857</v>
      </c>
      <c r="Z112" s="127">
        <v>2605126884</v>
      </c>
      <c r="AA112" s="149">
        <v>2605128497</v>
      </c>
      <c r="AB112" s="225"/>
      <c r="AC112" s="226"/>
      <c r="AD112" s="21">
        <v>46094</v>
      </c>
      <c r="AE112" s="127">
        <v>4090180436</v>
      </c>
      <c r="AG112" s="154"/>
      <c r="AH112" s="17"/>
      <c r="AI112" s="216"/>
      <c r="AJ112" s="222">
        <v>24670000</v>
      </c>
      <c r="AK112" s="9"/>
      <c r="AL112" s="28"/>
    </row>
    <row r="113" spans="1:38" ht="24.75" customHeight="1">
      <c r="A113" s="91" t="s">
        <v>858</v>
      </c>
      <c r="B113" s="91">
        <v>180438</v>
      </c>
      <c r="C113" s="161" t="s">
        <v>39</v>
      </c>
      <c r="D113" s="4" t="s">
        <v>142</v>
      </c>
      <c r="E113" s="21">
        <v>46093</v>
      </c>
      <c r="F113" s="12"/>
      <c r="G113" s="12"/>
      <c r="H113" s="1"/>
      <c r="I113" s="1"/>
      <c r="J113" s="1"/>
      <c r="K113" s="1" t="s">
        <v>44</v>
      </c>
      <c r="L113" s="1" t="s">
        <v>45</v>
      </c>
      <c r="M113" s="1" t="s">
        <v>46</v>
      </c>
      <c r="N113" s="1" t="s">
        <v>47</v>
      </c>
      <c r="O113" s="8" t="s">
        <v>859</v>
      </c>
      <c r="P113" s="176">
        <v>41050</v>
      </c>
      <c r="Q113" s="169"/>
      <c r="R113" s="216" t="s">
        <v>860</v>
      </c>
      <c r="S113" s="216" t="s">
        <v>861</v>
      </c>
      <c r="T113" s="32" t="s">
        <v>862</v>
      </c>
      <c r="U113" s="8" t="s">
        <v>863</v>
      </c>
      <c r="V113" s="63" t="s">
        <v>864</v>
      </c>
      <c r="W113" s="64"/>
      <c r="X113" s="4" t="s">
        <v>865</v>
      </c>
      <c r="Z113" s="127">
        <v>2605127561</v>
      </c>
      <c r="AA113" s="194">
        <v>2605128846</v>
      </c>
      <c r="AB113" s="234">
        <v>46096</v>
      </c>
      <c r="AC113" s="226">
        <v>46097</v>
      </c>
      <c r="AD113" s="21">
        <v>46097</v>
      </c>
      <c r="AE113" s="142">
        <v>4090180438</v>
      </c>
      <c r="AF113" s="22">
        <v>46097</v>
      </c>
      <c r="AG113" s="115">
        <v>46098</v>
      </c>
      <c r="AH113" s="43">
        <v>46098</v>
      </c>
      <c r="AI113" s="225"/>
      <c r="AJ113" s="222">
        <v>25900000</v>
      </c>
      <c r="AK113" s="9"/>
      <c r="AL113" s="28"/>
    </row>
    <row r="114" spans="1:38" ht="24.75" customHeight="1">
      <c r="A114" s="91" t="s">
        <v>866</v>
      </c>
      <c r="B114" s="91">
        <v>180441</v>
      </c>
      <c r="C114" s="161" t="s">
        <v>495</v>
      </c>
      <c r="D114" s="1" t="s">
        <v>58</v>
      </c>
      <c r="E114" s="21">
        <v>46093</v>
      </c>
      <c r="F114" s="12"/>
      <c r="G114" s="12" t="s">
        <v>867</v>
      </c>
      <c r="H114" s="1"/>
      <c r="I114" s="1"/>
      <c r="J114" s="1"/>
      <c r="K114" s="1" t="s">
        <v>60</v>
      </c>
      <c r="L114" s="1" t="s">
        <v>45</v>
      </c>
      <c r="M114" s="1" t="s">
        <v>46</v>
      </c>
      <c r="N114" s="1" t="s">
        <v>47</v>
      </c>
      <c r="O114" s="8" t="s">
        <v>868</v>
      </c>
      <c r="P114" s="176"/>
      <c r="Q114" s="169"/>
      <c r="R114" s="216" t="s">
        <v>869</v>
      </c>
      <c r="S114" s="216" t="s">
        <v>870</v>
      </c>
      <c r="T114" s="32" t="s">
        <v>76</v>
      </c>
      <c r="U114" s="8" t="str">
        <f>VLOOKUP('IMPO TERR'!T114,'Matriz datos'!$J$2:$K$10,2,0)</f>
        <v>AV. PDTE. EDUARDO FREI 8301, QUILICURA</v>
      </c>
      <c r="V114" s="63" t="s">
        <v>871</v>
      </c>
      <c r="W114" s="64" t="s">
        <v>872</v>
      </c>
      <c r="X114" s="4" t="s">
        <v>873</v>
      </c>
      <c r="Z114" s="127">
        <v>2605127669</v>
      </c>
      <c r="AA114" s="149">
        <v>2605128299</v>
      </c>
      <c r="AB114" s="225"/>
      <c r="AC114" s="226"/>
      <c r="AD114" s="21">
        <v>46095</v>
      </c>
      <c r="AE114" s="89">
        <v>4090180441</v>
      </c>
      <c r="AG114" s="155"/>
      <c r="AH114" s="191"/>
      <c r="AI114" s="216"/>
      <c r="AJ114" s="222">
        <v>20910000</v>
      </c>
      <c r="AK114" s="9"/>
      <c r="AL114" s="28"/>
    </row>
    <row r="115" spans="1:38" ht="24.75" customHeight="1">
      <c r="A115" s="91" t="s">
        <v>874</v>
      </c>
      <c r="B115" s="91">
        <v>180450</v>
      </c>
      <c r="C115" s="161" t="s">
        <v>39</v>
      </c>
      <c r="D115" s="4" t="s">
        <v>40</v>
      </c>
      <c r="E115" s="21">
        <v>46093</v>
      </c>
      <c r="F115" s="12"/>
      <c r="G115" s="12"/>
      <c r="H115" s="1"/>
      <c r="I115" s="1"/>
      <c r="J115" s="1"/>
      <c r="K115" s="1" t="s">
        <v>44</v>
      </c>
      <c r="L115" s="1" t="s">
        <v>61</v>
      </c>
      <c r="M115" s="1" t="s">
        <v>46</v>
      </c>
      <c r="N115" s="1" t="s">
        <v>47</v>
      </c>
      <c r="O115" s="8" t="s">
        <v>875</v>
      </c>
      <c r="P115" s="176">
        <v>41987</v>
      </c>
      <c r="Q115" s="169"/>
      <c r="R115" s="216" t="s">
        <v>876</v>
      </c>
      <c r="S115" s="216" t="s">
        <v>877</v>
      </c>
      <c r="T115" s="32" t="s">
        <v>76</v>
      </c>
      <c r="U115" s="8" t="str">
        <f>VLOOKUP('IMPO TERR'!T115,'Matriz datos'!$J$2:$K$10,2,0)</f>
        <v>AV. PDTE. EDUARDO FREI 8301, QUILICURA</v>
      </c>
      <c r="V115" s="63" t="s">
        <v>878</v>
      </c>
      <c r="W115" s="64" t="s">
        <v>879</v>
      </c>
      <c r="X115" s="4" t="s">
        <v>880</v>
      </c>
      <c r="Z115" s="127">
        <v>2605126627</v>
      </c>
      <c r="AA115" s="163">
        <v>2605127636</v>
      </c>
      <c r="AB115" s="116">
        <v>46097</v>
      </c>
      <c r="AC115" s="226">
        <v>46098</v>
      </c>
      <c r="AD115" s="21">
        <v>46094</v>
      </c>
      <c r="AE115" s="127">
        <v>4090180450</v>
      </c>
      <c r="AF115" s="22">
        <v>46097</v>
      </c>
      <c r="AG115" s="135">
        <v>46098</v>
      </c>
      <c r="AH115" s="43">
        <v>46099</v>
      </c>
      <c r="AI115" s="225"/>
      <c r="AJ115" s="222">
        <v>26190000</v>
      </c>
      <c r="AK115" s="9"/>
      <c r="AL115" s="28"/>
    </row>
    <row r="116" spans="1:38" ht="24.75" customHeight="1">
      <c r="A116" s="91" t="s">
        <v>881</v>
      </c>
      <c r="B116" s="91">
        <v>180456</v>
      </c>
      <c r="C116" s="161" t="s">
        <v>495</v>
      </c>
      <c r="D116" s="1" t="s">
        <v>58</v>
      </c>
      <c r="E116" s="21">
        <v>46093</v>
      </c>
      <c r="F116" s="12"/>
      <c r="G116" s="12"/>
      <c r="H116" s="1"/>
      <c r="I116" s="1"/>
      <c r="J116" s="1"/>
      <c r="K116" s="1" t="s">
        <v>44</v>
      </c>
      <c r="L116" s="1" t="s">
        <v>45</v>
      </c>
      <c r="M116" s="1" t="s">
        <v>46</v>
      </c>
      <c r="N116" s="1" t="s">
        <v>47</v>
      </c>
      <c r="O116" s="8" t="s">
        <v>882</v>
      </c>
      <c r="P116" s="176"/>
      <c r="Q116" s="169"/>
      <c r="R116" s="251"/>
      <c r="S116" s="216"/>
      <c r="T116" s="32" t="s">
        <v>76</v>
      </c>
      <c r="U116" s="8" t="str">
        <f>VLOOKUP('IMPO TERR'!T116,'Matriz datos'!$J$2:$K$10,2,0)</f>
        <v>AV. PDTE. EDUARDO FREI 8301, QUILICURA</v>
      </c>
      <c r="W116" s="64"/>
      <c r="X116" s="4" t="s">
        <v>883</v>
      </c>
      <c r="Z116" s="127">
        <v>2605130145</v>
      </c>
      <c r="AA116" s="1">
        <v>2605131440</v>
      </c>
      <c r="AB116" s="244"/>
      <c r="AC116" s="226"/>
      <c r="AD116" s="21">
        <v>46098</v>
      </c>
      <c r="AE116" s="142">
        <v>4090180456</v>
      </c>
      <c r="AG116" s="32"/>
      <c r="AH116" s="90"/>
      <c r="AI116" s="216"/>
      <c r="AJ116" s="222">
        <v>23790000</v>
      </c>
      <c r="AK116" s="9"/>
      <c r="AL116" s="28"/>
    </row>
    <row r="117" spans="1:38" ht="24.75" customHeight="1">
      <c r="A117" s="91" t="s">
        <v>884</v>
      </c>
      <c r="B117" s="91">
        <v>180457</v>
      </c>
      <c r="C117" s="161" t="s">
        <v>39</v>
      </c>
      <c r="D117" s="4" t="s">
        <v>40</v>
      </c>
      <c r="E117" s="21">
        <v>12</v>
      </c>
      <c r="F117" s="12"/>
      <c r="G117" s="12"/>
      <c r="H117" s="1"/>
      <c r="I117" s="1"/>
      <c r="J117" s="1"/>
      <c r="K117" s="1" t="s">
        <v>44</v>
      </c>
      <c r="L117" s="1" t="s">
        <v>61</v>
      </c>
      <c r="M117" s="1" t="s">
        <v>46</v>
      </c>
      <c r="N117" s="1" t="s">
        <v>47</v>
      </c>
      <c r="O117" s="8" t="s">
        <v>885</v>
      </c>
      <c r="P117" s="176">
        <v>42796</v>
      </c>
      <c r="Q117" s="169"/>
      <c r="R117" s="18" t="s">
        <v>886</v>
      </c>
      <c r="S117" s="225" t="s">
        <v>887</v>
      </c>
      <c r="T117" s="32" t="s">
        <v>102</v>
      </c>
      <c r="U117" s="8" t="str">
        <f>VLOOKUP('IMPO TERR'!T117,'Matriz datos'!$J$2:$K$10,2,0)</f>
        <v>AV. AMERICO VESPUCIO 0350, QUILICURA</v>
      </c>
      <c r="V117" s="164" t="s">
        <v>888</v>
      </c>
      <c r="W117" s="64"/>
      <c r="X117" s="4" t="s">
        <v>889</v>
      </c>
      <c r="Z117" s="127">
        <v>2605127563</v>
      </c>
      <c r="AA117" s="163">
        <v>2605128767</v>
      </c>
      <c r="AB117" s="115">
        <v>46098</v>
      </c>
      <c r="AC117" s="234">
        <v>46098</v>
      </c>
      <c r="AD117" s="21">
        <v>46097</v>
      </c>
      <c r="AE117" s="142">
        <v>4090180457</v>
      </c>
      <c r="AF117" s="22">
        <v>46098</v>
      </c>
      <c r="AG117" s="116">
        <v>46098</v>
      </c>
      <c r="AH117" s="51">
        <v>46099</v>
      </c>
      <c r="AI117" s="216"/>
      <c r="AJ117" s="222">
        <v>32880000</v>
      </c>
      <c r="AK117" s="9"/>
      <c r="AL117" s="28"/>
    </row>
    <row r="118" spans="1:38" s="20" customFormat="1" ht="24" customHeight="1">
      <c r="A118" s="91" t="s">
        <v>890</v>
      </c>
      <c r="B118" s="91">
        <v>180458</v>
      </c>
      <c r="C118" s="161" t="s">
        <v>39</v>
      </c>
      <c r="D118" s="185" t="s">
        <v>40</v>
      </c>
      <c r="E118" s="54">
        <v>12</v>
      </c>
      <c r="F118" s="32"/>
      <c r="G118" s="32"/>
      <c r="H118" s="15"/>
      <c r="I118" s="15"/>
      <c r="J118" s="15"/>
      <c r="K118" s="150" t="s">
        <v>44</v>
      </c>
      <c r="L118" s="150" t="s">
        <v>256</v>
      </c>
      <c r="M118" s="150" t="s">
        <v>46</v>
      </c>
      <c r="N118" s="150" t="s">
        <v>47</v>
      </c>
      <c r="O118" s="186" t="s">
        <v>891</v>
      </c>
      <c r="P118" s="176" t="s">
        <v>892</v>
      </c>
      <c r="Q118" s="151"/>
      <c r="R118" s="256" t="s">
        <v>893</v>
      </c>
      <c r="S118" s="216" t="s">
        <v>894</v>
      </c>
      <c r="T118" s="32" t="s">
        <v>395</v>
      </c>
      <c r="U118" s="31" t="str">
        <f>VLOOKUP('IMPO TERR'!T118,'Matriz datos'!$J$2:$K$10,2,0)</f>
        <v>CAMINO LO AGUIRRE SUR 537, PUDAHUEL </v>
      </c>
      <c r="V118" s="184" t="s">
        <v>895</v>
      </c>
      <c r="W118" s="88" t="s">
        <v>896</v>
      </c>
      <c r="X118" s="4" t="s">
        <v>897</v>
      </c>
      <c r="Y118" s="38"/>
      <c r="Z118" s="127">
        <v>2605128458</v>
      </c>
      <c r="AA118" s="194">
        <v>2605130635</v>
      </c>
      <c r="AB118" s="238">
        <v>46094</v>
      </c>
      <c r="AC118" s="226">
        <v>46095</v>
      </c>
      <c r="AD118" s="51">
        <v>46097</v>
      </c>
      <c r="AE118" s="188">
        <v>4090180458</v>
      </c>
      <c r="AF118" s="187">
        <v>46097</v>
      </c>
      <c r="AG118" s="167">
        <v>46098</v>
      </c>
      <c r="AH118" s="51">
        <v>46099</v>
      </c>
      <c r="AI118" s="216"/>
      <c r="AJ118" s="223">
        <v>47480000</v>
      </c>
      <c r="AK118" s="182"/>
      <c r="AL118" s="183"/>
    </row>
    <row r="119" spans="1:38" ht="23.25" customHeight="1">
      <c r="A119" s="91" t="s">
        <v>898</v>
      </c>
      <c r="B119" s="91">
        <v>180462</v>
      </c>
      <c r="C119" s="161" t="s">
        <v>39</v>
      </c>
      <c r="D119" s="4" t="s">
        <v>40</v>
      </c>
      <c r="E119" s="21">
        <v>12</v>
      </c>
      <c r="F119" s="12"/>
      <c r="G119" s="12"/>
      <c r="H119" s="1"/>
      <c r="I119" s="1"/>
      <c r="J119" s="1"/>
      <c r="K119" s="1" t="s">
        <v>44</v>
      </c>
      <c r="L119" s="1" t="s">
        <v>256</v>
      </c>
      <c r="M119" s="1" t="s">
        <v>46</v>
      </c>
      <c r="N119" s="1" t="s">
        <v>47</v>
      </c>
      <c r="O119" s="8" t="s">
        <v>899</v>
      </c>
      <c r="P119" s="176" t="s">
        <v>900</v>
      </c>
      <c r="Q119" s="169"/>
      <c r="R119" s="216" t="s">
        <v>901</v>
      </c>
      <c r="S119" s="216" t="s">
        <v>267</v>
      </c>
      <c r="T119" s="32" t="s">
        <v>76</v>
      </c>
      <c r="U119" s="8" t="str">
        <f>VLOOKUP('IMPO TERR'!T119,'Matriz datos'!$J$2:$K$10,2,0)</f>
        <v>AV. PDTE. EDUARDO FREI 8301, QUILICURA</v>
      </c>
      <c r="V119" s="71" t="s">
        <v>902</v>
      </c>
      <c r="W119" s="64" t="s">
        <v>903</v>
      </c>
      <c r="X119" s="4" t="s">
        <v>904</v>
      </c>
      <c r="Z119" s="127">
        <v>2605126952</v>
      </c>
      <c r="AA119" s="163">
        <v>2605127639</v>
      </c>
      <c r="AB119" s="234">
        <v>46095</v>
      </c>
      <c r="AC119" s="226">
        <v>46097</v>
      </c>
      <c r="AD119" s="21">
        <v>46094</v>
      </c>
      <c r="AE119" s="142">
        <v>4090180462</v>
      </c>
      <c r="AF119" s="22">
        <v>46097</v>
      </c>
      <c r="AG119" s="115">
        <v>46098</v>
      </c>
      <c r="AH119" s="116">
        <v>46099</v>
      </c>
      <c r="AI119" s="216">
        <v>141655</v>
      </c>
      <c r="AJ119" s="217">
        <v>30470000</v>
      </c>
      <c r="AK119" s="9"/>
      <c r="AL119" s="28"/>
    </row>
    <row r="120" spans="1:38" ht="24.75" customHeight="1">
      <c r="A120" s="91" t="s">
        <v>905</v>
      </c>
      <c r="B120" s="91">
        <v>180464</v>
      </c>
      <c r="C120" s="161" t="s">
        <v>503</v>
      </c>
      <c r="D120" s="4" t="s">
        <v>142</v>
      </c>
      <c r="E120" s="21">
        <v>12</v>
      </c>
      <c r="G120" s="1"/>
      <c r="H120" s="1"/>
      <c r="I120" s="1"/>
      <c r="J120" s="1"/>
      <c r="K120" s="1" t="s">
        <v>44</v>
      </c>
      <c r="L120" s="1" t="s">
        <v>61</v>
      </c>
      <c r="M120" s="1" t="s">
        <v>46</v>
      </c>
      <c r="N120" s="1" t="s">
        <v>47</v>
      </c>
      <c r="O120" s="8" t="s">
        <v>906</v>
      </c>
      <c r="P120" s="176">
        <v>42747</v>
      </c>
      <c r="Q120" s="169"/>
      <c r="R120" s="216" t="s">
        <v>907</v>
      </c>
      <c r="S120" s="216" t="s">
        <v>908</v>
      </c>
      <c r="T120" s="32" t="s">
        <v>909</v>
      </c>
      <c r="U120" s="8" t="s">
        <v>910</v>
      </c>
      <c r="V120" s="63" t="s">
        <v>911</v>
      </c>
      <c r="W120" s="64" t="s">
        <v>912</v>
      </c>
      <c r="X120" s="4" t="s">
        <v>913</v>
      </c>
      <c r="Z120" s="127">
        <v>2605130467</v>
      </c>
      <c r="AA120" s="1">
        <v>2605131389</v>
      </c>
      <c r="AB120" s="234">
        <v>46098</v>
      </c>
      <c r="AC120" s="226">
        <v>46099</v>
      </c>
      <c r="AD120" s="21">
        <v>46099</v>
      </c>
      <c r="AE120" s="142">
        <v>4090180464</v>
      </c>
      <c r="AF120" s="22">
        <v>46099</v>
      </c>
      <c r="AG120" s="193">
        <v>46099</v>
      </c>
      <c r="AH120" s="15" t="s">
        <v>58</v>
      </c>
      <c r="AI120" s="216"/>
      <c r="AJ120" s="220">
        <v>27370000</v>
      </c>
      <c r="AK120" s="9"/>
      <c r="AL120" s="28"/>
    </row>
    <row r="121" spans="1:38" ht="24.75" customHeight="1">
      <c r="A121" s="91" t="s">
        <v>914</v>
      </c>
      <c r="B121" s="91">
        <v>180465</v>
      </c>
      <c r="C121" s="161" t="s">
        <v>39</v>
      </c>
      <c r="D121" s="1" t="s">
        <v>58</v>
      </c>
      <c r="E121" s="21">
        <v>12</v>
      </c>
      <c r="F121" s="12"/>
      <c r="G121" s="12"/>
      <c r="H121" s="1"/>
      <c r="I121" s="1"/>
      <c r="J121" s="1"/>
      <c r="K121" s="1" t="s">
        <v>60</v>
      </c>
      <c r="L121" s="1" t="s">
        <v>61</v>
      </c>
      <c r="M121" s="1" t="s">
        <v>46</v>
      </c>
      <c r="N121" s="1" t="s">
        <v>47</v>
      </c>
      <c r="O121" s="8" t="s">
        <v>915</v>
      </c>
      <c r="P121" s="176">
        <v>42808</v>
      </c>
      <c r="Q121" s="169"/>
      <c r="R121" s="216" t="s">
        <v>916</v>
      </c>
      <c r="S121" s="216" t="s">
        <v>917</v>
      </c>
      <c r="T121" s="32" t="s">
        <v>102</v>
      </c>
      <c r="U121" s="8" t="str">
        <f>VLOOKUP('IMPO TERR'!T121,'Matriz datos'!$J$2:$K$10,2,0)</f>
        <v>AV. AMERICO VESPUCIO 0350, QUILICURA</v>
      </c>
      <c r="V121" s="63" t="s">
        <v>918</v>
      </c>
      <c r="W121" s="64" t="s">
        <v>919</v>
      </c>
      <c r="X121" s="4" t="s">
        <v>920</v>
      </c>
      <c r="Z121" s="127">
        <v>2605127649</v>
      </c>
      <c r="AA121" s="149">
        <v>2605128399</v>
      </c>
      <c r="AB121" s="248">
        <v>46098</v>
      </c>
      <c r="AC121" s="42">
        <v>46099</v>
      </c>
      <c r="AD121" s="143" t="s">
        <v>921</v>
      </c>
      <c r="AE121" s="142">
        <v>4090180465</v>
      </c>
      <c r="AF121" s="144">
        <v>46099</v>
      </c>
      <c r="AG121" s="43">
        <v>46099</v>
      </c>
      <c r="AH121" s="116">
        <v>46100</v>
      </c>
      <c r="AI121" s="216"/>
      <c r="AJ121" s="222">
        <v>26360000</v>
      </c>
      <c r="AK121" s="9"/>
      <c r="AL121" s="28"/>
    </row>
    <row r="122" spans="1:38" ht="24.75" customHeight="1">
      <c r="A122" s="91" t="s">
        <v>922</v>
      </c>
      <c r="B122" s="91">
        <v>180466</v>
      </c>
      <c r="C122" s="161" t="s">
        <v>39</v>
      </c>
      <c r="D122" s="4" t="s">
        <v>142</v>
      </c>
      <c r="E122" s="21">
        <v>46093</v>
      </c>
      <c r="F122" s="12"/>
      <c r="G122" s="12"/>
      <c r="H122" s="1"/>
      <c r="I122" s="1"/>
      <c r="J122" s="1"/>
      <c r="K122" s="1" t="s">
        <v>44</v>
      </c>
      <c r="L122" s="1" t="s">
        <v>61</v>
      </c>
      <c r="M122" s="1" t="s">
        <v>46</v>
      </c>
      <c r="N122" s="1" t="s">
        <v>47</v>
      </c>
      <c r="O122" s="8" t="s">
        <v>923</v>
      </c>
      <c r="P122" s="176">
        <v>42975</v>
      </c>
      <c r="Q122" s="169"/>
      <c r="R122" s="216" t="s">
        <v>924</v>
      </c>
      <c r="S122" s="216" t="s">
        <v>925</v>
      </c>
      <c r="T122" s="32" t="s">
        <v>76</v>
      </c>
      <c r="U122" s="8" t="str">
        <f>VLOOKUP('IMPO TERR'!T122,'Matriz datos'!$J$2:$K$10,2,0)</f>
        <v>AV. PDTE. EDUARDO FREI 8301, QUILICURA</v>
      </c>
      <c r="V122" s="63" t="s">
        <v>926</v>
      </c>
      <c r="W122" s="64" t="s">
        <v>927</v>
      </c>
      <c r="X122" s="4" t="s">
        <v>928</v>
      </c>
      <c r="Z122" s="127">
        <v>2605129781</v>
      </c>
      <c r="AA122" s="194">
        <v>2605130642</v>
      </c>
      <c r="AB122" s="115">
        <v>46098</v>
      </c>
      <c r="AC122" s="234">
        <v>46099</v>
      </c>
      <c r="AD122" s="21">
        <v>46097</v>
      </c>
      <c r="AE122" s="127">
        <v>4090180466</v>
      </c>
      <c r="AF122" s="22">
        <v>46099</v>
      </c>
      <c r="AG122" s="192">
        <v>46099</v>
      </c>
      <c r="AH122" s="42">
        <v>46099</v>
      </c>
      <c r="AI122" s="216"/>
      <c r="AJ122" s="222">
        <v>25500000</v>
      </c>
      <c r="AK122" s="9"/>
      <c r="AL122" s="28"/>
    </row>
    <row r="123" spans="1:38" ht="24.75" customHeight="1">
      <c r="A123" s="159" t="s">
        <v>929</v>
      </c>
      <c r="B123" s="91">
        <v>180472</v>
      </c>
      <c r="C123" s="161" t="s">
        <v>495</v>
      </c>
      <c r="D123" s="1" t="s">
        <v>58</v>
      </c>
      <c r="E123" s="21">
        <v>46093</v>
      </c>
      <c r="F123" s="12"/>
      <c r="G123" s="12"/>
      <c r="H123" s="1"/>
      <c r="I123" s="1"/>
      <c r="J123" s="1"/>
      <c r="K123" s="1" t="s">
        <v>60</v>
      </c>
      <c r="L123" s="1" t="s">
        <v>45</v>
      </c>
      <c r="M123" s="1" t="s">
        <v>46</v>
      </c>
      <c r="N123" s="1" t="s">
        <v>47</v>
      </c>
      <c r="O123" s="8" t="s">
        <v>930</v>
      </c>
      <c r="P123" s="176"/>
      <c r="Q123" s="169"/>
      <c r="R123" s="216" t="s">
        <v>931</v>
      </c>
      <c r="S123" s="216" t="s">
        <v>932</v>
      </c>
      <c r="T123" s="32" t="s">
        <v>102</v>
      </c>
      <c r="U123" s="8" t="str">
        <f>VLOOKUP('IMPO TERR'!T123,'Matriz datos'!$J$2:$K$10,2,0)</f>
        <v>AV. AMERICO VESPUCIO 0350, QUILICURA</v>
      </c>
      <c r="V123" s="63" t="s">
        <v>933</v>
      </c>
      <c r="W123" s="64" t="s">
        <v>934</v>
      </c>
      <c r="X123" s="4" t="s">
        <v>935</v>
      </c>
      <c r="Z123" s="127">
        <v>2605127293</v>
      </c>
      <c r="AA123" s="149">
        <v>2605128271</v>
      </c>
      <c r="AB123" s="230"/>
      <c r="AC123" s="226"/>
      <c r="AD123" s="257">
        <v>46095</v>
      </c>
      <c r="AE123" s="142">
        <v>4090180472</v>
      </c>
      <c r="AG123" s="32"/>
      <c r="AH123" s="15"/>
      <c r="AI123" s="216"/>
      <c r="AJ123" s="222">
        <v>20950000</v>
      </c>
      <c r="AK123" s="9"/>
      <c r="AL123" s="28"/>
    </row>
    <row r="124" spans="1:38" ht="24.75" customHeight="1">
      <c r="A124" s="91" t="s">
        <v>936</v>
      </c>
      <c r="B124" s="91">
        <v>180475</v>
      </c>
      <c r="C124" s="161" t="s">
        <v>503</v>
      </c>
      <c r="D124" s="1" t="s">
        <v>58</v>
      </c>
      <c r="E124" s="21">
        <v>46093</v>
      </c>
      <c r="F124" s="12"/>
      <c r="G124" s="12"/>
      <c r="H124" s="1"/>
      <c r="I124" s="1"/>
      <c r="J124" s="1"/>
      <c r="K124" s="1" t="s">
        <v>44</v>
      </c>
      <c r="L124" s="1" t="s">
        <v>45</v>
      </c>
      <c r="M124" s="1" t="s">
        <v>46</v>
      </c>
      <c r="N124" s="1" t="s">
        <v>47</v>
      </c>
      <c r="O124" s="8" t="s">
        <v>937</v>
      </c>
      <c r="P124" s="176">
        <v>42393</v>
      </c>
      <c r="Q124" s="169"/>
      <c r="R124" s="216" t="s">
        <v>938</v>
      </c>
      <c r="S124" s="216" t="s">
        <v>939</v>
      </c>
      <c r="T124" s="32" t="s">
        <v>102</v>
      </c>
      <c r="U124" s="8" t="str">
        <f>VLOOKUP('IMPO TERR'!T124,'Matriz datos'!$J$2:$K$10,2,0)</f>
        <v>AV. AMERICO VESPUCIO 0350, QUILICURA</v>
      </c>
      <c r="V124" s="63" t="s">
        <v>940</v>
      </c>
      <c r="W124" s="64" t="s">
        <v>941</v>
      </c>
      <c r="X124" s="149" t="s">
        <v>942</v>
      </c>
      <c r="Z124" s="127">
        <v>2605132151</v>
      </c>
      <c r="AA124" s="1">
        <v>2605133166</v>
      </c>
      <c r="AB124" s="234">
        <v>46097</v>
      </c>
      <c r="AC124" s="42">
        <v>46098</v>
      </c>
      <c r="AD124" s="1" t="s">
        <v>839</v>
      </c>
      <c r="AE124" s="8">
        <v>4090180475</v>
      </c>
      <c r="AG124" s="32" t="s">
        <v>58</v>
      </c>
      <c r="AH124" s="15" t="s">
        <v>58</v>
      </c>
      <c r="AI124" s="216"/>
      <c r="AJ124" s="222">
        <v>28670000</v>
      </c>
      <c r="AK124" s="9"/>
      <c r="AL124" s="28"/>
    </row>
    <row r="125" spans="1:38" ht="24.75" customHeight="1">
      <c r="A125" s="91" t="s">
        <v>943</v>
      </c>
      <c r="B125" s="91">
        <v>180481</v>
      </c>
      <c r="C125" s="161" t="s">
        <v>39</v>
      </c>
      <c r="D125" s="4" t="s">
        <v>40</v>
      </c>
      <c r="E125" s="21">
        <v>46094</v>
      </c>
      <c r="F125" s="12"/>
      <c r="G125" s="12"/>
      <c r="H125" s="1"/>
      <c r="I125" s="1"/>
      <c r="J125" s="1"/>
      <c r="K125" s="1" t="s">
        <v>60</v>
      </c>
      <c r="L125" s="1" t="s">
        <v>45</v>
      </c>
      <c r="M125" s="1" t="s">
        <v>46</v>
      </c>
      <c r="N125" s="1" t="s">
        <v>47</v>
      </c>
      <c r="O125" s="8" t="s">
        <v>944</v>
      </c>
      <c r="P125" s="176">
        <v>43624</v>
      </c>
      <c r="Q125" s="169"/>
      <c r="R125" s="216" t="s">
        <v>945</v>
      </c>
      <c r="S125" s="216" t="s">
        <v>946</v>
      </c>
      <c r="T125" s="32" t="s">
        <v>76</v>
      </c>
      <c r="U125" s="8" t="str">
        <f>VLOOKUP('IMPO TERR'!T125,'Matriz datos'!$J$2:$K$10,2,0)</f>
        <v>AV. PDTE. EDUARDO FREI 8301, QUILICURA</v>
      </c>
      <c r="V125" s="63" t="s">
        <v>947</v>
      </c>
      <c r="W125" s="64" t="s">
        <v>948</v>
      </c>
      <c r="X125" s="4" t="s">
        <v>949</v>
      </c>
      <c r="Z125" s="127">
        <v>2605127654</v>
      </c>
      <c r="AA125" s="149">
        <v>2605128296</v>
      </c>
      <c r="AB125" s="234">
        <v>46099</v>
      </c>
      <c r="AC125" s="226">
        <v>46100</v>
      </c>
      <c r="AD125" s="21">
        <v>46095</v>
      </c>
      <c r="AE125" s="142">
        <v>4090180481</v>
      </c>
      <c r="AF125" s="22">
        <v>46100</v>
      </c>
      <c r="AG125" s="116">
        <v>46100</v>
      </c>
      <c r="AH125" s="51">
        <v>46100</v>
      </c>
      <c r="AI125" s="216"/>
      <c r="AJ125" s="222">
        <v>25720000</v>
      </c>
      <c r="AK125" s="9"/>
      <c r="AL125" s="28"/>
    </row>
    <row r="126" spans="1:38" ht="24.75" customHeight="1">
      <c r="A126" s="91" t="s">
        <v>950</v>
      </c>
      <c r="B126" s="91">
        <v>180496</v>
      </c>
      <c r="C126" s="161" t="s">
        <v>495</v>
      </c>
      <c r="D126" s="1" t="s">
        <v>58</v>
      </c>
      <c r="E126" s="21">
        <v>46094</v>
      </c>
      <c r="F126" s="12"/>
      <c r="G126" s="12"/>
      <c r="H126" s="1"/>
      <c r="I126" s="1"/>
      <c r="J126" s="1"/>
      <c r="K126" s="1" t="s">
        <v>44</v>
      </c>
      <c r="L126" s="1" t="s">
        <v>61</v>
      </c>
      <c r="M126" s="1" t="s">
        <v>46</v>
      </c>
      <c r="N126" s="1" t="s">
        <v>47</v>
      </c>
      <c r="O126" s="8" t="s">
        <v>951</v>
      </c>
      <c r="P126" s="176"/>
      <c r="Q126" s="169"/>
      <c r="R126" s="216"/>
      <c r="S126" s="216"/>
      <c r="T126" s="32" t="s">
        <v>102</v>
      </c>
      <c r="U126" s="8" t="str">
        <f>VLOOKUP('IMPO TERR'!T126,'Matriz datos'!$J$2:$K$10,2,0)</f>
        <v>AV. AMERICO VESPUCIO 0350, QUILICURA</v>
      </c>
      <c r="W126" s="64"/>
      <c r="X126" s="4" t="s">
        <v>952</v>
      </c>
      <c r="Z126" s="127">
        <v>2605133116</v>
      </c>
      <c r="AA126" s="1">
        <v>2605136606</v>
      </c>
      <c r="AB126" s="225"/>
      <c r="AC126" s="226"/>
      <c r="AD126" s="21">
        <v>46099</v>
      </c>
      <c r="AE126" s="142">
        <v>4090180496</v>
      </c>
      <c r="AG126" s="32"/>
      <c r="AH126" s="15"/>
      <c r="AI126" s="216"/>
      <c r="AJ126" s="222">
        <v>27740000</v>
      </c>
      <c r="AK126" s="9"/>
      <c r="AL126" s="28"/>
    </row>
    <row r="127" spans="1:38" ht="24.75" customHeight="1">
      <c r="A127" s="91" t="s">
        <v>953</v>
      </c>
      <c r="B127" s="91">
        <v>180497</v>
      </c>
      <c r="C127" s="161" t="s">
        <v>495</v>
      </c>
      <c r="D127" s="1" t="s">
        <v>58</v>
      </c>
      <c r="E127" s="21">
        <v>46094</v>
      </c>
      <c r="F127" s="12"/>
      <c r="G127" s="12"/>
      <c r="H127" s="1"/>
      <c r="I127" s="1"/>
      <c r="J127" s="1"/>
      <c r="K127" s="1" t="s">
        <v>44</v>
      </c>
      <c r="L127" s="1" t="s">
        <v>61</v>
      </c>
      <c r="M127" s="1" t="s">
        <v>46</v>
      </c>
      <c r="N127" s="1" t="s">
        <v>47</v>
      </c>
      <c r="O127" s="8" t="s">
        <v>954</v>
      </c>
      <c r="P127" s="176"/>
      <c r="Q127" s="169"/>
      <c r="R127" s="216" t="s">
        <v>955</v>
      </c>
      <c r="S127" s="216" t="s">
        <v>956</v>
      </c>
      <c r="T127" s="32" t="s">
        <v>395</v>
      </c>
      <c r="U127" s="8" t="str">
        <f>VLOOKUP('IMPO TERR'!T127,'Matriz datos'!$J$2:$K$10,2,0)</f>
        <v>CAMINO LO AGUIRRE SUR 537, PUDAHUEL </v>
      </c>
      <c r="V127" s="63" t="s">
        <v>957</v>
      </c>
      <c r="W127" s="64" t="s">
        <v>958</v>
      </c>
      <c r="X127" s="4" t="s">
        <v>959</v>
      </c>
      <c r="Z127" s="127">
        <v>2605128791</v>
      </c>
      <c r="AA127" s="1">
        <v>2605131067</v>
      </c>
      <c r="AB127" s="225"/>
      <c r="AC127" s="226"/>
      <c r="AD127" s="21">
        <v>46097</v>
      </c>
      <c r="AE127" s="127">
        <v>4090180497</v>
      </c>
      <c r="AG127" s="32"/>
      <c r="AH127" s="15"/>
      <c r="AI127" s="216"/>
      <c r="AJ127" s="222">
        <v>30650000</v>
      </c>
      <c r="AK127" s="9"/>
      <c r="AL127" s="28"/>
    </row>
    <row r="128" spans="1:38" ht="24.75" customHeight="1">
      <c r="A128" s="91" t="s">
        <v>960</v>
      </c>
      <c r="B128" s="91">
        <v>180498</v>
      </c>
      <c r="C128" s="161" t="s">
        <v>503</v>
      </c>
      <c r="D128" s="89" t="s">
        <v>40</v>
      </c>
      <c r="E128" s="21">
        <v>46035</v>
      </c>
      <c r="F128" s="12"/>
      <c r="G128" s="12"/>
      <c r="H128" s="1"/>
      <c r="I128" s="1"/>
      <c r="J128" s="1"/>
      <c r="K128" s="1" t="s">
        <v>44</v>
      </c>
      <c r="L128" s="1" t="s">
        <v>61</v>
      </c>
      <c r="M128" s="1" t="s">
        <v>46</v>
      </c>
      <c r="N128" s="1" t="s">
        <v>47</v>
      </c>
      <c r="O128" s="8" t="s">
        <v>961</v>
      </c>
      <c r="P128" s="176">
        <v>42973</v>
      </c>
      <c r="Q128" s="169"/>
      <c r="R128" s="216" t="s">
        <v>962</v>
      </c>
      <c r="S128" s="216" t="s">
        <v>963</v>
      </c>
      <c r="T128" s="32" t="s">
        <v>76</v>
      </c>
      <c r="U128" s="8" t="str">
        <f>VLOOKUP('IMPO TERR'!T128,'Matriz datos'!$J$2:$K$10,2,0)</f>
        <v>AV. PDTE. EDUARDO FREI 8301, QUILICURA</v>
      </c>
      <c r="V128" s="63" t="s">
        <v>964</v>
      </c>
      <c r="W128" s="64" t="s">
        <v>965</v>
      </c>
      <c r="X128" s="4" t="s">
        <v>966</v>
      </c>
      <c r="Z128" s="127">
        <v>2605133220</v>
      </c>
      <c r="AA128" s="153">
        <v>2605135884</v>
      </c>
      <c r="AB128" s="167">
        <v>46098</v>
      </c>
      <c r="AC128" s="51">
        <v>46099</v>
      </c>
      <c r="AD128" s="21">
        <v>46099</v>
      </c>
      <c r="AE128" s="8">
        <v>4090180498</v>
      </c>
      <c r="AF128" s="22">
        <v>46099</v>
      </c>
      <c r="AG128" s="42">
        <v>46100</v>
      </c>
      <c r="AH128" s="15" t="s">
        <v>58</v>
      </c>
      <c r="AI128" s="216"/>
      <c r="AJ128" s="222">
        <v>25450000</v>
      </c>
      <c r="AK128" s="9"/>
      <c r="AL128" s="28"/>
    </row>
    <row r="129" spans="1:38" ht="24.75" customHeight="1">
      <c r="A129" s="91" t="s">
        <v>967</v>
      </c>
      <c r="B129" s="91">
        <v>180500</v>
      </c>
      <c r="C129" s="161" t="s">
        <v>503</v>
      </c>
      <c r="D129" s="1" t="s">
        <v>58</v>
      </c>
      <c r="E129" s="21">
        <v>46035</v>
      </c>
      <c r="F129" s="12"/>
      <c r="G129" s="12"/>
      <c r="H129" s="1"/>
      <c r="I129" s="1"/>
      <c r="J129" s="1"/>
      <c r="K129" s="1" t="s">
        <v>44</v>
      </c>
      <c r="L129" s="1" t="s">
        <v>61</v>
      </c>
      <c r="M129" s="1" t="s">
        <v>46</v>
      </c>
      <c r="N129" s="1" t="s">
        <v>47</v>
      </c>
      <c r="O129" s="8" t="s">
        <v>968</v>
      </c>
      <c r="P129" s="176">
        <v>42974</v>
      </c>
      <c r="Q129" s="169"/>
      <c r="R129" s="216" t="s">
        <v>969</v>
      </c>
      <c r="S129" s="216" t="s">
        <v>970</v>
      </c>
      <c r="T129" s="32" t="s">
        <v>76</v>
      </c>
      <c r="U129" s="8" t="str">
        <f>VLOOKUP('IMPO TERR'!T129,'Matriz datos'!$J$2:$K$10,2,0)</f>
        <v>AV. PDTE. EDUARDO FREI 8301, QUILICURA</v>
      </c>
      <c r="V129" s="63" t="s">
        <v>971</v>
      </c>
      <c r="W129" s="64" t="s">
        <v>972</v>
      </c>
      <c r="X129" s="4" t="s">
        <v>973</v>
      </c>
      <c r="Z129" s="127">
        <v>2605133269</v>
      </c>
      <c r="AA129" s="1">
        <v>2605136621</v>
      </c>
      <c r="AB129" s="115">
        <v>46098</v>
      </c>
      <c r="AC129" s="167">
        <v>46099</v>
      </c>
      <c r="AD129" s="143" t="s">
        <v>974</v>
      </c>
      <c r="AE129" s="142">
        <v>4090180500</v>
      </c>
      <c r="AF129" s="22">
        <v>46099</v>
      </c>
      <c r="AG129" s="154" t="s">
        <v>58</v>
      </c>
      <c r="AH129" s="15" t="s">
        <v>58</v>
      </c>
      <c r="AI129" s="216"/>
      <c r="AJ129" s="222">
        <v>27040000</v>
      </c>
      <c r="AK129" s="9"/>
      <c r="AL129" s="28"/>
    </row>
    <row r="130" spans="1:38" ht="24.75" customHeight="1">
      <c r="A130" s="91" t="s">
        <v>975</v>
      </c>
      <c r="B130" s="91">
        <v>180502</v>
      </c>
      <c r="C130" s="161" t="s">
        <v>39</v>
      </c>
      <c r="D130" s="4" t="s">
        <v>40</v>
      </c>
      <c r="E130" s="21">
        <v>46035</v>
      </c>
      <c r="F130" s="12"/>
      <c r="G130" s="12"/>
      <c r="H130" s="1"/>
      <c r="I130" s="1"/>
      <c r="J130" s="1"/>
      <c r="K130" s="1" t="s">
        <v>44</v>
      </c>
      <c r="L130" s="1" t="s">
        <v>61</v>
      </c>
      <c r="M130" s="1" t="s">
        <v>46</v>
      </c>
      <c r="N130" s="1" t="s">
        <v>47</v>
      </c>
      <c r="O130" s="8" t="s">
        <v>976</v>
      </c>
      <c r="P130" s="176">
        <v>42481</v>
      </c>
      <c r="Q130" s="169"/>
      <c r="R130" s="216" t="s">
        <v>977</v>
      </c>
      <c r="S130" s="216" t="s">
        <v>978</v>
      </c>
      <c r="T130" s="32" t="s">
        <v>76</v>
      </c>
      <c r="U130" s="8" t="str">
        <f>VLOOKUP('IMPO TERR'!T130,'Matriz datos'!$J$2:$K$10,2,0)</f>
        <v>AV. PDTE. EDUARDO FREI 8301, QUILICURA</v>
      </c>
      <c r="V130" s="63" t="s">
        <v>979</v>
      </c>
      <c r="W130" s="64"/>
      <c r="X130" s="4" t="s">
        <v>980</v>
      </c>
      <c r="Z130" s="127">
        <v>2605130464</v>
      </c>
      <c r="AA130" s="196">
        <v>2605130648</v>
      </c>
      <c r="AB130" s="207">
        <v>46097</v>
      </c>
      <c r="AC130" s="43">
        <v>46098</v>
      </c>
      <c r="AD130" s="168">
        <v>46098</v>
      </c>
      <c r="AE130" s="142">
        <v>4090180502</v>
      </c>
      <c r="AF130" s="144">
        <v>46099</v>
      </c>
      <c r="AG130" s="43">
        <v>46099</v>
      </c>
      <c r="AH130" s="116">
        <v>46099</v>
      </c>
      <c r="AI130" s="216"/>
      <c r="AJ130" s="222">
        <v>26250000</v>
      </c>
      <c r="AK130" s="9"/>
      <c r="AL130" s="28"/>
    </row>
    <row r="131" spans="1:38" ht="24.75" customHeight="1">
      <c r="A131" s="91" t="s">
        <v>981</v>
      </c>
      <c r="B131" s="91">
        <v>180503</v>
      </c>
      <c r="C131" s="161" t="s">
        <v>495</v>
      </c>
      <c r="D131" s="1" t="s">
        <v>58</v>
      </c>
      <c r="E131" s="21">
        <v>46094</v>
      </c>
      <c r="F131" s="12"/>
      <c r="G131" s="12"/>
      <c r="H131" s="1"/>
      <c r="I131" s="1"/>
      <c r="J131" s="1"/>
      <c r="K131" s="1" t="s">
        <v>44</v>
      </c>
      <c r="L131" s="1" t="s">
        <v>61</v>
      </c>
      <c r="M131" s="1" t="s">
        <v>46</v>
      </c>
      <c r="N131" s="1" t="s">
        <v>47</v>
      </c>
      <c r="O131" s="8" t="s">
        <v>982</v>
      </c>
      <c r="P131" s="176"/>
      <c r="Q131" s="169"/>
      <c r="R131" s="216"/>
      <c r="S131" s="216"/>
      <c r="T131" s="32" t="s">
        <v>76</v>
      </c>
      <c r="U131" s="8" t="str">
        <f>VLOOKUP('IMPO TERR'!T131,'Matriz datos'!$J$2:$K$10,2,0)</f>
        <v>AV. PDTE. EDUARDO FREI 8301, QUILICURA</v>
      </c>
      <c r="W131" s="64"/>
      <c r="X131" s="4" t="s">
        <v>983</v>
      </c>
      <c r="Z131" s="127">
        <v>2605128897</v>
      </c>
      <c r="AA131" s="1">
        <v>2605131119</v>
      </c>
      <c r="AB131" s="230"/>
      <c r="AC131" s="237"/>
      <c r="AD131" s="21">
        <v>46097</v>
      </c>
      <c r="AE131" s="130">
        <v>4090180503</v>
      </c>
      <c r="AG131" s="155"/>
      <c r="AH131" s="17"/>
      <c r="AI131" s="216"/>
      <c r="AJ131" s="222">
        <v>25430000</v>
      </c>
      <c r="AK131" s="9"/>
      <c r="AL131" s="28"/>
    </row>
    <row r="132" spans="1:38" ht="24.75" customHeight="1">
      <c r="A132" s="91" t="s">
        <v>984</v>
      </c>
      <c r="B132" s="91">
        <v>180512</v>
      </c>
      <c r="C132" s="161" t="s">
        <v>39</v>
      </c>
      <c r="D132" s="1" t="s">
        <v>58</v>
      </c>
      <c r="E132" s="21">
        <v>46095</v>
      </c>
      <c r="F132" s="12"/>
      <c r="G132" s="12"/>
      <c r="H132" s="1"/>
      <c r="I132" s="1"/>
      <c r="J132" s="1"/>
      <c r="K132" s="1" t="s">
        <v>44</v>
      </c>
      <c r="L132" s="1" t="s">
        <v>256</v>
      </c>
      <c r="M132" s="1" t="s">
        <v>46</v>
      </c>
      <c r="N132" s="1" t="s">
        <v>47</v>
      </c>
      <c r="O132" s="8" t="s">
        <v>985</v>
      </c>
      <c r="P132" s="176" t="s">
        <v>986</v>
      </c>
      <c r="Q132" s="169"/>
      <c r="R132" s="216" t="s">
        <v>328</v>
      </c>
      <c r="S132" s="216" t="s">
        <v>329</v>
      </c>
      <c r="T132" s="32" t="s">
        <v>395</v>
      </c>
      <c r="U132" s="8" t="str">
        <f>VLOOKUP('IMPO TERR'!T132,'Matriz datos'!$J$2:$K$10,2,0)</f>
        <v>CAMINO LO AGUIRRE SUR 537, PUDAHUEL </v>
      </c>
      <c r="V132" s="63" t="s">
        <v>987</v>
      </c>
      <c r="W132" s="64" t="s">
        <v>988</v>
      </c>
      <c r="X132" s="4" t="s">
        <v>989</v>
      </c>
      <c r="Z132" s="127">
        <v>2605127727</v>
      </c>
      <c r="AA132" s="194">
        <v>2605130670</v>
      </c>
      <c r="AB132" s="232">
        <v>46097</v>
      </c>
      <c r="AC132" s="43">
        <v>46098</v>
      </c>
      <c r="AD132" s="156">
        <v>46097</v>
      </c>
      <c r="AE132" s="142">
        <v>4090180512</v>
      </c>
      <c r="AF132" s="22">
        <v>46098</v>
      </c>
      <c r="AG132" s="42">
        <v>46098</v>
      </c>
      <c r="AH132" s="43">
        <v>46099</v>
      </c>
      <c r="AI132" s="225"/>
      <c r="AJ132" s="222">
        <v>40860000</v>
      </c>
      <c r="AK132" s="9"/>
      <c r="AL132" s="28"/>
    </row>
    <row r="133" spans="1:38" ht="24.75" customHeight="1">
      <c r="A133" s="91" t="s">
        <v>990</v>
      </c>
      <c r="B133" s="91">
        <v>180522</v>
      </c>
      <c r="C133" s="161" t="s">
        <v>495</v>
      </c>
      <c r="D133" s="1" t="s">
        <v>58</v>
      </c>
      <c r="E133" s="21">
        <v>46097</v>
      </c>
      <c r="F133" s="12"/>
      <c r="G133" s="12"/>
      <c r="H133" s="1"/>
      <c r="I133" s="1"/>
      <c r="J133" s="1"/>
      <c r="K133" s="1" t="s">
        <v>44</v>
      </c>
      <c r="L133" s="1" t="s">
        <v>45</v>
      </c>
      <c r="M133" s="1" t="s">
        <v>46</v>
      </c>
      <c r="N133" s="1" t="s">
        <v>47</v>
      </c>
      <c r="O133" s="8" t="s">
        <v>991</v>
      </c>
      <c r="P133" s="176"/>
      <c r="Q133" s="169"/>
      <c r="R133" s="216" t="s">
        <v>992</v>
      </c>
      <c r="S133" s="216" t="s">
        <v>993</v>
      </c>
      <c r="T133" s="32" t="s">
        <v>102</v>
      </c>
      <c r="U133" s="8" t="str">
        <f>VLOOKUP('IMPO TERR'!T133,'Matriz datos'!$J$2:$K$10,2,0)</f>
        <v>AV. AMERICO VESPUCIO 0350, QUILICURA</v>
      </c>
      <c r="V133" s="63" t="s">
        <v>994</v>
      </c>
      <c r="W133" s="64" t="s">
        <v>995</v>
      </c>
      <c r="X133" s="4" t="s">
        <v>996</v>
      </c>
      <c r="Z133" s="127">
        <v>2605133281</v>
      </c>
      <c r="AA133" s="1">
        <v>2605136671</v>
      </c>
      <c r="AB133" s="225"/>
      <c r="AC133" s="239"/>
      <c r="AD133" s="21">
        <v>46099</v>
      </c>
      <c r="AE133" s="142">
        <v>4090180522</v>
      </c>
      <c r="AG133" s="32"/>
      <c r="AH133" s="90"/>
      <c r="AI133" s="216"/>
      <c r="AJ133" s="222">
        <v>27300000</v>
      </c>
      <c r="AK133" s="9"/>
      <c r="AL133" s="28"/>
    </row>
    <row r="134" spans="1:38" ht="24.75" customHeight="1">
      <c r="A134" s="91" t="s">
        <v>997</v>
      </c>
      <c r="B134" s="91">
        <v>180523</v>
      </c>
      <c r="C134" s="161" t="s">
        <v>495</v>
      </c>
      <c r="D134" s="1" t="s">
        <v>58</v>
      </c>
      <c r="E134" s="21">
        <v>46097</v>
      </c>
      <c r="F134" s="12"/>
      <c r="G134" s="12"/>
      <c r="H134" s="1"/>
      <c r="I134" s="1"/>
      <c r="J134" s="1"/>
      <c r="K134" s="1" t="s">
        <v>44</v>
      </c>
      <c r="L134" s="1" t="s">
        <v>45</v>
      </c>
      <c r="M134" s="1" t="s">
        <v>46</v>
      </c>
      <c r="N134" s="1" t="s">
        <v>47</v>
      </c>
      <c r="O134" s="8" t="s">
        <v>998</v>
      </c>
      <c r="P134" s="176"/>
      <c r="Q134" s="169"/>
      <c r="R134" s="251" t="s">
        <v>999</v>
      </c>
      <c r="S134" s="216" t="s">
        <v>1000</v>
      </c>
      <c r="T134" s="32" t="s">
        <v>76</v>
      </c>
      <c r="U134" s="8" t="str">
        <f>VLOOKUP('IMPO TERR'!T134,'Matriz datos'!$J$2:$K$10,2,0)</f>
        <v>AV. PDTE. EDUARDO FREI 8301, QUILICURA</v>
      </c>
      <c r="V134" s="63" t="s">
        <v>1001</v>
      </c>
      <c r="W134" s="72" t="s">
        <v>1002</v>
      </c>
      <c r="X134" s="4" t="s">
        <v>1003</v>
      </c>
      <c r="Z134" s="127">
        <v>2605131592</v>
      </c>
      <c r="AA134" s="1">
        <v>2605133567</v>
      </c>
      <c r="AB134" s="225"/>
      <c r="AC134" s="226"/>
      <c r="AD134" s="21">
        <v>46098</v>
      </c>
      <c r="AE134" s="142">
        <v>4090180523</v>
      </c>
      <c r="AG134" s="32"/>
      <c r="AH134" s="15"/>
      <c r="AI134" s="216"/>
      <c r="AJ134" s="165">
        <v>24380000</v>
      </c>
      <c r="AK134" s="9"/>
      <c r="AL134" s="28"/>
    </row>
    <row r="135" spans="1:38" ht="24.75" customHeight="1">
      <c r="A135" s="91" t="s">
        <v>1004</v>
      </c>
      <c r="B135" s="91">
        <v>180525</v>
      </c>
      <c r="C135" s="161" t="s">
        <v>495</v>
      </c>
      <c r="D135" s="1" t="s">
        <v>58</v>
      </c>
      <c r="E135" s="21">
        <v>46097</v>
      </c>
      <c r="F135" s="12"/>
      <c r="G135" s="12"/>
      <c r="H135" s="1"/>
      <c r="I135" s="1"/>
      <c r="J135" s="1"/>
      <c r="K135" s="1" t="s">
        <v>44</v>
      </c>
      <c r="L135" s="1" t="s">
        <v>45</v>
      </c>
      <c r="M135" s="1" t="s">
        <v>46</v>
      </c>
      <c r="N135" s="1" t="s">
        <v>47</v>
      </c>
      <c r="O135" s="8" t="s">
        <v>1005</v>
      </c>
      <c r="P135" s="176"/>
      <c r="Q135" s="169"/>
      <c r="R135" s="216" t="s">
        <v>1006</v>
      </c>
      <c r="S135" s="32" t="s">
        <v>1007</v>
      </c>
      <c r="T135" s="32" t="s">
        <v>76</v>
      </c>
      <c r="U135" s="8" t="str">
        <f>VLOOKUP('IMPO TERR'!T135,'Matriz datos'!$J$2:$K$10,2,0)</f>
        <v>AV. PDTE. EDUARDO FREI 8301, QUILICURA</v>
      </c>
      <c r="V135" s="31" t="s">
        <v>1008</v>
      </c>
      <c r="W135" s="84" t="s">
        <v>1009</v>
      </c>
      <c r="X135" s="4" t="s">
        <v>1010</v>
      </c>
      <c r="Z135" s="127">
        <v>2605133290</v>
      </c>
      <c r="AA135" s="1">
        <v>2605136693</v>
      </c>
      <c r="AB135" s="225"/>
      <c r="AC135" s="226"/>
      <c r="AD135" s="21">
        <v>46099</v>
      </c>
      <c r="AE135" s="142">
        <v>4090180525</v>
      </c>
      <c r="AG135" s="32"/>
      <c r="AH135" s="15"/>
      <c r="AI135" s="216"/>
      <c r="AJ135" s="165">
        <v>25950000</v>
      </c>
      <c r="AK135" s="9"/>
      <c r="AL135" s="28"/>
    </row>
    <row r="136" spans="1:38" ht="24.75" customHeight="1">
      <c r="A136" s="91" t="s">
        <v>1011</v>
      </c>
      <c r="B136" s="91">
        <v>180526</v>
      </c>
      <c r="C136" s="161" t="s">
        <v>495</v>
      </c>
      <c r="D136" s="1" t="s">
        <v>58</v>
      </c>
      <c r="E136" s="21">
        <v>46097</v>
      </c>
      <c r="F136" s="12"/>
      <c r="G136" s="12" t="s">
        <v>1012</v>
      </c>
      <c r="H136" s="1"/>
      <c r="I136" s="1"/>
      <c r="J136" s="1"/>
      <c r="K136" s="1" t="s">
        <v>60</v>
      </c>
      <c r="L136" s="1" t="s">
        <v>45</v>
      </c>
      <c r="M136" s="1" t="s">
        <v>46</v>
      </c>
      <c r="N136" s="1" t="s">
        <v>47</v>
      </c>
      <c r="O136" s="8" t="s">
        <v>1013</v>
      </c>
      <c r="P136" s="176"/>
      <c r="Q136" s="169"/>
      <c r="R136" s="256" t="s">
        <v>1014</v>
      </c>
      <c r="S136" s="216" t="s">
        <v>1015</v>
      </c>
      <c r="T136" s="32" t="s">
        <v>76</v>
      </c>
      <c r="U136" s="8" t="str">
        <f>VLOOKUP('IMPO TERR'!T136,'Matriz datos'!$J$2:$K$10,2,0)</f>
        <v>AV. PDTE. EDUARDO FREI 8301, QUILICURA</v>
      </c>
      <c r="V136" s="63" t="s">
        <v>1016</v>
      </c>
      <c r="W136" s="73" t="s">
        <v>1017</v>
      </c>
      <c r="X136" s="4" t="s">
        <v>1018</v>
      </c>
      <c r="Z136" s="127">
        <v>2605133769</v>
      </c>
      <c r="AA136" s="1">
        <v>2605135980</v>
      </c>
      <c r="AB136" s="225"/>
      <c r="AC136" s="226"/>
      <c r="AD136" s="21">
        <v>46099</v>
      </c>
      <c r="AE136" s="142">
        <v>4090180526</v>
      </c>
      <c r="AG136" s="32"/>
      <c r="AH136" s="15"/>
      <c r="AI136" s="216"/>
      <c r="AJ136" s="222">
        <v>21170000</v>
      </c>
      <c r="AK136" s="9"/>
      <c r="AL136" s="28"/>
    </row>
    <row r="137" spans="1:38" ht="24.75" customHeight="1">
      <c r="A137" s="91" t="s">
        <v>1019</v>
      </c>
      <c r="B137" s="91">
        <v>180536</v>
      </c>
      <c r="C137" s="161" t="s">
        <v>495</v>
      </c>
      <c r="D137" s="1" t="s">
        <v>58</v>
      </c>
      <c r="E137" s="21">
        <v>46097</v>
      </c>
      <c r="F137" s="12"/>
      <c r="G137" s="12"/>
      <c r="H137" s="1"/>
      <c r="I137" s="1"/>
      <c r="J137" s="1"/>
      <c r="K137" s="1" t="s">
        <v>44</v>
      </c>
      <c r="L137" s="1" t="s">
        <v>45</v>
      </c>
      <c r="M137" s="1" t="s">
        <v>46</v>
      </c>
      <c r="N137" s="1" t="s">
        <v>47</v>
      </c>
      <c r="O137" s="8" t="s">
        <v>1020</v>
      </c>
      <c r="P137" s="180"/>
      <c r="Q137" s="169"/>
      <c r="R137" s="216" t="s">
        <v>1021</v>
      </c>
      <c r="S137" s="216" t="s">
        <v>1022</v>
      </c>
      <c r="T137" s="154" t="s">
        <v>76</v>
      </c>
      <c r="U137" s="8" t="str">
        <f>VLOOKUP('IMPO TERR'!T137,'Matriz datos'!$J$2:$K$10,2,0)</f>
        <v>AV. PDTE. EDUARDO FREI 8301, QUILICURA</v>
      </c>
      <c r="V137" s="147" t="s">
        <v>1023</v>
      </c>
      <c r="W137" s="214" t="s">
        <v>1024</v>
      </c>
      <c r="X137" s="4" t="s">
        <v>1025</v>
      </c>
      <c r="Z137" s="127">
        <v>2605133969</v>
      </c>
      <c r="AA137" s="1">
        <v>2605135928</v>
      </c>
      <c r="AB137" s="225"/>
      <c r="AC137" s="226"/>
      <c r="AD137" s="21">
        <v>46099</v>
      </c>
      <c r="AE137" s="142">
        <v>4090180536</v>
      </c>
      <c r="AG137" s="154"/>
      <c r="AH137" s="15"/>
      <c r="AI137" s="216"/>
      <c r="AJ137" s="165">
        <v>25290000</v>
      </c>
      <c r="AK137" s="9"/>
      <c r="AL137" s="28"/>
    </row>
    <row r="138" spans="1:38" ht="24.75" customHeight="1">
      <c r="A138" s="91" t="s">
        <v>1026</v>
      </c>
      <c r="B138" s="91">
        <v>180541</v>
      </c>
      <c r="C138" s="161" t="s">
        <v>39</v>
      </c>
      <c r="D138" s="1" t="s">
        <v>58</v>
      </c>
      <c r="E138" s="21">
        <v>46097</v>
      </c>
      <c r="F138" s="12"/>
      <c r="G138" s="12"/>
      <c r="H138" s="1"/>
      <c r="I138" s="1"/>
      <c r="J138" s="1"/>
      <c r="K138" s="1" t="s">
        <v>44</v>
      </c>
      <c r="L138" s="1" t="s">
        <v>256</v>
      </c>
      <c r="M138" s="1" t="s">
        <v>46</v>
      </c>
      <c r="N138" s="1" t="s">
        <v>47</v>
      </c>
      <c r="O138" s="8" t="s">
        <v>1027</v>
      </c>
      <c r="P138" s="18" t="s">
        <v>1028</v>
      </c>
      <c r="Q138" s="169"/>
      <c r="R138" s="15" t="s">
        <v>1029</v>
      </c>
      <c r="S138" s="221" t="s">
        <v>1030</v>
      </c>
      <c r="T138" s="15" t="s">
        <v>395</v>
      </c>
      <c r="U138" s="8" t="str">
        <f>VLOOKUP('IMPO TERR'!T138,'Matriz datos'!$J$2:$K$10,2,0)</f>
        <v>CAMINO LO AGUIRRE SUR 537, PUDAHUEL </v>
      </c>
      <c r="V138" s="76" t="s">
        <v>1031</v>
      </c>
      <c r="W138" s="148" t="s">
        <v>1032</v>
      </c>
      <c r="X138" s="4" t="s">
        <v>1033</v>
      </c>
      <c r="Z138" s="127">
        <v>2605132075</v>
      </c>
      <c r="AA138" s="194">
        <v>2605133179</v>
      </c>
      <c r="AB138" s="234">
        <v>46097</v>
      </c>
      <c r="AC138" s="226">
        <v>46098</v>
      </c>
      <c r="AD138" s="21">
        <v>46098</v>
      </c>
      <c r="AE138" s="142">
        <v>4090180541</v>
      </c>
      <c r="AF138" s="144">
        <v>46098</v>
      </c>
      <c r="AG138" s="43">
        <v>46099</v>
      </c>
      <c r="AH138" s="116">
        <v>46099</v>
      </c>
      <c r="AI138" s="216"/>
      <c r="AJ138" s="222">
        <v>47260000</v>
      </c>
      <c r="AK138" s="9"/>
      <c r="AL138" s="28"/>
    </row>
    <row r="139" spans="1:38" ht="24.75" customHeight="1">
      <c r="A139" s="91" t="s">
        <v>1034</v>
      </c>
      <c r="B139" s="91">
        <v>180544</v>
      </c>
      <c r="C139" s="161" t="s">
        <v>495</v>
      </c>
      <c r="D139" s="1" t="s">
        <v>58</v>
      </c>
      <c r="E139" s="21">
        <v>46097</v>
      </c>
      <c r="F139" s="12"/>
      <c r="G139" s="12"/>
      <c r="H139" s="1"/>
      <c r="I139" s="1"/>
      <c r="J139" s="1"/>
      <c r="K139" s="1" t="s">
        <v>44</v>
      </c>
      <c r="L139" s="1" t="s">
        <v>61</v>
      </c>
      <c r="M139" s="1" t="s">
        <v>46</v>
      </c>
      <c r="N139" s="1" t="s">
        <v>47</v>
      </c>
      <c r="O139" s="8" t="s">
        <v>1035</v>
      </c>
      <c r="P139" s="181"/>
      <c r="Q139" s="169"/>
      <c r="R139" s="216"/>
      <c r="S139" s="216"/>
      <c r="T139" s="155" t="s">
        <v>102</v>
      </c>
      <c r="U139" s="8" t="str">
        <f>VLOOKUP('IMPO TERR'!T139,'Matriz datos'!$J$2:$K$10,2,0)</f>
        <v>AV. AMERICO VESPUCIO 0350, QUILICURA</v>
      </c>
      <c r="W139" s="64"/>
      <c r="X139" s="4" t="s">
        <v>1036</v>
      </c>
      <c r="Z139" s="127">
        <v>2605131931</v>
      </c>
      <c r="AA139" s="1">
        <v>2605133656</v>
      </c>
      <c r="AB139" s="225"/>
      <c r="AC139" s="226"/>
      <c r="AD139" s="21">
        <v>46098</v>
      </c>
      <c r="AE139" s="142">
        <v>4090180544</v>
      </c>
      <c r="AG139" s="155"/>
      <c r="AH139" s="15"/>
      <c r="AI139" s="216"/>
      <c r="AJ139" s="165">
        <v>28220000</v>
      </c>
      <c r="AK139" s="9"/>
      <c r="AL139" s="28"/>
    </row>
    <row r="140" spans="1:38" ht="24.75" customHeight="1">
      <c r="A140" s="91" t="s">
        <v>1037</v>
      </c>
      <c r="B140" s="91">
        <v>180545</v>
      </c>
      <c r="C140" s="161" t="s">
        <v>495</v>
      </c>
      <c r="D140" s="1" t="s">
        <v>58</v>
      </c>
      <c r="E140" s="21">
        <v>46097</v>
      </c>
      <c r="F140" s="12"/>
      <c r="G140" s="12"/>
      <c r="H140" s="1"/>
      <c r="I140" s="1"/>
      <c r="J140" s="1"/>
      <c r="K140" s="1" t="s">
        <v>44</v>
      </c>
      <c r="L140" s="1" t="s">
        <v>61</v>
      </c>
      <c r="M140" s="1" t="s">
        <v>46</v>
      </c>
      <c r="N140" s="1" t="s">
        <v>47</v>
      </c>
      <c r="O140" s="8" t="s">
        <v>1038</v>
      </c>
      <c r="P140" s="176"/>
      <c r="Q140" s="169"/>
      <c r="R140" s="216"/>
      <c r="S140" s="216"/>
      <c r="T140" s="32" t="s">
        <v>395</v>
      </c>
      <c r="U140" s="8" t="str">
        <f>VLOOKUP('IMPO TERR'!T140,'Matriz datos'!$J$2:$K$10,2,0)</f>
        <v>CAMINO LO AGUIRRE SUR 537, PUDAHUEL </v>
      </c>
      <c r="W140" s="64"/>
      <c r="X140" s="4" t="s">
        <v>1039</v>
      </c>
      <c r="Z140" s="127">
        <v>2605134191</v>
      </c>
      <c r="AA140" s="1">
        <v>2605135916</v>
      </c>
      <c r="AB140" s="225"/>
      <c r="AC140" s="226"/>
      <c r="AD140" s="21">
        <v>46099</v>
      </c>
      <c r="AE140" s="142">
        <v>4090180545</v>
      </c>
      <c r="AG140" s="32"/>
      <c r="AH140" s="15"/>
      <c r="AI140" s="216"/>
      <c r="AJ140" s="165">
        <v>34490000</v>
      </c>
      <c r="AK140" s="9"/>
      <c r="AL140" s="28"/>
    </row>
    <row r="141" spans="1:38" ht="24.75" customHeight="1">
      <c r="A141" s="91" t="s">
        <v>1040</v>
      </c>
      <c r="B141" s="91">
        <v>180547</v>
      </c>
      <c r="C141" s="161" t="s">
        <v>495</v>
      </c>
      <c r="D141" s="1" t="s">
        <v>58</v>
      </c>
      <c r="E141" s="21">
        <v>46097</v>
      </c>
      <c r="F141" s="12"/>
      <c r="G141" s="12"/>
      <c r="H141" s="1"/>
      <c r="I141" s="1"/>
      <c r="J141" s="1"/>
      <c r="K141" s="1" t="s">
        <v>44</v>
      </c>
      <c r="L141" s="1" t="s">
        <v>61</v>
      </c>
      <c r="M141" s="1" t="s">
        <v>46</v>
      </c>
      <c r="N141" s="1" t="s">
        <v>47</v>
      </c>
      <c r="O141" s="8" t="s">
        <v>1041</v>
      </c>
      <c r="P141" s="176"/>
      <c r="Q141" s="169"/>
      <c r="R141" s="216"/>
      <c r="S141" s="216"/>
      <c r="T141" s="32" t="s">
        <v>76</v>
      </c>
      <c r="U141" s="8" t="str">
        <f>VLOOKUP('IMPO TERR'!T141,'Matriz datos'!$J$2:$K$10,2,0)</f>
        <v>AV. PDTE. EDUARDO FREI 8301, QUILICURA</v>
      </c>
      <c r="W141" s="64"/>
      <c r="X141" s="4" t="s">
        <v>1042</v>
      </c>
      <c r="Z141" s="127">
        <v>2605134439</v>
      </c>
      <c r="AA141" s="1">
        <v>2605136741</v>
      </c>
      <c r="AB141" s="225"/>
      <c r="AC141" s="226"/>
      <c r="AD141" s="21">
        <v>46099</v>
      </c>
      <c r="AE141" s="142">
        <v>4090180547</v>
      </c>
      <c r="AG141" s="32"/>
      <c r="AH141" s="15"/>
      <c r="AI141" s="216"/>
      <c r="AJ141" s="222">
        <v>25630000</v>
      </c>
      <c r="AK141" s="9"/>
      <c r="AL141" s="28"/>
    </row>
    <row r="142" spans="1:38" ht="24.75" customHeight="1">
      <c r="A142" s="91" t="s">
        <v>1043</v>
      </c>
      <c r="B142" s="91">
        <v>180549</v>
      </c>
      <c r="C142" s="161" t="s">
        <v>495</v>
      </c>
      <c r="D142" s="1" t="s">
        <v>58</v>
      </c>
      <c r="E142" s="21">
        <v>46097</v>
      </c>
      <c r="F142" s="12"/>
      <c r="G142" s="12"/>
      <c r="H142" s="1"/>
      <c r="I142" s="1"/>
      <c r="J142" s="1"/>
      <c r="K142" s="1" t="s">
        <v>44</v>
      </c>
      <c r="L142" s="1" t="s">
        <v>61</v>
      </c>
      <c r="M142" s="1" t="s">
        <v>46</v>
      </c>
      <c r="N142" s="1" t="s">
        <v>47</v>
      </c>
      <c r="O142" s="8" t="s">
        <v>1044</v>
      </c>
      <c r="P142" s="176"/>
      <c r="Q142" s="169"/>
      <c r="R142" s="216"/>
      <c r="S142" s="216"/>
      <c r="T142" s="32" t="s">
        <v>102</v>
      </c>
      <c r="U142" s="8" t="str">
        <f>VLOOKUP('IMPO TERR'!T142,'Matriz datos'!$J$2:$K$10,2,0)</f>
        <v>AV. AMERICO VESPUCIO 0350, QUILICURA</v>
      </c>
      <c r="W142" s="64"/>
      <c r="X142" s="4" t="s">
        <v>1045</v>
      </c>
      <c r="Z142" s="127">
        <v>2605134947</v>
      </c>
      <c r="AA142" s="1">
        <v>2605135954</v>
      </c>
      <c r="AB142" s="225"/>
      <c r="AC142" s="226"/>
      <c r="AD142" s="1" t="s">
        <v>839</v>
      </c>
      <c r="AE142" s="8">
        <v>4090180549</v>
      </c>
      <c r="AG142" s="32"/>
      <c r="AH142" s="15"/>
      <c r="AI142" s="216"/>
      <c r="AJ142" s="165">
        <v>28800000</v>
      </c>
      <c r="AK142" s="9"/>
      <c r="AL142" s="28"/>
    </row>
    <row r="143" spans="1:38" ht="24.75" customHeight="1">
      <c r="A143" s="91" t="s">
        <v>1046</v>
      </c>
      <c r="B143" s="91">
        <v>180550</v>
      </c>
      <c r="C143" s="161" t="s">
        <v>495</v>
      </c>
      <c r="D143" s="1" t="s">
        <v>58</v>
      </c>
      <c r="E143" s="21">
        <v>46097</v>
      </c>
      <c r="F143" s="12"/>
      <c r="G143" s="12"/>
      <c r="H143" s="1"/>
      <c r="I143" s="1"/>
      <c r="J143" s="1"/>
      <c r="K143" s="1" t="s">
        <v>44</v>
      </c>
      <c r="L143" s="1" t="s">
        <v>61</v>
      </c>
      <c r="M143" s="1" t="s">
        <v>46</v>
      </c>
      <c r="N143" s="1" t="s">
        <v>47</v>
      </c>
      <c r="O143" s="8" t="s">
        <v>1047</v>
      </c>
      <c r="P143" s="176"/>
      <c r="Q143" s="169"/>
      <c r="R143" s="216"/>
      <c r="S143" s="216"/>
      <c r="T143" s="32" t="s">
        <v>395</v>
      </c>
      <c r="U143" s="8" t="str">
        <f>VLOOKUP('IMPO TERR'!T143,'Matriz datos'!$J$2:$K$10,2,0)</f>
        <v>CAMINO LO AGUIRRE SUR 537, PUDAHUEL </v>
      </c>
      <c r="W143" s="64"/>
      <c r="X143" s="4" t="s">
        <v>1048</v>
      </c>
      <c r="Z143" s="127">
        <v>2605132366</v>
      </c>
      <c r="AA143" s="1">
        <v>2605133670</v>
      </c>
      <c r="AB143" s="225"/>
      <c r="AC143" s="226"/>
      <c r="AD143" s="258">
        <v>46098</v>
      </c>
      <c r="AE143" s="142">
        <v>4090180550</v>
      </c>
      <c r="AG143" s="32"/>
      <c r="AH143" s="15"/>
      <c r="AI143" s="216"/>
      <c r="AJ143" s="165">
        <v>34360000</v>
      </c>
      <c r="AK143" s="9"/>
      <c r="AL143" s="28"/>
    </row>
    <row r="144" spans="1:38" ht="24.75" customHeight="1">
      <c r="A144" s="91" t="s">
        <v>1049</v>
      </c>
      <c r="B144" s="91">
        <v>180551</v>
      </c>
      <c r="C144" s="161" t="s">
        <v>495</v>
      </c>
      <c r="D144" s="1" t="s">
        <v>58</v>
      </c>
      <c r="E144" s="21">
        <v>46097</v>
      </c>
      <c r="F144" s="12"/>
      <c r="G144" s="12"/>
      <c r="H144" s="1"/>
      <c r="I144" s="1"/>
      <c r="J144" s="1"/>
      <c r="K144" s="1" t="s">
        <v>44</v>
      </c>
      <c r="L144" s="1" t="s">
        <v>61</v>
      </c>
      <c r="M144" s="1" t="s">
        <v>46</v>
      </c>
      <c r="N144" s="1" t="s">
        <v>47</v>
      </c>
      <c r="O144" s="8" t="s">
        <v>1050</v>
      </c>
      <c r="P144" s="176"/>
      <c r="Q144" s="169"/>
      <c r="R144" s="216"/>
      <c r="S144" s="216"/>
      <c r="T144" s="32" t="s">
        <v>403</v>
      </c>
      <c r="U144" s="8" t="str">
        <f>VLOOKUP('IMPO TERR'!T144,'Matriz datos'!$J$2:$K$10,2,0)</f>
        <v>CORDILLERA 451, QUILICURA</v>
      </c>
      <c r="W144" s="64"/>
      <c r="X144" s="4" t="s">
        <v>1051</v>
      </c>
      <c r="Z144" s="127">
        <v>2605135130</v>
      </c>
      <c r="AA144" s="1">
        <v>2605135900</v>
      </c>
      <c r="AB144" s="225"/>
      <c r="AC144" s="226"/>
      <c r="AD144" s="21">
        <v>46100</v>
      </c>
      <c r="AE144" s="142">
        <v>4090180551</v>
      </c>
      <c r="AG144" s="32"/>
      <c r="AH144" s="15"/>
      <c r="AI144" s="216"/>
      <c r="AJ144" s="222">
        <v>29300000</v>
      </c>
      <c r="AK144" s="9"/>
      <c r="AL144" s="28"/>
    </row>
    <row r="145" spans="1:38" ht="24.75" customHeight="1">
      <c r="A145" s="91" t="s">
        <v>1052</v>
      </c>
      <c r="B145" s="91">
        <v>180552</v>
      </c>
      <c r="C145" s="161" t="s">
        <v>495</v>
      </c>
      <c r="D145" s="1" t="s">
        <v>58</v>
      </c>
      <c r="E145" s="21">
        <v>46097</v>
      </c>
      <c r="F145" s="12"/>
      <c r="G145" s="12"/>
      <c r="H145" s="1"/>
      <c r="I145" s="1"/>
      <c r="J145" s="1"/>
      <c r="K145" s="1" t="s">
        <v>60</v>
      </c>
      <c r="L145" s="1" t="s">
        <v>45</v>
      </c>
      <c r="M145" s="1" t="s">
        <v>46</v>
      </c>
      <c r="N145" s="1" t="s">
        <v>47</v>
      </c>
      <c r="O145" s="8" t="s">
        <v>1053</v>
      </c>
      <c r="P145" s="176"/>
      <c r="Q145" s="169"/>
      <c r="R145" s="216"/>
      <c r="S145" s="216"/>
      <c r="T145" s="32" t="s">
        <v>66</v>
      </c>
      <c r="U145" s="8" t="str">
        <f>VLOOKUP('IMPO TERR'!T145,'Matriz datos'!$J$2:$K$10,2,0)</f>
        <v>CAMINO SANTA MARTA 2101, MAIPU</v>
      </c>
      <c r="W145" s="64"/>
      <c r="X145" s="209" t="s">
        <v>1054</v>
      </c>
      <c r="Z145" s="212">
        <v>2605137738</v>
      </c>
      <c r="AA145" s="1">
        <v>2605138064</v>
      </c>
      <c r="AB145" s="225"/>
      <c r="AC145" s="226"/>
      <c r="AD145" s="21">
        <v>46100</v>
      </c>
      <c r="AE145" s="142">
        <v>4090180552</v>
      </c>
      <c r="AG145" s="32"/>
      <c r="AH145" s="15"/>
      <c r="AI145" s="216"/>
      <c r="AJ145" s="165">
        <v>16720000</v>
      </c>
      <c r="AK145" s="9"/>
      <c r="AL145" s="28"/>
    </row>
    <row r="146" spans="1:38" ht="24.75" customHeight="1">
      <c r="A146" s="91" t="s">
        <v>1055</v>
      </c>
      <c r="B146" s="91">
        <v>180553</v>
      </c>
      <c r="C146" s="161" t="s">
        <v>495</v>
      </c>
      <c r="D146" s="1" t="s">
        <v>58</v>
      </c>
      <c r="E146" s="21">
        <v>46097</v>
      </c>
      <c r="F146" s="12"/>
      <c r="G146" s="12" t="s">
        <v>1056</v>
      </c>
      <c r="H146" s="1"/>
      <c r="I146" s="1"/>
      <c r="J146" s="1"/>
      <c r="K146" s="1" t="s">
        <v>44</v>
      </c>
      <c r="L146" s="1" t="s">
        <v>61</v>
      </c>
      <c r="M146" s="1" t="s">
        <v>46</v>
      </c>
      <c r="N146" s="1" t="s">
        <v>47</v>
      </c>
      <c r="O146" s="8" t="s">
        <v>1057</v>
      </c>
      <c r="P146" s="176"/>
      <c r="Q146" s="169"/>
      <c r="R146" s="216"/>
      <c r="S146" s="216"/>
      <c r="T146" s="32" t="s">
        <v>76</v>
      </c>
      <c r="U146" s="8" t="str">
        <f>VLOOKUP('IMPO TERR'!T146,'Matriz datos'!$J$2:$K$10,2,0)</f>
        <v>AV. PDTE. EDUARDO FREI 8301, QUILICURA</v>
      </c>
      <c r="W146" s="64"/>
      <c r="X146" s="4" t="s">
        <v>1058</v>
      </c>
      <c r="Z146" s="127">
        <v>2605135364</v>
      </c>
      <c r="AA146" s="143">
        <v>2605135975</v>
      </c>
      <c r="AB146" s="225"/>
      <c r="AC146" s="226"/>
      <c r="AD146" s="21">
        <v>46100</v>
      </c>
      <c r="AE146" s="142">
        <v>4090180553</v>
      </c>
      <c r="AG146" s="32"/>
      <c r="AH146" s="15"/>
      <c r="AI146" s="216"/>
      <c r="AJ146" s="222">
        <v>27010000</v>
      </c>
      <c r="AK146" s="9"/>
      <c r="AL146" s="28"/>
    </row>
    <row r="147" spans="1:38" ht="24.75" customHeight="1">
      <c r="A147" s="91" t="s">
        <v>1059</v>
      </c>
      <c r="B147" s="91">
        <v>180561</v>
      </c>
      <c r="C147" s="32" t="s">
        <v>39</v>
      </c>
      <c r="D147" s="4" t="s">
        <v>40</v>
      </c>
      <c r="E147" s="21">
        <v>46098</v>
      </c>
      <c r="F147" s="12"/>
      <c r="G147" s="12"/>
      <c r="H147" s="1"/>
      <c r="I147" s="1"/>
      <c r="J147" s="1"/>
      <c r="K147" s="1" t="s">
        <v>44</v>
      </c>
      <c r="L147" s="1" t="s">
        <v>45</v>
      </c>
      <c r="M147" s="1" t="s">
        <v>46</v>
      </c>
      <c r="N147" s="1" t="s">
        <v>47</v>
      </c>
      <c r="O147" s="8" t="s">
        <v>1060</v>
      </c>
      <c r="P147" s="176">
        <v>42030</v>
      </c>
      <c r="Q147" s="169"/>
      <c r="R147" s="216" t="s">
        <v>1061</v>
      </c>
      <c r="S147" s="216" t="s">
        <v>1062</v>
      </c>
      <c r="T147" s="32" t="s">
        <v>102</v>
      </c>
      <c r="U147" s="8" t="str">
        <f>VLOOKUP('IMPO TERR'!T147,'Matriz datos'!$J$2:$K$10,2,0)</f>
        <v>AV. AMERICO VESPUCIO 0350, QUILICURA</v>
      </c>
      <c r="V147" s="63" t="s">
        <v>1063</v>
      </c>
      <c r="W147" s="64"/>
      <c r="X147" s="4" t="s">
        <v>1064</v>
      </c>
      <c r="Z147" s="127">
        <v>2605132703</v>
      </c>
      <c r="AA147" s="194">
        <v>2605133196</v>
      </c>
      <c r="AB147" s="234">
        <v>46097</v>
      </c>
      <c r="AC147" s="226">
        <v>46098</v>
      </c>
      <c r="AD147" s="21">
        <v>46088</v>
      </c>
      <c r="AE147" s="142">
        <v>4090180561</v>
      </c>
      <c r="AF147" s="22">
        <v>46099</v>
      </c>
      <c r="AG147" s="116">
        <v>46099</v>
      </c>
      <c r="AH147" s="51">
        <v>46099</v>
      </c>
      <c r="AI147" s="216"/>
      <c r="AJ147" s="165">
        <v>24080000</v>
      </c>
      <c r="AK147" s="9"/>
      <c r="AL147" s="28"/>
    </row>
    <row r="148" spans="1:38" ht="24.75" customHeight="1">
      <c r="A148" s="91" t="s">
        <v>1065</v>
      </c>
      <c r="B148" s="91">
        <v>180565</v>
      </c>
      <c r="C148" s="161" t="s">
        <v>495</v>
      </c>
      <c r="D148" s="1" t="s">
        <v>58</v>
      </c>
      <c r="E148" s="21">
        <v>46098</v>
      </c>
      <c r="F148" s="12"/>
      <c r="G148" s="12"/>
      <c r="H148" s="1"/>
      <c r="I148" s="1"/>
      <c r="J148" s="1"/>
      <c r="K148" s="1" t="s">
        <v>44</v>
      </c>
      <c r="L148" s="1" t="s">
        <v>45</v>
      </c>
      <c r="M148" s="1" t="s">
        <v>46</v>
      </c>
      <c r="N148" s="1" t="s">
        <v>47</v>
      </c>
      <c r="O148" s="8" t="s">
        <v>1066</v>
      </c>
      <c r="P148" s="176"/>
      <c r="Q148" s="169"/>
      <c r="R148" s="216"/>
      <c r="S148" s="216"/>
      <c r="T148" s="32" t="s">
        <v>76</v>
      </c>
      <c r="U148" s="8" t="str">
        <f>VLOOKUP('IMPO TERR'!T148,'Matriz datos'!$J$2:$K$10,2,0)</f>
        <v>AV. PDTE. EDUARDO FREI 8301, QUILICURA</v>
      </c>
      <c r="W148" s="64"/>
      <c r="X148" s="209" t="s">
        <v>1067</v>
      </c>
      <c r="Z148" s="127">
        <v>2605135551</v>
      </c>
      <c r="AA148" s="1">
        <v>2605135993</v>
      </c>
      <c r="AB148" s="225"/>
      <c r="AC148" s="226"/>
      <c r="AD148" s="21">
        <v>46100</v>
      </c>
      <c r="AE148" s="142">
        <v>4090180565</v>
      </c>
      <c r="AG148" s="32"/>
      <c r="AH148" s="15"/>
      <c r="AI148" s="216"/>
      <c r="AJ148" s="165">
        <v>24610000</v>
      </c>
      <c r="AK148" s="9"/>
      <c r="AL148" s="28"/>
    </row>
    <row r="149" spans="1:38" ht="24.75" customHeight="1">
      <c r="A149" s="91" t="s">
        <v>1068</v>
      </c>
      <c r="B149" s="91">
        <v>180566</v>
      </c>
      <c r="C149" s="161" t="s">
        <v>495</v>
      </c>
      <c r="D149" s="1" t="s">
        <v>58</v>
      </c>
      <c r="E149" s="21">
        <v>46098</v>
      </c>
      <c r="F149" s="12"/>
      <c r="G149" s="12"/>
      <c r="H149" s="1"/>
      <c r="I149" s="1"/>
      <c r="J149" s="1"/>
      <c r="K149" s="1" t="s">
        <v>60</v>
      </c>
      <c r="L149" s="1" t="s">
        <v>45</v>
      </c>
      <c r="M149" s="1" t="s">
        <v>46</v>
      </c>
      <c r="N149" s="1" t="s">
        <v>47</v>
      </c>
      <c r="O149" s="8" t="s">
        <v>1069</v>
      </c>
      <c r="P149" s="176"/>
      <c r="Q149" s="169"/>
      <c r="R149" s="216"/>
      <c r="S149" s="216"/>
      <c r="T149" s="32" t="s">
        <v>76</v>
      </c>
      <c r="U149" s="8" t="str">
        <f>VLOOKUP('IMPO TERR'!T149,'Matriz datos'!$J$2:$K$10,2,0)</f>
        <v>AV. PDTE. EDUARDO FREI 8301, QUILICURA</v>
      </c>
      <c r="W149" s="64"/>
      <c r="AB149" s="225"/>
      <c r="AC149" s="226"/>
      <c r="AD149" s="1" t="s">
        <v>839</v>
      </c>
      <c r="AE149" s="8">
        <v>4090180566</v>
      </c>
      <c r="AG149" s="32"/>
      <c r="AH149" s="15"/>
      <c r="AI149" s="216"/>
      <c r="AJ149" s="165">
        <v>19550000</v>
      </c>
      <c r="AK149" s="9"/>
      <c r="AL149" s="28"/>
    </row>
    <row r="150" spans="1:38" ht="24.75" customHeight="1">
      <c r="A150" s="91" t="s">
        <v>1070</v>
      </c>
      <c r="B150" s="91">
        <v>180582</v>
      </c>
      <c r="C150" s="161" t="s">
        <v>495</v>
      </c>
      <c r="D150" s="1" t="s">
        <v>58</v>
      </c>
      <c r="E150" s="21">
        <v>46098</v>
      </c>
      <c r="F150" s="12"/>
      <c r="G150" s="12"/>
      <c r="H150" s="1"/>
      <c r="I150" s="1"/>
      <c r="J150" s="1"/>
      <c r="K150" s="1" t="s">
        <v>60</v>
      </c>
      <c r="L150" s="1" t="s">
        <v>61</v>
      </c>
      <c r="M150" s="1" t="s">
        <v>46</v>
      </c>
      <c r="N150" s="1" t="s">
        <v>47</v>
      </c>
      <c r="O150" s="8" t="s">
        <v>1071</v>
      </c>
      <c r="P150" s="176"/>
      <c r="Q150" s="169" t="s">
        <v>99</v>
      </c>
      <c r="R150" s="216"/>
      <c r="S150" s="216"/>
      <c r="T150" s="32" t="s">
        <v>403</v>
      </c>
      <c r="U150" s="8" t="str">
        <f>VLOOKUP('IMPO TERR'!T150,'Matriz datos'!$J$2:$K$10,2,0)</f>
        <v>CORDILLERA 451, QUILICURA</v>
      </c>
      <c r="W150" s="64"/>
      <c r="X150" s="41" t="s">
        <v>1072</v>
      </c>
      <c r="Z150" s="127">
        <v>2605135368</v>
      </c>
      <c r="AA150" s="1">
        <v>2605136049</v>
      </c>
      <c r="AB150" s="225"/>
      <c r="AC150" s="226"/>
      <c r="AD150" s="21">
        <v>46100</v>
      </c>
      <c r="AE150" s="142">
        <v>4090180582</v>
      </c>
      <c r="AG150" s="32"/>
      <c r="AH150" s="15"/>
      <c r="AI150" s="216"/>
      <c r="AJ150" s="222">
        <v>6310000</v>
      </c>
      <c r="AK150" s="9"/>
      <c r="AL150" s="28"/>
    </row>
    <row r="151" spans="1:38" ht="24.75" customHeight="1">
      <c r="A151" s="91" t="s">
        <v>1073</v>
      </c>
      <c r="B151" s="91">
        <v>180583</v>
      </c>
      <c r="C151" s="161" t="s">
        <v>495</v>
      </c>
      <c r="D151" s="1" t="s">
        <v>58</v>
      </c>
      <c r="E151" s="21">
        <v>46098</v>
      </c>
      <c r="F151" s="12"/>
      <c r="G151" s="12"/>
      <c r="H151" s="1"/>
      <c r="I151" s="1"/>
      <c r="J151" s="1"/>
      <c r="K151" s="1" t="s">
        <v>44</v>
      </c>
      <c r="L151" s="1" t="s">
        <v>45</v>
      </c>
      <c r="M151" s="1" t="s">
        <v>46</v>
      </c>
      <c r="N151" s="1" t="s">
        <v>47</v>
      </c>
      <c r="O151" s="8" t="s">
        <v>1074</v>
      </c>
      <c r="P151" s="176"/>
      <c r="Q151" s="169" t="s">
        <v>49</v>
      </c>
      <c r="R151" s="216"/>
      <c r="S151" s="216"/>
      <c r="T151" s="32" t="s">
        <v>76</v>
      </c>
      <c r="U151" s="8" t="str">
        <f>VLOOKUP('IMPO TERR'!T151,'Matriz datos'!$J$2:$K$10,2,0)</f>
        <v>AV. PDTE. EDUARDO FREI 8301, QUILICURA</v>
      </c>
      <c r="W151" s="64"/>
      <c r="X151" s="41" t="s">
        <v>1075</v>
      </c>
      <c r="Z151" s="212">
        <v>2605136178</v>
      </c>
      <c r="AB151" s="225"/>
      <c r="AC151" s="226"/>
      <c r="AD151" s="21">
        <v>46100</v>
      </c>
      <c r="AE151" s="142">
        <v>4090180583</v>
      </c>
      <c r="AG151" s="32"/>
      <c r="AH151" s="15"/>
      <c r="AI151" s="216"/>
      <c r="AJ151" s="222">
        <v>25090000</v>
      </c>
      <c r="AK151" s="9"/>
      <c r="AL151" s="28"/>
    </row>
    <row r="152" spans="1:38" ht="24.75" customHeight="1">
      <c r="A152" s="91" t="s">
        <v>1076</v>
      </c>
      <c r="B152" s="91">
        <v>180584</v>
      </c>
      <c r="C152" s="161" t="s">
        <v>495</v>
      </c>
      <c r="D152" s="1" t="s">
        <v>58</v>
      </c>
      <c r="E152" s="21">
        <v>46098</v>
      </c>
      <c r="F152" s="12"/>
      <c r="G152" s="12" t="s">
        <v>1056</v>
      </c>
      <c r="H152" s="1"/>
      <c r="I152" s="1"/>
      <c r="J152" s="1"/>
      <c r="K152" s="1" t="s">
        <v>44</v>
      </c>
      <c r="L152" s="1" t="s">
        <v>61</v>
      </c>
      <c r="M152" s="1" t="s">
        <v>46</v>
      </c>
      <c r="N152" s="1" t="s">
        <v>47</v>
      </c>
      <c r="O152" s="8" t="s">
        <v>1077</v>
      </c>
      <c r="P152" s="176"/>
      <c r="Q152" s="169" t="s">
        <v>693</v>
      </c>
      <c r="R152" s="216"/>
      <c r="S152" s="216"/>
      <c r="T152" s="32" t="s">
        <v>395</v>
      </c>
      <c r="U152" s="8" t="str">
        <f>VLOOKUP('IMPO TERR'!T152,'Matriz datos'!$J$2:$K$10,2,0)</f>
        <v>CAMINO LO AGUIRRE SUR 537, PUDAHUEL </v>
      </c>
      <c r="W152" s="64"/>
      <c r="AB152" s="225"/>
      <c r="AC152" s="226"/>
      <c r="AD152" s="1" t="s">
        <v>839</v>
      </c>
      <c r="AE152" s="8">
        <v>4090180584</v>
      </c>
      <c r="AG152" s="32"/>
      <c r="AH152" s="15"/>
      <c r="AI152" s="216"/>
      <c r="AJ152" s="222">
        <v>34190000</v>
      </c>
      <c r="AK152" s="9"/>
      <c r="AL152" s="28"/>
    </row>
    <row r="153" spans="1:38" ht="24.75" customHeight="1">
      <c r="A153" s="91" t="s">
        <v>1078</v>
      </c>
      <c r="B153" s="91">
        <v>180585</v>
      </c>
      <c r="C153" s="161" t="s">
        <v>495</v>
      </c>
      <c r="D153" s="1" t="s">
        <v>58</v>
      </c>
      <c r="E153" s="21">
        <v>46098</v>
      </c>
      <c r="F153" s="12"/>
      <c r="G153" s="12"/>
      <c r="H153" s="1"/>
      <c r="I153" s="1"/>
      <c r="J153" s="1"/>
      <c r="K153" s="1" t="s">
        <v>44</v>
      </c>
      <c r="L153" s="1" t="s">
        <v>61</v>
      </c>
      <c r="M153" s="1" t="s">
        <v>46</v>
      </c>
      <c r="N153" s="1" t="s">
        <v>47</v>
      </c>
      <c r="O153" s="8" t="s">
        <v>1079</v>
      </c>
      <c r="P153" s="176"/>
      <c r="Q153" s="169" t="s">
        <v>99</v>
      </c>
      <c r="R153" s="216"/>
      <c r="S153" s="216"/>
      <c r="T153" s="32" t="s">
        <v>395</v>
      </c>
      <c r="U153" s="8" t="str">
        <f>VLOOKUP('IMPO TERR'!T153,'Matriz datos'!$J$2:$K$10,2,0)</f>
        <v>CAMINO LO AGUIRRE SUR 537, PUDAHUEL </v>
      </c>
      <c r="W153" s="64"/>
      <c r="X153" s="41" t="s">
        <v>1080</v>
      </c>
      <c r="Z153" s="212">
        <v>2605136938</v>
      </c>
      <c r="AB153" s="225"/>
      <c r="AC153" s="226"/>
      <c r="AD153" s="21">
        <v>46100</v>
      </c>
      <c r="AE153" s="142">
        <v>4090180585</v>
      </c>
      <c r="AG153" s="32"/>
      <c r="AH153" s="15"/>
      <c r="AI153" s="216"/>
      <c r="AJ153" s="222">
        <v>34560000</v>
      </c>
      <c r="AK153" s="9"/>
      <c r="AL153" s="28"/>
    </row>
    <row r="154" spans="1:38" ht="24.75" customHeight="1">
      <c r="A154" s="91" t="s">
        <v>1081</v>
      </c>
      <c r="B154" s="91">
        <v>180586</v>
      </c>
      <c r="C154" s="161" t="s">
        <v>495</v>
      </c>
      <c r="D154" s="1" t="s">
        <v>58</v>
      </c>
      <c r="E154" s="21">
        <v>46098</v>
      </c>
      <c r="F154" s="12"/>
      <c r="G154" s="12"/>
      <c r="H154" s="1"/>
      <c r="I154" s="1"/>
      <c r="J154" s="1"/>
      <c r="K154" s="1" t="s">
        <v>44</v>
      </c>
      <c r="L154" s="1" t="s">
        <v>61</v>
      </c>
      <c r="M154" s="1" t="s">
        <v>46</v>
      </c>
      <c r="N154" s="1" t="s">
        <v>47</v>
      </c>
      <c r="O154" s="8" t="s">
        <v>1082</v>
      </c>
      <c r="P154" s="176"/>
      <c r="Q154" s="169" t="s">
        <v>1083</v>
      </c>
      <c r="R154" s="216"/>
      <c r="S154" s="216"/>
      <c r="T154" s="32" t="s">
        <v>76</v>
      </c>
      <c r="U154" s="8" t="str">
        <f>VLOOKUP('IMPO TERR'!T154,'Matriz datos'!$J$2:$K$10,2,0)</f>
        <v>AV. PDTE. EDUARDO FREI 8301, QUILICURA</v>
      </c>
      <c r="W154" s="64"/>
      <c r="X154" s="209" t="s">
        <v>1084</v>
      </c>
      <c r="Z154" s="127">
        <v>2605135501</v>
      </c>
      <c r="AA154" s="1">
        <v>2605136066</v>
      </c>
      <c r="AB154" s="225"/>
      <c r="AC154" s="226"/>
      <c r="AD154" s="21">
        <v>46100</v>
      </c>
      <c r="AE154" s="142">
        <v>4090180586</v>
      </c>
      <c r="AG154" s="32"/>
      <c r="AH154" s="15"/>
      <c r="AI154" s="216"/>
      <c r="AJ154" s="165">
        <v>26230000</v>
      </c>
      <c r="AK154" s="9"/>
      <c r="AL154" s="28"/>
    </row>
    <row r="155" spans="1:38" ht="24.75" customHeight="1">
      <c r="A155" s="91" t="s">
        <v>1085</v>
      </c>
      <c r="B155" s="91">
        <v>180587</v>
      </c>
      <c r="C155" s="161" t="s">
        <v>495</v>
      </c>
      <c r="D155" s="1" t="s">
        <v>58</v>
      </c>
      <c r="E155" s="21">
        <v>46098</v>
      </c>
      <c r="F155" s="12"/>
      <c r="G155" s="12"/>
      <c r="H155" s="1"/>
      <c r="I155" s="1"/>
      <c r="J155" s="1"/>
      <c r="K155" s="1" t="s">
        <v>44</v>
      </c>
      <c r="L155" s="1" t="s">
        <v>61</v>
      </c>
      <c r="M155" s="1" t="s">
        <v>46</v>
      </c>
      <c r="N155" s="1" t="s">
        <v>47</v>
      </c>
      <c r="O155" s="8" t="s">
        <v>1086</v>
      </c>
      <c r="P155" s="176"/>
      <c r="Q155" s="169" t="s">
        <v>1083</v>
      </c>
      <c r="R155" s="216"/>
      <c r="S155" s="216"/>
      <c r="T155" s="32"/>
      <c r="U155" s="8" t="e">
        <f>VLOOKUP('IMPO TERR'!T155,'Matriz datos'!$J$2:$K$10,2,0)</f>
        <v>#N/A</v>
      </c>
      <c r="W155" s="64"/>
      <c r="X155" s="209" t="s">
        <v>1087</v>
      </c>
      <c r="Z155" s="212">
        <v>2605136336</v>
      </c>
      <c r="AB155" s="225"/>
      <c r="AC155" s="226"/>
      <c r="AD155" s="21">
        <v>46100</v>
      </c>
      <c r="AE155" s="142">
        <v>4090180587</v>
      </c>
      <c r="AG155" s="32"/>
      <c r="AH155" s="15"/>
      <c r="AI155" s="216"/>
      <c r="AJ155" s="165">
        <v>34450000</v>
      </c>
      <c r="AK155" s="9"/>
      <c r="AL155" s="28"/>
    </row>
    <row r="156" spans="1:38" ht="24.75" customHeight="1">
      <c r="A156" s="91" t="s">
        <v>1088</v>
      </c>
      <c r="B156" s="91">
        <v>180588</v>
      </c>
      <c r="C156" s="161" t="s">
        <v>495</v>
      </c>
      <c r="D156" s="1" t="s">
        <v>58</v>
      </c>
      <c r="E156" s="21">
        <v>46098</v>
      </c>
      <c r="F156" s="12"/>
      <c r="G156" s="12"/>
      <c r="H156" s="1"/>
      <c r="I156" s="1"/>
      <c r="J156" s="1"/>
      <c r="K156" s="1" t="s">
        <v>60</v>
      </c>
      <c r="L156" s="1" t="s">
        <v>61</v>
      </c>
      <c r="M156" s="1" t="s">
        <v>46</v>
      </c>
      <c r="N156" s="1" t="s">
        <v>47</v>
      </c>
      <c r="O156" s="8" t="s">
        <v>1089</v>
      </c>
      <c r="P156" s="176"/>
      <c r="Q156" s="169" t="s">
        <v>693</v>
      </c>
      <c r="R156" s="216"/>
      <c r="S156" s="216"/>
      <c r="T156" s="32"/>
      <c r="U156" s="8" t="e">
        <f>VLOOKUP('IMPO TERR'!T156,'Matriz datos'!$J$2:$K$10,2,0)</f>
        <v>#N/A</v>
      </c>
      <c r="W156" s="64"/>
      <c r="AB156" s="225"/>
      <c r="AC156" s="226"/>
      <c r="AD156" s="1" t="s">
        <v>839</v>
      </c>
      <c r="AE156" s="8">
        <v>4090180588</v>
      </c>
      <c r="AG156" s="32"/>
      <c r="AH156" s="15"/>
      <c r="AI156" s="216"/>
      <c r="AJ156" s="165">
        <v>27990000</v>
      </c>
      <c r="AK156" s="9"/>
      <c r="AL156" s="28"/>
    </row>
    <row r="157" spans="1:38" ht="24.75" customHeight="1">
      <c r="A157" s="91" t="s">
        <v>1090</v>
      </c>
      <c r="B157" s="91">
        <v>180596</v>
      </c>
      <c r="C157" s="161" t="s">
        <v>495</v>
      </c>
      <c r="D157" s="1" t="s">
        <v>58</v>
      </c>
      <c r="E157" s="21">
        <v>46099</v>
      </c>
      <c r="F157" s="12"/>
      <c r="G157" s="12"/>
      <c r="H157" s="1"/>
      <c r="I157" s="1"/>
      <c r="J157" s="1"/>
      <c r="K157" s="1" t="s">
        <v>44</v>
      </c>
      <c r="L157" s="1" t="s">
        <v>256</v>
      </c>
      <c r="M157" s="1" t="s">
        <v>46</v>
      </c>
      <c r="N157" s="1" t="s">
        <v>47</v>
      </c>
      <c r="O157" s="8" t="s">
        <v>1091</v>
      </c>
      <c r="P157" s="176"/>
      <c r="Q157" s="170" t="s">
        <v>265</v>
      </c>
      <c r="R157" s="216"/>
      <c r="S157" s="216"/>
      <c r="T157" s="32" t="s">
        <v>76</v>
      </c>
      <c r="U157" s="8" t="str">
        <f>VLOOKUP('IMPO TERR'!T157,'Matriz datos'!$J$2:$K$10,2,0)</f>
        <v>AV. PDTE. EDUARDO FREI 8301, QUILICURA</v>
      </c>
      <c r="W157" s="64"/>
      <c r="X157" s="209" t="s">
        <v>1092</v>
      </c>
      <c r="Z157" s="212">
        <v>2605136552</v>
      </c>
      <c r="AB157" s="225"/>
      <c r="AC157" s="226"/>
      <c r="AD157" s="1" t="s">
        <v>839</v>
      </c>
      <c r="AE157" s="8">
        <v>4090180596</v>
      </c>
      <c r="AG157" s="32"/>
      <c r="AH157" s="15"/>
      <c r="AI157" s="216"/>
      <c r="AJ157" s="222">
        <v>48880000</v>
      </c>
      <c r="AK157" s="9"/>
      <c r="AL157" s="28"/>
    </row>
    <row r="158" spans="1:38" ht="24.75" customHeight="1">
      <c r="A158" s="91" t="s">
        <v>1093</v>
      </c>
      <c r="B158" s="91">
        <v>180600</v>
      </c>
      <c r="C158" s="161" t="s">
        <v>495</v>
      </c>
      <c r="D158" s="1" t="s">
        <v>58</v>
      </c>
      <c r="E158" s="21">
        <v>46099</v>
      </c>
      <c r="F158" s="12"/>
      <c r="G158" s="12"/>
      <c r="H158" s="1"/>
      <c r="I158" s="1"/>
      <c r="J158" s="1"/>
      <c r="K158" s="1" t="s">
        <v>60</v>
      </c>
      <c r="L158" s="1" t="s">
        <v>45</v>
      </c>
      <c r="M158" s="1" t="s">
        <v>46</v>
      </c>
      <c r="N158" s="1" t="s">
        <v>47</v>
      </c>
      <c r="O158" s="8" t="s">
        <v>1094</v>
      </c>
      <c r="P158" s="176"/>
      <c r="Q158" s="169" t="s">
        <v>1083</v>
      </c>
      <c r="R158" s="216"/>
      <c r="S158" s="216"/>
      <c r="T158" s="32" t="s">
        <v>66</v>
      </c>
      <c r="U158" s="8" t="str">
        <f>VLOOKUP('IMPO TERR'!T158,'Matriz datos'!$J$2:$K$10,2,0)</f>
        <v>CAMINO SANTA MARTA 2101, MAIPU</v>
      </c>
      <c r="W158" s="64"/>
      <c r="X158" s="209" t="s">
        <v>1095</v>
      </c>
      <c r="Z158" s="212">
        <v>2605136589</v>
      </c>
      <c r="AB158" s="225"/>
      <c r="AC158" s="226"/>
      <c r="AD158" s="1" t="s">
        <v>839</v>
      </c>
      <c r="AE158" s="8">
        <v>4090180600</v>
      </c>
      <c r="AG158" s="32"/>
      <c r="AH158" s="15"/>
      <c r="AI158" s="216"/>
      <c r="AJ158" s="222">
        <v>16640000</v>
      </c>
      <c r="AK158" s="9"/>
      <c r="AL158" s="28"/>
    </row>
    <row r="159" spans="1:38" ht="24.75" customHeight="1">
      <c r="A159" s="91" t="s">
        <v>1096</v>
      </c>
      <c r="B159" s="91">
        <v>180601</v>
      </c>
      <c r="C159" s="161" t="s">
        <v>495</v>
      </c>
      <c r="D159" s="1" t="s">
        <v>58</v>
      </c>
      <c r="E159" s="21">
        <v>46099</v>
      </c>
      <c r="F159" s="12"/>
      <c r="G159" s="12"/>
      <c r="H159" s="1"/>
      <c r="I159" s="1"/>
      <c r="J159" s="1"/>
      <c r="K159" s="1" t="s">
        <v>44</v>
      </c>
      <c r="L159" s="1" t="s">
        <v>45</v>
      </c>
      <c r="M159" s="1" t="s">
        <v>46</v>
      </c>
      <c r="N159" s="1" t="s">
        <v>47</v>
      </c>
      <c r="O159" s="8" t="s">
        <v>1097</v>
      </c>
      <c r="P159" s="176"/>
      <c r="Q159" s="169" t="s">
        <v>49</v>
      </c>
      <c r="R159" s="216"/>
      <c r="S159" s="216"/>
      <c r="T159" s="32" t="s">
        <v>76</v>
      </c>
      <c r="U159" s="8" t="str">
        <f>VLOOKUP('IMPO TERR'!T159,'Matriz datos'!$J$2:$K$10,2,0)</f>
        <v>AV. PDTE. EDUARDO FREI 8301, QUILICURA</v>
      </c>
      <c r="W159" s="64"/>
      <c r="AB159" s="225"/>
      <c r="AC159" s="226"/>
      <c r="AD159" s="1" t="s">
        <v>839</v>
      </c>
      <c r="AE159" s="8">
        <v>4090180601</v>
      </c>
      <c r="AG159" s="32"/>
      <c r="AH159" s="15"/>
      <c r="AI159" s="216"/>
      <c r="AJ159" s="222">
        <v>23840000</v>
      </c>
      <c r="AK159" s="9"/>
      <c r="AL159" s="28"/>
    </row>
    <row r="160" spans="1:38" ht="24.75" customHeight="1">
      <c r="A160" s="91" t="s">
        <v>1098</v>
      </c>
      <c r="B160" s="91">
        <v>180603</v>
      </c>
      <c r="C160" s="161" t="s">
        <v>495</v>
      </c>
      <c r="D160" s="1" t="s">
        <v>58</v>
      </c>
      <c r="E160" s="21">
        <v>46099</v>
      </c>
      <c r="F160" s="12"/>
      <c r="G160" s="12"/>
      <c r="H160" s="1"/>
      <c r="I160" s="1"/>
      <c r="J160" s="1"/>
      <c r="K160" s="1" t="s">
        <v>44</v>
      </c>
      <c r="L160" s="1" t="s">
        <v>45</v>
      </c>
      <c r="M160" s="1" t="s">
        <v>46</v>
      </c>
      <c r="N160" s="1" t="s">
        <v>47</v>
      </c>
      <c r="O160" s="8" t="s">
        <v>1099</v>
      </c>
      <c r="P160" s="176"/>
      <c r="Q160" s="169" t="s">
        <v>49</v>
      </c>
      <c r="R160" s="216"/>
      <c r="S160" s="216"/>
      <c r="T160" s="32" t="s">
        <v>76</v>
      </c>
      <c r="U160" s="8" t="str">
        <f>VLOOKUP('IMPO TERR'!T160,'Matriz datos'!$J$2:$K$10,2,0)</f>
        <v>AV. PDTE. EDUARDO FREI 8301, QUILICURA</v>
      </c>
      <c r="W160" s="64"/>
      <c r="AB160" s="225"/>
      <c r="AC160" s="226"/>
      <c r="AD160" s="1" t="s">
        <v>839</v>
      </c>
      <c r="AE160" s="8">
        <v>4090180603</v>
      </c>
      <c r="AG160" s="32"/>
      <c r="AH160" s="15"/>
      <c r="AI160" s="216"/>
      <c r="AJ160" s="222">
        <v>25210000</v>
      </c>
      <c r="AK160" s="9"/>
      <c r="AL160" s="28"/>
    </row>
    <row r="161" spans="1:38" ht="24.75" customHeight="1">
      <c r="A161" s="91" t="s">
        <v>1100</v>
      </c>
      <c r="B161" s="91">
        <v>180604</v>
      </c>
      <c r="C161" s="161" t="s">
        <v>495</v>
      </c>
      <c r="D161" s="1" t="s">
        <v>58</v>
      </c>
      <c r="E161" s="21">
        <v>46099</v>
      </c>
      <c r="F161" s="12"/>
      <c r="G161" t="s">
        <v>1101</v>
      </c>
      <c r="H161" s="1"/>
      <c r="I161" s="1"/>
      <c r="J161" s="1"/>
      <c r="K161" s="1" t="s">
        <v>60</v>
      </c>
      <c r="L161" s="1" t="s">
        <v>45</v>
      </c>
      <c r="M161" s="1" t="s">
        <v>46</v>
      </c>
      <c r="N161" s="1" t="s">
        <v>47</v>
      </c>
      <c r="O161" s="8" t="s">
        <v>1102</v>
      </c>
      <c r="P161" s="176"/>
      <c r="Q161" s="169" t="s">
        <v>1103</v>
      </c>
      <c r="R161" s="216"/>
      <c r="S161" s="216"/>
      <c r="T161" s="32" t="s">
        <v>1104</v>
      </c>
      <c r="U161" s="8" t="e">
        <f>VLOOKUP('IMPO TERR'!T161,'Matriz datos'!$J$2:$K$10,2,0)</f>
        <v>#N/A</v>
      </c>
      <c r="W161" s="64"/>
      <c r="Z161" s="212">
        <v>2605137664</v>
      </c>
      <c r="AB161" s="225"/>
      <c r="AC161" s="226"/>
      <c r="AD161" s="1" t="s">
        <v>839</v>
      </c>
      <c r="AE161" s="8">
        <v>4090180604</v>
      </c>
      <c r="AG161" s="32"/>
      <c r="AH161" s="15"/>
      <c r="AI161" s="216"/>
      <c r="AJ161" s="222">
        <v>16790000</v>
      </c>
      <c r="AK161" s="9"/>
      <c r="AL161" s="28"/>
    </row>
    <row r="162" spans="1:38" ht="24.75" customHeight="1">
      <c r="A162" s="91" t="s">
        <v>1105</v>
      </c>
      <c r="B162" s="91">
        <v>180614</v>
      </c>
      <c r="C162" s="161" t="s">
        <v>495</v>
      </c>
      <c r="D162" s="1" t="s">
        <v>58</v>
      </c>
      <c r="E162" s="21">
        <v>46099</v>
      </c>
      <c r="F162" s="12"/>
      <c r="G162" s="12" t="s">
        <v>1106</v>
      </c>
      <c r="H162" s="1"/>
      <c r="I162" s="1"/>
      <c r="J162" s="1"/>
      <c r="K162" s="1" t="s">
        <v>44</v>
      </c>
      <c r="L162" s="1" t="s">
        <v>45</v>
      </c>
      <c r="M162" s="1" t="s">
        <v>46</v>
      </c>
      <c r="N162" s="1" t="s">
        <v>47</v>
      </c>
      <c r="O162" s="8" t="s">
        <v>1107</v>
      </c>
      <c r="P162" s="176"/>
      <c r="Q162" s="170" t="s">
        <v>126</v>
      </c>
      <c r="R162" s="216"/>
      <c r="S162" s="216"/>
      <c r="T162" s="32" t="s">
        <v>76</v>
      </c>
      <c r="U162" s="8" t="str">
        <f>VLOOKUP('IMPO TERR'!T162,'Matriz datos'!$J$2:$K$10,2,0)</f>
        <v>AV. PDTE. EDUARDO FREI 8301, QUILICURA</v>
      </c>
      <c r="W162" s="64"/>
      <c r="X162" s="209" t="s">
        <v>1108</v>
      </c>
      <c r="Z162" s="212">
        <v>2605136855</v>
      </c>
      <c r="AB162" s="225"/>
      <c r="AC162" s="226"/>
      <c r="AD162" s="1" t="s">
        <v>839</v>
      </c>
      <c r="AE162" s="8">
        <v>4090180614</v>
      </c>
      <c r="AG162" s="32"/>
      <c r="AH162" s="15"/>
      <c r="AI162" s="216"/>
      <c r="AJ162" s="222">
        <v>16790000</v>
      </c>
      <c r="AK162" s="9"/>
      <c r="AL162" s="28"/>
    </row>
    <row r="163" spans="1:38" ht="24.75" customHeight="1">
      <c r="A163" s="91" t="s">
        <v>1109</v>
      </c>
      <c r="B163" s="91">
        <v>180623</v>
      </c>
      <c r="C163" s="161" t="s">
        <v>495</v>
      </c>
      <c r="D163" s="1" t="s">
        <v>58</v>
      </c>
      <c r="E163" s="21">
        <v>46099</v>
      </c>
      <c r="F163" s="12"/>
      <c r="G163" s="12"/>
      <c r="H163" s="1"/>
      <c r="I163" s="1"/>
      <c r="J163" s="1"/>
      <c r="K163" s="1" t="s">
        <v>44</v>
      </c>
      <c r="L163" s="1" t="s">
        <v>45</v>
      </c>
      <c r="M163" s="1" t="s">
        <v>46</v>
      </c>
      <c r="N163" s="1" t="s">
        <v>47</v>
      </c>
      <c r="O163" s="8" t="s">
        <v>1110</v>
      </c>
      <c r="P163" s="176"/>
      <c r="Q163" s="169" t="s">
        <v>1103</v>
      </c>
      <c r="R163" s="216"/>
      <c r="S163" s="216"/>
      <c r="T163" s="32" t="s">
        <v>76</v>
      </c>
      <c r="U163" s="8" t="str">
        <f>VLOOKUP('IMPO TERR'!T163,'Matriz datos'!$J$2:$K$10,2,0)</f>
        <v>AV. PDTE. EDUARDO FREI 8301, QUILICURA</v>
      </c>
      <c r="W163" s="64"/>
      <c r="AB163" s="225"/>
      <c r="AC163" s="226"/>
      <c r="AD163" s="1" t="s">
        <v>839</v>
      </c>
      <c r="AE163" s="8">
        <v>4090180623</v>
      </c>
      <c r="AG163" s="32"/>
      <c r="AH163" s="15"/>
      <c r="AI163" s="216"/>
      <c r="AJ163" s="222">
        <v>24990000</v>
      </c>
      <c r="AK163" s="9"/>
      <c r="AL163" s="28"/>
    </row>
    <row r="164" spans="1:38" ht="24.75" customHeight="1">
      <c r="A164" s="91" t="s">
        <v>1111</v>
      </c>
      <c r="B164" s="91">
        <v>180624</v>
      </c>
      <c r="C164" s="161" t="s">
        <v>495</v>
      </c>
      <c r="D164" s="1" t="s">
        <v>58</v>
      </c>
      <c r="E164" s="21">
        <v>46099</v>
      </c>
      <c r="F164" s="12"/>
      <c r="G164" s="12"/>
      <c r="H164" s="1"/>
      <c r="I164" s="1"/>
      <c r="J164" s="1"/>
      <c r="K164" s="1" t="s">
        <v>44</v>
      </c>
      <c r="L164" s="1" t="s">
        <v>45</v>
      </c>
      <c r="M164" s="1" t="s">
        <v>46</v>
      </c>
      <c r="N164" s="1" t="s">
        <v>47</v>
      </c>
      <c r="O164" s="8" t="s">
        <v>1112</v>
      </c>
      <c r="P164" s="176"/>
      <c r="Q164" s="169" t="s">
        <v>1103</v>
      </c>
      <c r="R164" s="216"/>
      <c r="S164" s="216"/>
      <c r="T164" s="32" t="s">
        <v>1113</v>
      </c>
      <c r="U164" s="8" t="e">
        <f>VLOOKUP('IMPO TERR'!T164,'Matriz datos'!$J$2:$K$10,2,0)</f>
        <v>#N/A</v>
      </c>
      <c r="W164" s="64"/>
      <c r="X164" s="209" t="s">
        <v>1114</v>
      </c>
      <c r="Z164" s="212">
        <v>2605137029</v>
      </c>
      <c r="AB164" s="225"/>
      <c r="AC164" s="226"/>
      <c r="AD164" s="21">
        <v>46100</v>
      </c>
      <c r="AE164" s="142">
        <v>4090180624</v>
      </c>
      <c r="AG164" s="32"/>
      <c r="AH164" s="15"/>
      <c r="AI164" s="216"/>
      <c r="AJ164" s="222">
        <v>27130000</v>
      </c>
      <c r="AK164" s="9"/>
      <c r="AL164" s="28"/>
    </row>
    <row r="165" spans="1:38" ht="24.75" customHeight="1">
      <c r="A165" s="91" t="s">
        <v>1115</v>
      </c>
      <c r="B165" s="91">
        <v>180636</v>
      </c>
      <c r="C165" s="161" t="s">
        <v>495</v>
      </c>
      <c r="D165" s="1" t="s">
        <v>58</v>
      </c>
      <c r="E165" s="21">
        <v>46099</v>
      </c>
      <c r="F165" s="12"/>
      <c r="G165" s="12"/>
      <c r="H165" s="1"/>
      <c r="I165" s="1"/>
      <c r="J165" s="1"/>
      <c r="K165" s="1" t="s">
        <v>44</v>
      </c>
      <c r="L165" s="1" t="s">
        <v>45</v>
      </c>
      <c r="M165" s="1" t="s">
        <v>46</v>
      </c>
      <c r="N165" s="1" t="s">
        <v>47</v>
      </c>
      <c r="O165" s="8" t="s">
        <v>1116</v>
      </c>
      <c r="P165" s="176"/>
      <c r="Q165" s="169" t="s">
        <v>1103</v>
      </c>
      <c r="R165" s="216"/>
      <c r="S165" s="216"/>
      <c r="T165" s="32" t="s">
        <v>102</v>
      </c>
      <c r="U165" s="8" t="str">
        <f>VLOOKUP('IMPO TERR'!T165,'Matriz datos'!$J$2:$K$10,2,0)</f>
        <v>AV. AMERICO VESPUCIO 0350, QUILICURA</v>
      </c>
      <c r="W165" s="64"/>
      <c r="AB165" s="225"/>
      <c r="AC165" s="226"/>
      <c r="AD165" s="1" t="s">
        <v>839</v>
      </c>
      <c r="AE165" s="8">
        <v>4090180636</v>
      </c>
      <c r="AG165" s="32"/>
      <c r="AH165" s="15"/>
      <c r="AI165" s="216"/>
      <c r="AJ165" s="222">
        <v>24420000</v>
      </c>
      <c r="AK165" s="9"/>
      <c r="AL165" s="28"/>
    </row>
    <row r="166" spans="1:38" ht="24.75" customHeight="1">
      <c r="A166" s="91" t="s">
        <v>1117</v>
      </c>
      <c r="B166" s="91">
        <v>180637</v>
      </c>
      <c r="C166" s="161" t="s">
        <v>495</v>
      </c>
      <c r="D166" s="1" t="s">
        <v>58</v>
      </c>
      <c r="E166" s="21">
        <v>46099</v>
      </c>
      <c r="F166" s="12"/>
      <c r="G166" s="12"/>
      <c r="H166" s="1"/>
      <c r="I166" s="1"/>
      <c r="J166" s="1"/>
      <c r="K166" s="1" t="s">
        <v>44</v>
      </c>
      <c r="L166" s="1" t="s">
        <v>61</v>
      </c>
      <c r="M166" s="1" t="s">
        <v>46</v>
      </c>
      <c r="N166" s="1" t="s">
        <v>47</v>
      </c>
      <c r="O166" s="8" t="s">
        <v>1118</v>
      </c>
      <c r="P166" s="176"/>
      <c r="Q166" s="169" t="s">
        <v>693</v>
      </c>
      <c r="R166" s="216"/>
      <c r="S166" s="216"/>
      <c r="T166" s="32" t="s">
        <v>102</v>
      </c>
      <c r="U166" s="8" t="str">
        <f>VLOOKUP('IMPO TERR'!T166,'Matriz datos'!$J$2:$K$10,2,0)</f>
        <v>AV. AMERICO VESPUCIO 0350, QUILICURA</v>
      </c>
      <c r="W166" s="64"/>
      <c r="Z166" s="212">
        <v>2605137759</v>
      </c>
      <c r="AB166" s="225"/>
      <c r="AC166" s="226"/>
      <c r="AD166" s="1" t="s">
        <v>839</v>
      </c>
      <c r="AE166" s="8">
        <v>4090180637</v>
      </c>
      <c r="AG166" s="32"/>
      <c r="AH166" s="15"/>
      <c r="AI166" s="216"/>
      <c r="AJ166" s="222">
        <v>31760000</v>
      </c>
      <c r="AK166" s="9"/>
      <c r="AL166" s="28"/>
    </row>
    <row r="167" spans="1:38" ht="24.75" customHeight="1">
      <c r="A167" s="91" t="s">
        <v>1119</v>
      </c>
      <c r="B167" s="91">
        <v>180642</v>
      </c>
      <c r="C167" s="161" t="s">
        <v>495</v>
      </c>
      <c r="D167" s="1" t="s">
        <v>58</v>
      </c>
      <c r="E167" s="21">
        <v>46099</v>
      </c>
      <c r="F167" s="12"/>
      <c r="G167" s="12"/>
      <c r="H167" s="1"/>
      <c r="I167" s="1"/>
      <c r="J167" s="1"/>
      <c r="K167" s="1" t="s">
        <v>44</v>
      </c>
      <c r="L167" s="1" t="s">
        <v>61</v>
      </c>
      <c r="M167" s="1" t="s">
        <v>46</v>
      </c>
      <c r="N167" s="1" t="s">
        <v>47</v>
      </c>
      <c r="O167" s="8" t="s">
        <v>1120</v>
      </c>
      <c r="P167" s="176"/>
      <c r="Q167" s="169" t="s">
        <v>1121</v>
      </c>
      <c r="R167" s="216"/>
      <c r="S167" s="216"/>
      <c r="T167" s="32" t="s">
        <v>102</v>
      </c>
      <c r="U167" s="8" t="str">
        <f>VLOOKUP('IMPO TERR'!T167,'Matriz datos'!$J$2:$K$10,2,0)</f>
        <v>AV. AMERICO VESPUCIO 0350, QUILICURA</v>
      </c>
      <c r="W167" s="64"/>
      <c r="AB167" s="225"/>
      <c r="AC167" s="226"/>
      <c r="AD167" s="1" t="s">
        <v>839</v>
      </c>
      <c r="AE167" s="8">
        <v>4090180642</v>
      </c>
      <c r="AG167" s="32"/>
      <c r="AH167" s="15"/>
      <c r="AI167" s="216"/>
      <c r="AJ167" s="222">
        <v>28640000</v>
      </c>
      <c r="AK167" s="9"/>
      <c r="AL167" s="28"/>
    </row>
    <row r="168" spans="1:38" ht="24.75" customHeight="1">
      <c r="A168" s="91" t="s">
        <v>1122</v>
      </c>
      <c r="B168" s="91">
        <v>180643</v>
      </c>
      <c r="C168" s="161" t="s">
        <v>495</v>
      </c>
      <c r="D168" s="1" t="s">
        <v>58</v>
      </c>
      <c r="E168" s="21">
        <v>46099</v>
      </c>
      <c r="F168" s="12"/>
      <c r="G168" s="12"/>
      <c r="H168" s="1"/>
      <c r="I168" s="1"/>
      <c r="J168" s="1"/>
      <c r="K168" s="1" t="s">
        <v>44</v>
      </c>
      <c r="L168" s="1" t="s">
        <v>61</v>
      </c>
      <c r="M168" s="1" t="s">
        <v>46</v>
      </c>
      <c r="N168" s="1" t="s">
        <v>47</v>
      </c>
      <c r="O168" s="8" t="s">
        <v>1123</v>
      </c>
      <c r="P168" s="176"/>
      <c r="Q168" s="169" t="s">
        <v>1083</v>
      </c>
      <c r="R168" s="216"/>
      <c r="S168" s="216"/>
      <c r="T168" s="32" t="s">
        <v>76</v>
      </c>
      <c r="U168" s="8" t="str">
        <f>VLOOKUP('IMPO TERR'!T168,'Matriz datos'!$J$2:$K$10,2,0)</f>
        <v>AV. PDTE. EDUARDO FREI 8301, QUILICURA</v>
      </c>
      <c r="W168" s="64"/>
      <c r="AB168" s="225"/>
      <c r="AC168" s="226"/>
      <c r="AD168" s="1" t="s">
        <v>839</v>
      </c>
      <c r="AE168" s="8">
        <v>4090180643</v>
      </c>
      <c r="AG168" s="32"/>
      <c r="AH168" s="15"/>
      <c r="AI168" s="216"/>
      <c r="AJ168" s="222">
        <v>25640000</v>
      </c>
      <c r="AK168" s="9"/>
      <c r="AL168" s="28"/>
    </row>
    <row r="169" spans="1:38" ht="24.75" customHeight="1">
      <c r="A169" s="91" t="s">
        <v>1124</v>
      </c>
      <c r="B169" s="91">
        <v>180645</v>
      </c>
      <c r="C169" s="161" t="s">
        <v>495</v>
      </c>
      <c r="D169" s="1" t="s">
        <v>58</v>
      </c>
      <c r="E169" s="21">
        <v>46100</v>
      </c>
      <c r="F169" s="12"/>
      <c r="G169" s="12"/>
      <c r="H169" s="1"/>
      <c r="I169" s="1"/>
      <c r="J169" s="1"/>
      <c r="K169" s="1" t="s">
        <v>44</v>
      </c>
      <c r="L169" s="1" t="s">
        <v>45</v>
      </c>
      <c r="M169" s="1" t="s">
        <v>46</v>
      </c>
      <c r="N169" s="1" t="s">
        <v>47</v>
      </c>
      <c r="O169" s="8" t="s">
        <v>1125</v>
      </c>
      <c r="P169" s="176"/>
      <c r="Q169" s="169" t="s">
        <v>49</v>
      </c>
      <c r="R169" s="216"/>
      <c r="S169" s="216"/>
      <c r="T169" s="32" t="s">
        <v>76</v>
      </c>
      <c r="U169" s="8" t="str">
        <f>VLOOKUP('IMPO TERR'!T169,'Matriz datos'!$J$2:$K$10,2,0)</f>
        <v>AV. PDTE. EDUARDO FREI 8301, QUILICURA</v>
      </c>
      <c r="W169" s="64"/>
      <c r="AB169" s="225"/>
      <c r="AC169" s="226"/>
      <c r="AD169" s="1" t="s">
        <v>839</v>
      </c>
      <c r="AE169" s="8">
        <v>4090180645</v>
      </c>
      <c r="AG169" s="32"/>
      <c r="AH169" s="15"/>
      <c r="AI169" s="216"/>
      <c r="AJ169" s="222">
        <v>25600000</v>
      </c>
      <c r="AK169" s="9"/>
      <c r="AL169" s="28"/>
    </row>
    <row r="170" spans="1:38" ht="24.75" customHeight="1">
      <c r="A170" s="91" t="s">
        <v>1126</v>
      </c>
      <c r="B170" s="91">
        <v>180646</v>
      </c>
      <c r="C170" s="161" t="s">
        <v>495</v>
      </c>
      <c r="D170" s="1" t="s">
        <v>58</v>
      </c>
      <c r="E170" s="21">
        <v>46100</v>
      </c>
      <c r="F170" s="12"/>
      <c r="G170" s="12"/>
      <c r="H170" s="1"/>
      <c r="I170" s="1"/>
      <c r="J170" s="1"/>
      <c r="K170" s="1" t="s">
        <v>44</v>
      </c>
      <c r="L170" s="1" t="s">
        <v>256</v>
      </c>
      <c r="M170" s="1" t="s">
        <v>46</v>
      </c>
      <c r="N170" s="1" t="s">
        <v>47</v>
      </c>
      <c r="O170" s="8" t="s">
        <v>1127</v>
      </c>
      <c r="P170" s="176"/>
      <c r="Q170" s="169" t="s">
        <v>1128</v>
      </c>
      <c r="R170" s="216"/>
      <c r="S170" s="216"/>
      <c r="T170" s="32" t="s">
        <v>1129</v>
      </c>
      <c r="U170" s="8" t="e">
        <f>VLOOKUP('IMPO TERR'!T170,'Matriz datos'!$J$2:$K$10,2,0)</f>
        <v>#N/A</v>
      </c>
      <c r="W170" s="64"/>
      <c r="AB170" s="225"/>
      <c r="AC170" s="226"/>
      <c r="AD170" s="1" t="s">
        <v>839</v>
      </c>
      <c r="AE170" s="8">
        <v>4090180646</v>
      </c>
      <c r="AG170" s="32"/>
      <c r="AH170" s="15"/>
      <c r="AI170" s="216"/>
      <c r="AJ170" s="222">
        <v>35670000</v>
      </c>
      <c r="AK170" s="9"/>
      <c r="AL170" s="28"/>
    </row>
    <row r="171" spans="1:38" ht="24.75" customHeight="1">
      <c r="A171" s="91" t="s">
        <v>1130</v>
      </c>
      <c r="B171" s="91">
        <v>180647</v>
      </c>
      <c r="C171" s="161" t="s">
        <v>495</v>
      </c>
      <c r="D171" s="1" t="s">
        <v>58</v>
      </c>
      <c r="E171" s="21">
        <v>46100</v>
      </c>
      <c r="F171" s="12"/>
      <c r="G171" s="12"/>
      <c r="H171" s="1"/>
      <c r="I171" s="1"/>
      <c r="J171" s="1"/>
      <c r="K171" s="1" t="s">
        <v>44</v>
      </c>
      <c r="L171" s="1" t="s">
        <v>256</v>
      </c>
      <c r="M171" s="1" t="s">
        <v>46</v>
      </c>
      <c r="N171" s="1" t="s">
        <v>47</v>
      </c>
      <c r="O171" s="8" t="s">
        <v>1131</v>
      </c>
      <c r="P171" s="176"/>
      <c r="Q171" s="169" t="s">
        <v>408</v>
      </c>
      <c r="R171" s="216"/>
      <c r="S171" s="216"/>
      <c r="T171" s="32" t="s">
        <v>76</v>
      </c>
      <c r="U171" s="8" t="str">
        <f>VLOOKUP('IMPO TERR'!T171,'Matriz datos'!$J$2:$K$10,2,0)</f>
        <v>AV. PDTE. EDUARDO FREI 8301, QUILICURA</v>
      </c>
      <c r="W171" s="64"/>
      <c r="AB171" s="225"/>
      <c r="AC171" s="226"/>
      <c r="AD171" s="1" t="s">
        <v>839</v>
      </c>
      <c r="AE171" s="8">
        <v>4090180647</v>
      </c>
      <c r="AG171" s="32"/>
      <c r="AH171" s="15"/>
      <c r="AI171" s="216"/>
      <c r="AJ171" s="222">
        <v>30430000</v>
      </c>
      <c r="AK171" s="9"/>
      <c r="AL171" s="28"/>
    </row>
    <row r="172" spans="1:38" ht="24.75" customHeight="1">
      <c r="A172" s="91" t="s">
        <v>1132</v>
      </c>
      <c r="B172" s="91">
        <v>180648</v>
      </c>
      <c r="C172" s="161" t="s">
        <v>495</v>
      </c>
      <c r="D172" s="1" t="s">
        <v>58</v>
      </c>
      <c r="E172" s="21">
        <v>46100</v>
      </c>
      <c r="F172" s="12"/>
      <c r="G172" s="12"/>
      <c r="H172" s="1"/>
      <c r="I172" s="1"/>
      <c r="J172" s="1"/>
      <c r="K172" s="1" t="s">
        <v>60</v>
      </c>
      <c r="L172" s="1" t="s">
        <v>45</v>
      </c>
      <c r="M172" s="1" t="s">
        <v>46</v>
      </c>
      <c r="N172" s="1" t="s">
        <v>47</v>
      </c>
      <c r="O172" s="8" t="s">
        <v>1133</v>
      </c>
      <c r="P172" s="176"/>
      <c r="Q172" s="169" t="s">
        <v>230</v>
      </c>
      <c r="R172" s="216"/>
      <c r="S172" s="216"/>
      <c r="T172" s="32" t="s">
        <v>76</v>
      </c>
      <c r="U172" s="8" t="str">
        <f>VLOOKUP('IMPO TERR'!T172,'Matriz datos'!$J$2:$K$10,2,0)</f>
        <v>AV. PDTE. EDUARDO FREI 8301, QUILICURA</v>
      </c>
      <c r="W172" s="64"/>
      <c r="AB172" s="225"/>
      <c r="AC172" s="226"/>
      <c r="AD172" s="1" t="s">
        <v>839</v>
      </c>
      <c r="AE172" s="8">
        <v>4090180648</v>
      </c>
      <c r="AG172" s="32"/>
      <c r="AH172" s="15"/>
      <c r="AI172" s="216"/>
      <c r="AJ172" s="225"/>
      <c r="AK172" s="9"/>
      <c r="AL172" s="28"/>
    </row>
    <row r="173" spans="1:38" ht="24.75" customHeight="1">
      <c r="A173" s="91" t="s">
        <v>1134</v>
      </c>
      <c r="B173" s="91">
        <v>180650</v>
      </c>
      <c r="C173" s="161" t="s">
        <v>495</v>
      </c>
      <c r="D173" s="1" t="s">
        <v>58</v>
      </c>
      <c r="E173" s="21">
        <v>46100</v>
      </c>
      <c r="F173" s="12"/>
      <c r="G173" s="12"/>
      <c r="H173" s="1"/>
      <c r="I173" s="1"/>
      <c r="J173" s="1"/>
      <c r="K173" s="1" t="s">
        <v>44</v>
      </c>
      <c r="L173" s="1" t="s">
        <v>45</v>
      </c>
      <c r="M173" s="1" t="s">
        <v>46</v>
      </c>
      <c r="N173" s="1" t="s">
        <v>47</v>
      </c>
      <c r="O173" s="8" t="s">
        <v>1135</v>
      </c>
      <c r="P173" s="176"/>
      <c r="Q173" s="169" t="s">
        <v>49</v>
      </c>
      <c r="R173" s="216"/>
      <c r="S173" s="216"/>
      <c r="T173" s="32" t="s">
        <v>76</v>
      </c>
      <c r="U173" s="8" t="str">
        <f>VLOOKUP('IMPO TERR'!T173,'Matriz datos'!$J$2:$K$10,2,0)</f>
        <v>AV. PDTE. EDUARDO FREI 8301, QUILICURA</v>
      </c>
      <c r="W173" s="64"/>
      <c r="AB173" s="225"/>
      <c r="AC173" s="226"/>
      <c r="AD173" s="1" t="s">
        <v>839</v>
      </c>
      <c r="AE173" s="8">
        <v>4090180650</v>
      </c>
      <c r="AG173" s="32"/>
      <c r="AH173" s="15"/>
      <c r="AI173" s="216"/>
      <c r="AJ173" s="222">
        <v>25290000</v>
      </c>
      <c r="AK173" s="9"/>
      <c r="AL173" s="28"/>
    </row>
    <row r="174" spans="1:38" ht="24.75" customHeight="1">
      <c r="A174" s="91" t="s">
        <v>1136</v>
      </c>
      <c r="B174" s="91">
        <v>180651</v>
      </c>
      <c r="C174" s="161" t="s">
        <v>495</v>
      </c>
      <c r="D174" s="1" t="s">
        <v>58</v>
      </c>
      <c r="E174" s="21">
        <v>46100</v>
      </c>
      <c r="F174" s="12"/>
      <c r="G174" s="12"/>
      <c r="H174" s="1"/>
      <c r="I174" s="1"/>
      <c r="J174" s="1"/>
      <c r="K174" s="1" t="s">
        <v>44</v>
      </c>
      <c r="L174" s="1" t="s">
        <v>45</v>
      </c>
      <c r="M174" s="1" t="s">
        <v>46</v>
      </c>
      <c r="N174" s="1" t="s">
        <v>47</v>
      </c>
      <c r="O174" s="8" t="s">
        <v>1137</v>
      </c>
      <c r="P174" s="176"/>
      <c r="Q174" s="169" t="s">
        <v>49</v>
      </c>
      <c r="R174" s="216"/>
      <c r="S174" s="216"/>
      <c r="T174" s="32" t="s">
        <v>76</v>
      </c>
      <c r="U174" s="8" t="str">
        <f>VLOOKUP('IMPO TERR'!T174,'Matriz datos'!$J$2:$K$10,2,0)</f>
        <v>AV. PDTE. EDUARDO FREI 8301, QUILICURA</v>
      </c>
      <c r="W174" s="64"/>
      <c r="AB174" s="225"/>
      <c r="AC174" s="226"/>
      <c r="AD174" s="1" t="s">
        <v>839</v>
      </c>
      <c r="AE174" s="8">
        <v>40900180651</v>
      </c>
      <c r="AG174" s="32"/>
      <c r="AH174" s="15"/>
      <c r="AI174" s="216"/>
      <c r="AJ174" s="222">
        <v>23870000</v>
      </c>
      <c r="AK174" s="9"/>
      <c r="AL174" s="28"/>
    </row>
    <row r="175" spans="1:38" ht="24.75" customHeight="1">
      <c r="A175" s="91" t="s">
        <v>1138</v>
      </c>
      <c r="B175" s="91">
        <v>180652</v>
      </c>
      <c r="C175" s="161" t="s">
        <v>495</v>
      </c>
      <c r="D175" s="1" t="s">
        <v>58</v>
      </c>
      <c r="E175" s="21">
        <v>46100</v>
      </c>
      <c r="F175" s="12"/>
      <c r="G175" s="12"/>
      <c r="H175" s="1"/>
      <c r="I175" s="1"/>
      <c r="J175" s="1"/>
      <c r="K175" s="1" t="s">
        <v>44</v>
      </c>
      <c r="L175" s="1" t="s">
        <v>45</v>
      </c>
      <c r="M175" s="1" t="s">
        <v>46</v>
      </c>
      <c r="N175" s="1" t="s">
        <v>47</v>
      </c>
      <c r="O175" s="8" t="s">
        <v>1139</v>
      </c>
      <c r="P175" s="176"/>
      <c r="Q175" s="169" t="s">
        <v>49</v>
      </c>
      <c r="R175" s="216"/>
      <c r="S175" s="216"/>
      <c r="T175" s="32" t="s">
        <v>76</v>
      </c>
      <c r="U175" s="8"/>
      <c r="W175" s="64"/>
      <c r="AB175" s="225"/>
      <c r="AC175" s="226"/>
      <c r="AD175" s="1" t="s">
        <v>839</v>
      </c>
      <c r="AE175" s="8">
        <v>4090180652</v>
      </c>
      <c r="AG175" s="32"/>
      <c r="AH175" s="15"/>
      <c r="AI175" s="216"/>
      <c r="AJ175" s="222">
        <v>25270000</v>
      </c>
      <c r="AK175" s="9"/>
      <c r="AL175" s="28"/>
    </row>
    <row r="176" spans="1:38" ht="24.75" customHeight="1">
      <c r="A176" s="91" t="s">
        <v>1140</v>
      </c>
      <c r="B176" s="91">
        <v>180655</v>
      </c>
      <c r="C176" s="161" t="s">
        <v>495</v>
      </c>
      <c r="D176" s="1" t="s">
        <v>58</v>
      </c>
      <c r="E176" s="21">
        <v>46100</v>
      </c>
      <c r="F176" s="12"/>
      <c r="G176" s="12"/>
      <c r="H176" s="1"/>
      <c r="I176" s="1"/>
      <c r="J176" s="1"/>
      <c r="K176" s="1" t="s">
        <v>44</v>
      </c>
      <c r="L176" s="1" t="s">
        <v>45</v>
      </c>
      <c r="M176" s="1" t="s">
        <v>46</v>
      </c>
      <c r="N176" s="1" t="s">
        <v>47</v>
      </c>
      <c r="O176" s="8" t="s">
        <v>1141</v>
      </c>
      <c r="P176" s="176"/>
      <c r="Q176" s="169" t="s">
        <v>126</v>
      </c>
      <c r="R176" s="216"/>
      <c r="S176" s="216"/>
      <c r="T176" s="32" t="s">
        <v>102</v>
      </c>
      <c r="U176" s="8"/>
      <c r="W176" s="64"/>
      <c r="AB176" s="225"/>
      <c r="AC176" s="226"/>
      <c r="AD176" s="1" t="s">
        <v>839</v>
      </c>
      <c r="AE176" s="8">
        <v>4090180652</v>
      </c>
      <c r="AG176" s="32"/>
      <c r="AH176" s="15"/>
      <c r="AI176" s="216"/>
      <c r="AJ176" s="225"/>
      <c r="AK176" s="9"/>
      <c r="AL176" s="28"/>
    </row>
    <row r="177" spans="1:38" ht="24.75" customHeight="1">
      <c r="A177" s="91" t="s">
        <v>1142</v>
      </c>
      <c r="B177" s="91">
        <v>180656</v>
      </c>
      <c r="C177" s="161" t="s">
        <v>495</v>
      </c>
      <c r="D177" s="1" t="s">
        <v>58</v>
      </c>
      <c r="E177" s="21">
        <v>46100</v>
      </c>
      <c r="F177" s="12"/>
      <c r="G177" s="12"/>
      <c r="H177" s="1"/>
      <c r="I177" s="1"/>
      <c r="J177" s="1"/>
      <c r="K177" s="1" t="s">
        <v>60</v>
      </c>
      <c r="L177" s="1" t="s">
        <v>45</v>
      </c>
      <c r="M177" s="1" t="s">
        <v>46</v>
      </c>
      <c r="N177" s="1" t="s">
        <v>47</v>
      </c>
      <c r="O177" s="8" t="s">
        <v>1143</v>
      </c>
      <c r="P177" s="176"/>
      <c r="Q177" s="169" t="s">
        <v>221</v>
      </c>
      <c r="R177" s="216"/>
      <c r="S177" s="216"/>
      <c r="T177" s="32" t="s">
        <v>102</v>
      </c>
      <c r="U177" s="8"/>
      <c r="W177" s="64"/>
      <c r="AB177" s="225"/>
      <c r="AC177" s="226"/>
      <c r="AD177" s="1" t="s">
        <v>839</v>
      </c>
      <c r="AE177" s="8">
        <v>4090180656</v>
      </c>
      <c r="AG177" s="32"/>
      <c r="AH177" s="15"/>
      <c r="AI177" s="216"/>
      <c r="AJ177" s="225"/>
      <c r="AK177" s="9"/>
      <c r="AL177" s="28"/>
    </row>
    <row r="178" spans="1:38" ht="24.75" customHeight="1">
      <c r="A178" s="91" t="s">
        <v>1144</v>
      </c>
      <c r="B178" s="91">
        <v>180661</v>
      </c>
      <c r="C178" s="161" t="s">
        <v>495</v>
      </c>
      <c r="D178" s="1" t="s">
        <v>58</v>
      </c>
      <c r="E178" s="21">
        <v>46100</v>
      </c>
      <c r="F178" s="12"/>
      <c r="G178" s="12" t="s">
        <v>1056</v>
      </c>
      <c r="H178" s="1"/>
      <c r="I178" s="1"/>
      <c r="J178" s="1"/>
      <c r="K178" s="1" t="s">
        <v>44</v>
      </c>
      <c r="L178" s="1" t="s">
        <v>61</v>
      </c>
      <c r="M178" s="1" t="s">
        <v>46</v>
      </c>
      <c r="N178" s="1" t="s">
        <v>47</v>
      </c>
      <c r="O178" s="8"/>
      <c r="P178" s="176"/>
      <c r="Q178" s="169"/>
      <c r="R178" s="216"/>
      <c r="S178" s="216"/>
      <c r="T178" s="32" t="s">
        <v>76</v>
      </c>
      <c r="U178" s="8"/>
      <c r="W178" s="64"/>
      <c r="AB178" s="225"/>
      <c r="AC178" s="226"/>
      <c r="AD178" s="1" t="s">
        <v>839</v>
      </c>
      <c r="AE178" s="8">
        <v>90180661</v>
      </c>
      <c r="AG178" s="32"/>
      <c r="AH178" s="15"/>
      <c r="AI178" s="216"/>
      <c r="AJ178" s="225"/>
      <c r="AK178" s="9"/>
      <c r="AL178" s="28"/>
    </row>
    <row r="179" spans="1:38" ht="24.75" customHeight="1">
      <c r="C179" s="161"/>
      <c r="D179" s="1" t="s">
        <v>58</v>
      </c>
      <c r="F179" s="12"/>
      <c r="G179" s="12"/>
      <c r="H179" s="1"/>
      <c r="I179" s="1"/>
      <c r="J179" s="1"/>
      <c r="K179" s="1"/>
      <c r="L179" s="1"/>
      <c r="M179" s="1"/>
      <c r="N179" s="1"/>
      <c r="O179" s="8"/>
      <c r="P179" s="176"/>
      <c r="Q179" s="169"/>
      <c r="R179" s="216"/>
      <c r="S179" s="216"/>
      <c r="T179" s="32"/>
      <c r="U179" s="8"/>
      <c r="W179" s="64"/>
      <c r="AB179" s="225"/>
      <c r="AC179" s="226"/>
      <c r="AD179" s="1" t="s">
        <v>839</v>
      </c>
      <c r="AE179" s="8"/>
      <c r="AG179" s="32"/>
      <c r="AH179" s="15"/>
      <c r="AI179" s="216"/>
      <c r="AJ179" s="225"/>
      <c r="AK179" s="9"/>
      <c r="AL179" s="28"/>
    </row>
    <row r="180" spans="1:38" ht="24.75" customHeight="1">
      <c r="C180" s="161"/>
      <c r="D180" s="1" t="s">
        <v>58</v>
      </c>
      <c r="F180" s="12"/>
      <c r="G180" s="12"/>
      <c r="H180" s="1"/>
      <c r="I180" s="1"/>
      <c r="J180" s="1"/>
      <c r="K180" s="1"/>
      <c r="L180" s="1"/>
      <c r="M180" s="1"/>
      <c r="N180" s="1"/>
      <c r="O180" s="8"/>
      <c r="P180" s="176"/>
      <c r="Q180" s="169"/>
      <c r="R180" s="216"/>
      <c r="S180" s="216"/>
      <c r="T180" s="32"/>
      <c r="U180" s="8"/>
      <c r="W180" s="64"/>
      <c r="AB180" s="225"/>
      <c r="AC180" s="226"/>
      <c r="AD180" s="1" t="s">
        <v>839</v>
      </c>
      <c r="AE180" s="8"/>
      <c r="AG180" s="32"/>
      <c r="AH180" s="15"/>
      <c r="AI180" s="216"/>
      <c r="AJ180" s="225"/>
      <c r="AK180" s="9"/>
      <c r="AL180" s="28"/>
    </row>
    <row r="181" spans="1:38" ht="24.75" customHeight="1">
      <c r="C181" s="161"/>
      <c r="D181" s="1" t="s">
        <v>58</v>
      </c>
      <c r="F181" s="12"/>
      <c r="G181" s="12"/>
      <c r="H181" s="1"/>
      <c r="I181" s="1"/>
      <c r="J181" s="1"/>
      <c r="K181" s="1"/>
      <c r="L181" s="1"/>
      <c r="M181" s="1"/>
      <c r="N181" s="1"/>
      <c r="O181" s="8"/>
      <c r="P181" s="176"/>
      <c r="Q181" s="169"/>
      <c r="R181" s="216"/>
      <c r="S181" s="216"/>
      <c r="T181" s="32"/>
      <c r="U181" s="8"/>
      <c r="W181" s="64"/>
      <c r="AB181" s="225"/>
      <c r="AC181" s="226"/>
      <c r="AD181" s="1" t="s">
        <v>839</v>
      </c>
      <c r="AE181" s="8"/>
      <c r="AG181" s="32"/>
      <c r="AH181" s="15"/>
      <c r="AI181" s="216"/>
      <c r="AJ181" s="225"/>
      <c r="AK181" s="9"/>
      <c r="AL181" s="28"/>
    </row>
    <row r="182" spans="1:38" ht="24.75" customHeight="1">
      <c r="C182" s="161"/>
      <c r="F182" s="12"/>
      <c r="G182" s="12"/>
      <c r="H182" s="1"/>
      <c r="I182" s="1"/>
      <c r="J182" s="1"/>
      <c r="K182" s="1"/>
      <c r="L182" s="1"/>
      <c r="M182" s="1"/>
      <c r="N182" s="1"/>
      <c r="O182" s="8"/>
      <c r="P182" s="176"/>
      <c r="Q182" s="169"/>
      <c r="R182" s="216"/>
      <c r="S182" s="216"/>
      <c r="T182" s="32"/>
      <c r="U182" s="8"/>
      <c r="W182" s="64"/>
      <c r="AB182" s="225"/>
      <c r="AC182" s="226"/>
      <c r="AD182" s="1" t="s">
        <v>839</v>
      </c>
      <c r="AE182" s="8"/>
      <c r="AG182" s="32"/>
      <c r="AH182" s="15"/>
      <c r="AI182" s="216"/>
      <c r="AJ182" s="225"/>
      <c r="AK182" s="9"/>
      <c r="AL182" s="28"/>
    </row>
    <row r="183" spans="1:38" ht="24.75" customHeight="1">
      <c r="C183" s="161"/>
      <c r="F183" s="12"/>
      <c r="G183" s="12"/>
      <c r="H183" s="1"/>
      <c r="I183" s="1"/>
      <c r="J183" s="1"/>
      <c r="K183" s="1"/>
      <c r="L183" s="1"/>
      <c r="M183" s="1"/>
      <c r="N183" s="1"/>
      <c r="O183" s="8"/>
      <c r="P183" s="176"/>
      <c r="Q183" s="169"/>
      <c r="R183" s="216"/>
      <c r="S183" s="216"/>
      <c r="T183" s="32"/>
      <c r="U183" s="8"/>
      <c r="W183" s="64"/>
      <c r="AB183" s="225"/>
      <c r="AC183" s="226"/>
      <c r="AD183" s="1"/>
      <c r="AE183" s="8"/>
      <c r="AG183" s="32"/>
      <c r="AH183" s="15"/>
      <c r="AI183" s="216"/>
      <c r="AJ183" s="225"/>
      <c r="AK183" s="9"/>
      <c r="AL183" s="28"/>
    </row>
    <row r="184" spans="1:38" ht="24.75" customHeight="1">
      <c r="C184" s="161"/>
      <c r="F184" s="12"/>
      <c r="G184" s="12"/>
      <c r="H184" s="1"/>
      <c r="I184" s="1"/>
      <c r="J184" s="1"/>
      <c r="K184" s="1"/>
      <c r="L184" s="1"/>
      <c r="M184" s="1"/>
      <c r="N184" s="1"/>
      <c r="O184" s="8"/>
      <c r="P184" s="176"/>
      <c r="Q184" s="169"/>
      <c r="R184" s="216"/>
      <c r="S184" s="216"/>
      <c r="T184" s="32"/>
      <c r="U184" s="8"/>
      <c r="W184" s="64"/>
      <c r="AB184" s="225"/>
      <c r="AC184" s="226"/>
      <c r="AD184" s="1"/>
      <c r="AE184" s="8"/>
      <c r="AG184" s="32"/>
      <c r="AH184" s="15"/>
      <c r="AI184" s="216"/>
      <c r="AJ184" s="225"/>
      <c r="AK184" s="9"/>
      <c r="AL184" s="28"/>
    </row>
    <row r="185" spans="1:38" ht="24.75" customHeight="1">
      <c r="C185" s="161"/>
      <c r="F185" s="12"/>
      <c r="G185" s="12"/>
      <c r="H185" s="1"/>
      <c r="I185" s="1"/>
      <c r="J185" s="1"/>
      <c r="K185" s="1"/>
      <c r="L185" s="1"/>
      <c r="M185" s="1"/>
      <c r="N185" s="1"/>
      <c r="O185" s="8"/>
      <c r="P185" s="176"/>
      <c r="Q185" s="169"/>
      <c r="R185" s="216"/>
      <c r="S185" s="216"/>
      <c r="T185" s="32"/>
      <c r="U185" s="8"/>
      <c r="W185" s="64"/>
      <c r="AB185" s="225"/>
      <c r="AC185" s="226"/>
      <c r="AD185" s="1"/>
      <c r="AE185" s="8"/>
      <c r="AG185" s="32"/>
      <c r="AH185" s="15"/>
      <c r="AI185" s="216"/>
      <c r="AJ185" s="225"/>
      <c r="AK185" s="9"/>
      <c r="AL185" s="28"/>
    </row>
    <row r="186" spans="1:38" ht="24.75" customHeight="1">
      <c r="C186" s="161"/>
      <c r="F186" s="12"/>
      <c r="G186" s="12"/>
      <c r="H186" s="1"/>
      <c r="I186" s="1"/>
      <c r="J186" s="1"/>
      <c r="K186" s="1"/>
      <c r="L186" s="1"/>
      <c r="M186" s="1"/>
      <c r="N186" s="1"/>
      <c r="O186" s="8"/>
      <c r="P186" s="176"/>
      <c r="Q186" s="169"/>
      <c r="R186" s="216"/>
      <c r="S186" s="216"/>
      <c r="T186" s="32"/>
      <c r="U186" s="8"/>
      <c r="W186" s="64"/>
      <c r="AB186" s="225"/>
      <c r="AC186" s="226"/>
      <c r="AD186" s="1"/>
      <c r="AE186" s="8"/>
      <c r="AG186" s="32"/>
      <c r="AH186" s="15"/>
      <c r="AI186" s="216"/>
      <c r="AJ186" s="225"/>
      <c r="AK186" s="9"/>
      <c r="AL186" s="28"/>
    </row>
    <row r="187" spans="1:38" ht="24.75" customHeight="1">
      <c r="C187" s="161"/>
      <c r="F187" s="12"/>
      <c r="G187" s="12"/>
      <c r="H187" s="1"/>
      <c r="I187" s="1"/>
      <c r="J187" s="1"/>
      <c r="K187" s="1"/>
      <c r="L187" s="1"/>
      <c r="M187" s="1"/>
      <c r="N187" s="1"/>
      <c r="O187" s="8"/>
      <c r="P187" s="176"/>
      <c r="Q187" s="169"/>
      <c r="R187" s="216"/>
      <c r="S187" s="216"/>
      <c r="T187" s="32"/>
      <c r="U187" s="8"/>
      <c r="W187" s="64"/>
      <c r="AB187" s="225"/>
      <c r="AC187" s="226"/>
      <c r="AD187" s="1"/>
      <c r="AE187" s="8"/>
      <c r="AG187" s="32"/>
      <c r="AH187" s="15"/>
      <c r="AI187" s="216"/>
      <c r="AJ187" s="225"/>
      <c r="AK187" s="9"/>
      <c r="AL187" s="28"/>
    </row>
    <row r="188" spans="1:38" ht="24.75" customHeight="1">
      <c r="C188" s="161"/>
      <c r="F188" s="12"/>
      <c r="G188" s="12"/>
      <c r="H188" s="1"/>
      <c r="I188" s="1"/>
      <c r="J188" s="1"/>
      <c r="K188" s="1"/>
      <c r="L188" s="1"/>
      <c r="M188" s="1"/>
      <c r="N188" s="1"/>
      <c r="O188" s="8"/>
      <c r="P188" s="176"/>
      <c r="Q188" s="169"/>
      <c r="R188" s="216"/>
      <c r="S188" s="216"/>
      <c r="T188" s="32"/>
      <c r="U188" s="8"/>
      <c r="W188" s="64"/>
      <c r="AB188" s="225"/>
      <c r="AC188" s="226"/>
      <c r="AD188" s="1"/>
      <c r="AE188" s="8"/>
      <c r="AG188" s="32"/>
      <c r="AH188" s="15"/>
      <c r="AI188" s="216"/>
      <c r="AJ188" s="225"/>
      <c r="AK188" s="9"/>
      <c r="AL188" s="28"/>
    </row>
    <row r="189" spans="1:38" ht="24.75" customHeight="1">
      <c r="C189" s="161"/>
      <c r="F189" s="12"/>
      <c r="G189" s="12"/>
      <c r="H189" s="1"/>
      <c r="I189" s="1"/>
      <c r="J189" s="1"/>
      <c r="K189" s="1"/>
      <c r="L189" s="1"/>
      <c r="M189" s="1"/>
      <c r="N189" s="1"/>
      <c r="O189" s="8"/>
      <c r="P189" s="176"/>
      <c r="Q189" s="169"/>
      <c r="R189" s="216"/>
      <c r="S189" s="216"/>
      <c r="T189" s="32"/>
      <c r="U189" s="8"/>
      <c r="W189" s="64"/>
      <c r="AB189" s="225"/>
      <c r="AC189" s="226"/>
      <c r="AD189" s="1"/>
      <c r="AE189" s="8"/>
      <c r="AG189" s="32"/>
      <c r="AH189" s="15"/>
      <c r="AI189" s="216"/>
      <c r="AJ189" s="225"/>
      <c r="AK189" s="9"/>
      <c r="AL189" s="28"/>
    </row>
    <row r="190" spans="1:38" ht="24.75" customHeight="1">
      <c r="C190" s="161"/>
      <c r="F190" s="12"/>
      <c r="G190" s="12"/>
      <c r="H190" s="1"/>
      <c r="I190" s="1"/>
      <c r="J190" s="1"/>
      <c r="K190" s="1"/>
      <c r="L190" s="1"/>
      <c r="M190" s="1"/>
      <c r="N190" s="1"/>
      <c r="O190" s="8"/>
      <c r="P190" s="176"/>
      <c r="Q190" s="169"/>
      <c r="R190" s="216"/>
      <c r="S190" s="216"/>
      <c r="T190" s="32"/>
      <c r="U190" s="8"/>
      <c r="W190" s="64"/>
      <c r="AB190" s="225"/>
      <c r="AC190" s="226"/>
      <c r="AD190" s="1"/>
      <c r="AE190" s="8"/>
      <c r="AG190" s="32"/>
      <c r="AH190" s="15"/>
      <c r="AI190" s="216"/>
      <c r="AJ190" s="225"/>
      <c r="AK190" s="9"/>
      <c r="AL190" s="28"/>
    </row>
    <row r="191" spans="1:38" ht="24.75" customHeight="1">
      <c r="C191" s="161"/>
      <c r="F191" s="12"/>
      <c r="G191" s="12"/>
      <c r="H191" s="1"/>
      <c r="I191" s="1"/>
      <c r="J191" s="1"/>
      <c r="K191" s="1"/>
      <c r="L191" s="1"/>
      <c r="M191" s="1"/>
      <c r="N191" s="1"/>
      <c r="O191" s="8"/>
      <c r="P191" s="176"/>
      <c r="Q191" s="169"/>
      <c r="R191" s="216"/>
      <c r="S191" s="216"/>
      <c r="T191" s="32"/>
      <c r="U191" s="8"/>
      <c r="W191" s="64"/>
      <c r="AB191" s="225"/>
      <c r="AC191" s="226"/>
      <c r="AD191" s="1"/>
      <c r="AE191" s="8"/>
      <c r="AG191" s="32"/>
      <c r="AH191" s="15"/>
      <c r="AI191" s="216"/>
      <c r="AJ191" s="225"/>
      <c r="AK191" s="9"/>
      <c r="AL191" s="28"/>
    </row>
    <row r="192" spans="1:38" ht="24.75" customHeight="1">
      <c r="C192" s="161"/>
      <c r="F192" s="12"/>
      <c r="G192" s="12"/>
      <c r="H192" s="1"/>
      <c r="I192" s="1"/>
      <c r="J192" s="1"/>
      <c r="K192" s="1"/>
      <c r="L192" s="1"/>
      <c r="M192" s="1"/>
      <c r="N192" s="1"/>
      <c r="O192" s="8"/>
      <c r="P192" s="176"/>
      <c r="Q192" s="169"/>
      <c r="R192" s="216"/>
      <c r="S192" s="216"/>
      <c r="T192" s="32"/>
      <c r="U192" s="8"/>
      <c r="W192" s="64"/>
      <c r="AB192" s="225"/>
      <c r="AC192" s="226"/>
      <c r="AD192" s="1"/>
      <c r="AE192" s="8"/>
      <c r="AG192" s="32"/>
      <c r="AH192" s="15"/>
      <c r="AI192" s="216"/>
      <c r="AJ192" s="225"/>
      <c r="AK192" s="9"/>
      <c r="AL192" s="28"/>
    </row>
    <row r="193" spans="3:38" ht="24.75" customHeight="1">
      <c r="C193" s="161"/>
      <c r="F193" s="12"/>
      <c r="G193" s="12"/>
      <c r="H193" s="1"/>
      <c r="I193" s="1"/>
      <c r="J193" s="1"/>
      <c r="K193" s="1"/>
      <c r="L193" s="1"/>
      <c r="M193" s="1"/>
      <c r="N193" s="1"/>
      <c r="O193" s="8"/>
      <c r="P193" s="176"/>
      <c r="Q193" s="169"/>
      <c r="R193" s="216"/>
      <c r="S193" s="216"/>
      <c r="T193" s="32"/>
      <c r="U193" s="8"/>
      <c r="W193" s="64"/>
      <c r="AB193" s="225"/>
      <c r="AC193" s="226"/>
      <c r="AD193" s="1"/>
      <c r="AE193" s="8"/>
      <c r="AG193" s="32"/>
      <c r="AH193" s="15"/>
      <c r="AI193" s="216"/>
      <c r="AJ193" s="225"/>
      <c r="AK193" s="9"/>
      <c r="AL193" s="28"/>
    </row>
    <row r="194" spans="3:38" ht="24.75" customHeight="1">
      <c r="C194" s="161"/>
      <c r="F194" s="12"/>
      <c r="G194" s="12"/>
      <c r="H194" s="1"/>
      <c r="I194" s="1"/>
      <c r="J194" s="1"/>
      <c r="K194" s="1"/>
      <c r="L194" s="1"/>
      <c r="M194" s="1"/>
      <c r="N194" s="1"/>
      <c r="O194" s="8"/>
      <c r="P194" s="176"/>
      <c r="Q194" s="169"/>
      <c r="R194" s="216"/>
      <c r="S194" s="216"/>
      <c r="T194" s="32"/>
      <c r="U194" s="8"/>
      <c r="W194" s="64"/>
      <c r="AB194" s="225"/>
      <c r="AC194" s="226"/>
      <c r="AD194" s="1"/>
      <c r="AE194" s="8"/>
      <c r="AG194" s="32"/>
      <c r="AH194" s="15"/>
      <c r="AI194" s="216"/>
      <c r="AJ194" s="225"/>
      <c r="AK194" s="9"/>
      <c r="AL194" s="28"/>
    </row>
    <row r="195" spans="3:38" ht="24.75" customHeight="1">
      <c r="C195" s="161"/>
      <c r="F195" s="12"/>
      <c r="G195" s="12"/>
      <c r="H195" s="1"/>
      <c r="I195" s="1"/>
      <c r="J195" s="1"/>
      <c r="K195" s="1"/>
      <c r="L195" s="1"/>
      <c r="M195" s="1"/>
      <c r="N195" s="1"/>
      <c r="O195" s="8"/>
      <c r="P195" s="176"/>
      <c r="Q195" s="169"/>
      <c r="R195" s="216"/>
      <c r="S195" s="216"/>
      <c r="T195" s="32"/>
      <c r="U195" s="8"/>
      <c r="W195" s="64"/>
      <c r="AB195" s="225"/>
      <c r="AC195" s="226"/>
      <c r="AD195" s="1"/>
      <c r="AE195" s="8"/>
      <c r="AG195" s="32"/>
      <c r="AH195" s="15"/>
      <c r="AI195" s="216"/>
      <c r="AJ195" s="225"/>
      <c r="AK195" s="9"/>
      <c r="AL195" s="28"/>
    </row>
    <row r="196" spans="3:38" ht="24.75" customHeight="1">
      <c r="C196" s="161"/>
      <c r="F196" s="12"/>
      <c r="G196" s="12"/>
      <c r="H196" s="1"/>
      <c r="I196" s="1"/>
      <c r="J196" s="1"/>
      <c r="K196" s="1"/>
      <c r="L196" s="1"/>
      <c r="M196" s="1"/>
      <c r="N196" s="1"/>
      <c r="O196" s="8"/>
      <c r="P196" s="176"/>
      <c r="Q196" s="169"/>
      <c r="R196" s="216"/>
      <c r="S196" s="216"/>
      <c r="T196" s="32"/>
      <c r="U196" s="8"/>
      <c r="W196" s="64"/>
      <c r="AB196" s="225"/>
      <c r="AC196" s="226"/>
      <c r="AD196" s="1"/>
      <c r="AE196" s="8"/>
      <c r="AG196" s="32"/>
      <c r="AH196" s="15"/>
      <c r="AI196" s="216"/>
      <c r="AJ196" s="225"/>
      <c r="AK196" s="9"/>
      <c r="AL196" s="28"/>
    </row>
    <row r="197" spans="3:38" ht="24.75" customHeight="1">
      <c r="C197" s="161"/>
      <c r="F197" s="12"/>
      <c r="G197" s="12"/>
      <c r="H197" s="1"/>
      <c r="I197" s="1"/>
      <c r="J197" s="1"/>
      <c r="K197" s="1"/>
      <c r="L197" s="1"/>
      <c r="M197" s="1"/>
      <c r="N197" s="1"/>
      <c r="O197" s="8"/>
      <c r="P197" s="176"/>
      <c r="Q197" s="169"/>
      <c r="R197" s="216"/>
      <c r="S197" s="216"/>
      <c r="T197" s="32"/>
      <c r="U197" s="8"/>
      <c r="W197" s="64"/>
      <c r="AB197" s="225"/>
      <c r="AC197" s="226"/>
      <c r="AD197" s="1"/>
      <c r="AE197" s="8"/>
      <c r="AG197" s="32"/>
      <c r="AH197" s="15"/>
      <c r="AI197" s="216"/>
      <c r="AJ197" s="225"/>
      <c r="AK197" s="9"/>
      <c r="AL197" s="28"/>
    </row>
    <row r="198" spans="3:38" ht="24.75" customHeight="1">
      <c r="C198" s="161"/>
      <c r="F198" s="12"/>
      <c r="G198" s="12"/>
      <c r="H198" s="1"/>
      <c r="I198" s="1"/>
      <c r="J198" s="1"/>
      <c r="K198" s="1"/>
      <c r="L198" s="1"/>
      <c r="M198" s="1"/>
      <c r="N198" s="1"/>
      <c r="O198" s="8"/>
      <c r="P198" s="176"/>
      <c r="Q198" s="169"/>
      <c r="R198" s="216"/>
      <c r="S198" s="216"/>
      <c r="T198" s="32"/>
      <c r="U198" s="8"/>
      <c r="W198" s="64"/>
      <c r="AB198" s="225"/>
      <c r="AC198" s="226"/>
      <c r="AD198" s="1"/>
      <c r="AE198" s="8"/>
      <c r="AG198" s="32"/>
      <c r="AH198" s="15"/>
      <c r="AI198" s="216"/>
      <c r="AJ198" s="225"/>
      <c r="AK198" s="9"/>
      <c r="AL198" s="28"/>
    </row>
    <row r="199" spans="3:38" ht="24.75" customHeight="1">
      <c r="C199" s="161"/>
      <c r="F199" s="12"/>
      <c r="G199" s="12"/>
      <c r="H199" s="1"/>
      <c r="I199" s="1"/>
      <c r="J199" s="1"/>
      <c r="K199" s="1"/>
      <c r="L199" s="1"/>
      <c r="M199" s="1"/>
      <c r="N199" s="1"/>
      <c r="O199" s="8"/>
      <c r="P199" s="176"/>
      <c r="Q199" s="169"/>
      <c r="R199" s="216"/>
      <c r="S199" s="216"/>
      <c r="T199" s="32"/>
      <c r="U199" s="8"/>
      <c r="W199" s="64"/>
      <c r="AB199" s="225"/>
      <c r="AC199" s="226"/>
      <c r="AD199" s="1"/>
      <c r="AE199" s="8"/>
      <c r="AG199" s="32"/>
      <c r="AH199" s="15"/>
      <c r="AI199" s="216"/>
      <c r="AJ199" s="225"/>
      <c r="AK199" s="9"/>
      <c r="AL199" s="28"/>
    </row>
    <row r="200" spans="3:38" ht="24.75" customHeight="1">
      <c r="C200" s="161"/>
      <c r="F200" s="12"/>
      <c r="G200" s="12"/>
      <c r="H200" s="1"/>
      <c r="I200" s="1"/>
      <c r="J200" s="1"/>
      <c r="K200" s="1"/>
      <c r="L200" s="1"/>
      <c r="M200" s="1"/>
      <c r="N200" s="1"/>
      <c r="O200" s="8"/>
      <c r="P200" s="176"/>
      <c r="Q200" s="169"/>
      <c r="R200" s="216"/>
      <c r="S200" s="216"/>
      <c r="T200" s="32"/>
      <c r="U200" s="8"/>
      <c r="W200" s="64"/>
      <c r="AB200" s="225"/>
      <c r="AC200" s="226"/>
      <c r="AD200" s="1"/>
      <c r="AE200" s="8"/>
      <c r="AG200" s="32"/>
      <c r="AH200" s="15"/>
      <c r="AI200" s="216"/>
      <c r="AJ200" s="225"/>
      <c r="AK200" s="9"/>
      <c r="AL200" s="28"/>
    </row>
    <row r="201" spans="3:38" ht="24.75" customHeight="1">
      <c r="C201" s="161"/>
      <c r="F201" s="12"/>
      <c r="G201" s="12"/>
      <c r="H201" s="1"/>
      <c r="I201" s="1"/>
      <c r="J201" s="1"/>
      <c r="K201" s="1"/>
      <c r="L201" s="1"/>
      <c r="M201" s="1"/>
      <c r="N201" s="1"/>
      <c r="O201" s="8"/>
      <c r="P201" s="176"/>
      <c r="Q201" s="169"/>
      <c r="R201" s="216"/>
      <c r="S201" s="216"/>
      <c r="T201" s="32"/>
      <c r="U201" s="8"/>
      <c r="W201" s="64"/>
      <c r="AB201" s="225"/>
      <c r="AC201" s="226"/>
      <c r="AD201" s="1"/>
      <c r="AE201" s="8"/>
      <c r="AG201" s="32"/>
      <c r="AH201" s="15"/>
      <c r="AI201" s="216"/>
      <c r="AJ201" s="225"/>
      <c r="AK201" s="9"/>
      <c r="AL201" s="28"/>
    </row>
    <row r="202" spans="3:38" ht="24.75" customHeight="1">
      <c r="C202" s="161"/>
      <c r="F202" s="12"/>
      <c r="G202" s="12"/>
      <c r="H202" s="1"/>
      <c r="I202" s="1"/>
      <c r="J202" s="1"/>
      <c r="K202" s="1"/>
      <c r="L202" s="1"/>
      <c r="M202" s="1"/>
      <c r="N202" s="1"/>
      <c r="O202" s="8"/>
      <c r="P202" s="176"/>
      <c r="Q202" s="169"/>
      <c r="R202" s="216"/>
      <c r="S202" s="216"/>
      <c r="T202" s="32"/>
      <c r="U202" s="8"/>
      <c r="W202" s="64"/>
      <c r="AB202" s="225"/>
      <c r="AC202" s="226"/>
      <c r="AD202" s="1"/>
      <c r="AE202" s="8"/>
      <c r="AG202" s="32"/>
      <c r="AH202" s="15"/>
      <c r="AI202" s="216"/>
      <c r="AJ202" s="225"/>
      <c r="AK202" s="9"/>
      <c r="AL202" s="28"/>
    </row>
    <row r="203" spans="3:38" ht="24.75" customHeight="1">
      <c r="C203" s="161"/>
      <c r="F203" s="12"/>
      <c r="G203" s="12"/>
      <c r="H203" s="1"/>
      <c r="I203" s="1"/>
      <c r="J203" s="1"/>
      <c r="K203" s="1"/>
      <c r="L203" s="1"/>
      <c r="M203" s="1"/>
      <c r="N203" s="1"/>
      <c r="O203" s="8"/>
      <c r="P203" s="176"/>
      <c r="Q203" s="169"/>
      <c r="R203" s="216"/>
      <c r="S203" s="216"/>
      <c r="T203" s="32"/>
      <c r="U203" s="8"/>
      <c r="W203" s="64"/>
      <c r="AB203" s="225"/>
      <c r="AC203" s="226"/>
      <c r="AD203" s="1"/>
      <c r="AE203" s="8"/>
      <c r="AG203" s="32"/>
      <c r="AH203" s="15"/>
      <c r="AI203" s="216"/>
      <c r="AJ203" s="225"/>
      <c r="AK203" s="9"/>
      <c r="AL203" s="28"/>
    </row>
    <row r="204" spans="3:38" ht="24.75" customHeight="1">
      <c r="C204" s="161"/>
      <c r="F204" s="12"/>
      <c r="G204" s="12"/>
      <c r="H204" s="1"/>
      <c r="I204" s="1"/>
      <c r="J204" s="1"/>
      <c r="K204" s="1"/>
      <c r="L204" s="1"/>
      <c r="M204" s="1"/>
      <c r="N204" s="1"/>
      <c r="O204" s="8"/>
      <c r="P204" s="176"/>
      <c r="Q204" s="169"/>
      <c r="R204" s="216"/>
      <c r="S204" s="216"/>
      <c r="T204" s="32"/>
      <c r="U204" s="8"/>
      <c r="W204" s="64"/>
      <c r="AB204" s="225"/>
      <c r="AC204" s="226"/>
      <c r="AD204" s="1"/>
      <c r="AE204" s="8"/>
      <c r="AG204" s="32"/>
      <c r="AH204" s="15"/>
      <c r="AI204" s="216"/>
      <c r="AJ204" s="225"/>
      <c r="AK204" s="9"/>
      <c r="AL204" s="28"/>
    </row>
    <row r="205" spans="3:38" ht="24.75" customHeight="1">
      <c r="C205" s="161"/>
      <c r="F205" s="12"/>
      <c r="G205" s="12"/>
      <c r="H205" s="1"/>
      <c r="I205" s="1"/>
      <c r="J205" s="1"/>
      <c r="K205" s="1"/>
      <c r="L205" s="1"/>
      <c r="M205" s="1"/>
      <c r="N205" s="1"/>
      <c r="O205" s="8"/>
      <c r="P205" s="176"/>
      <c r="Q205" s="169"/>
      <c r="R205" s="216"/>
      <c r="S205" s="216"/>
      <c r="T205" s="32"/>
      <c r="U205" s="8"/>
      <c r="W205" s="64"/>
      <c r="AB205" s="225"/>
      <c r="AC205" s="226"/>
      <c r="AD205" s="1"/>
      <c r="AE205" s="8"/>
      <c r="AG205" s="32"/>
      <c r="AH205" s="15"/>
      <c r="AI205" s="216"/>
      <c r="AJ205" s="225"/>
      <c r="AK205" s="9"/>
      <c r="AL205" s="28"/>
    </row>
    <row r="206" spans="3:38" ht="24.75" customHeight="1">
      <c r="C206" s="161"/>
      <c r="F206" s="12"/>
      <c r="G206" s="12"/>
      <c r="H206" s="1"/>
      <c r="I206" s="1"/>
      <c r="J206" s="1"/>
      <c r="K206" s="1"/>
      <c r="L206" s="1"/>
      <c r="M206" s="1"/>
      <c r="N206" s="1"/>
      <c r="O206" s="8"/>
      <c r="P206" s="176"/>
      <c r="Q206" s="169"/>
      <c r="R206" s="216"/>
      <c r="S206" s="216"/>
      <c r="T206" s="32"/>
      <c r="U206" s="8"/>
      <c r="W206" s="64"/>
      <c r="AB206" s="225"/>
      <c r="AC206" s="226"/>
      <c r="AD206" s="1"/>
      <c r="AE206" s="8"/>
      <c r="AG206" s="32"/>
      <c r="AH206" s="15"/>
      <c r="AI206" s="216"/>
      <c r="AJ206" s="225"/>
      <c r="AK206" s="9"/>
      <c r="AL206" s="28"/>
    </row>
    <row r="207" spans="3:38" ht="24.75" customHeight="1">
      <c r="C207" s="161"/>
      <c r="F207" s="12"/>
      <c r="G207" s="12"/>
      <c r="H207" s="1"/>
      <c r="I207" s="1"/>
      <c r="J207" s="1"/>
      <c r="K207" s="1"/>
      <c r="L207" s="1"/>
      <c r="M207" s="1"/>
      <c r="N207" s="1"/>
      <c r="O207" s="8"/>
      <c r="P207" s="176"/>
      <c r="Q207" s="169"/>
      <c r="R207" s="216"/>
      <c r="S207" s="216"/>
      <c r="T207" s="32"/>
      <c r="U207" s="8"/>
      <c r="W207" s="64"/>
      <c r="AB207" s="225"/>
      <c r="AC207" s="226"/>
      <c r="AD207" s="1"/>
      <c r="AE207" s="8"/>
      <c r="AG207" s="32"/>
      <c r="AH207" s="15"/>
      <c r="AI207" s="216"/>
      <c r="AJ207" s="225"/>
      <c r="AK207" s="9"/>
      <c r="AL207" s="28"/>
    </row>
    <row r="208" spans="3:38" ht="24.75" customHeight="1">
      <c r="C208" s="161"/>
      <c r="F208" s="12"/>
      <c r="G208" s="12"/>
      <c r="H208" s="1"/>
      <c r="I208" s="1"/>
      <c r="J208" s="1"/>
      <c r="K208" s="1"/>
      <c r="L208" s="1"/>
      <c r="M208" s="1"/>
      <c r="N208" s="1"/>
      <c r="O208" s="8"/>
      <c r="P208" s="176"/>
      <c r="Q208" s="169"/>
      <c r="R208" s="216"/>
      <c r="S208" s="216"/>
      <c r="T208" s="32"/>
      <c r="U208" s="8"/>
      <c r="W208" s="64"/>
      <c r="AB208" s="225"/>
      <c r="AC208" s="226"/>
      <c r="AD208" s="1"/>
      <c r="AE208" s="8"/>
      <c r="AG208" s="32"/>
      <c r="AH208" s="15"/>
      <c r="AI208" s="216"/>
      <c r="AJ208" s="225"/>
      <c r="AK208" s="9"/>
      <c r="AL208" s="28"/>
    </row>
    <row r="209" spans="3:38" ht="24.75" customHeight="1">
      <c r="C209" s="161"/>
      <c r="F209" s="12"/>
      <c r="G209" s="12"/>
      <c r="H209" s="1"/>
      <c r="I209" s="1"/>
      <c r="J209" s="1"/>
      <c r="K209" s="1"/>
      <c r="L209" s="1"/>
      <c r="M209" s="1"/>
      <c r="N209" s="1"/>
      <c r="O209" s="8"/>
      <c r="P209" s="176"/>
      <c r="Q209" s="169"/>
      <c r="R209" s="216"/>
      <c r="S209" s="216"/>
      <c r="T209" s="32"/>
      <c r="U209" s="8"/>
      <c r="W209" s="64"/>
      <c r="AB209" s="225"/>
      <c r="AC209" s="226"/>
      <c r="AD209" s="1"/>
      <c r="AE209" s="8"/>
      <c r="AG209" s="32"/>
      <c r="AH209" s="15"/>
      <c r="AI209" s="216"/>
      <c r="AJ209" s="225"/>
      <c r="AK209" s="9"/>
      <c r="AL209" s="28"/>
    </row>
    <row r="210" spans="3:38" ht="24.75" customHeight="1">
      <c r="C210" s="161"/>
      <c r="F210" s="12"/>
      <c r="G210" s="12"/>
      <c r="H210" s="1"/>
      <c r="I210" s="1"/>
      <c r="J210" s="1"/>
      <c r="K210" s="1"/>
      <c r="L210" s="1"/>
      <c r="M210" s="1"/>
      <c r="N210" s="1"/>
      <c r="O210" s="8"/>
      <c r="P210" s="176"/>
      <c r="Q210" s="169"/>
      <c r="R210" s="216"/>
      <c r="S210" s="216"/>
      <c r="T210" s="32"/>
      <c r="U210" s="8"/>
      <c r="W210" s="64"/>
      <c r="AB210" s="225"/>
      <c r="AC210" s="226"/>
      <c r="AD210" s="1"/>
      <c r="AE210" s="8"/>
      <c r="AG210" s="32"/>
      <c r="AH210" s="15"/>
      <c r="AI210" s="216"/>
      <c r="AJ210" s="225"/>
      <c r="AK210" s="9"/>
      <c r="AL210" s="28"/>
    </row>
    <row r="211" spans="3:38" ht="24.75" customHeight="1">
      <c r="C211" s="161"/>
      <c r="F211" s="12"/>
      <c r="G211" s="12"/>
      <c r="H211" s="1"/>
      <c r="I211" s="1"/>
      <c r="J211" s="1"/>
      <c r="K211" s="1"/>
      <c r="L211" s="1"/>
      <c r="M211" s="1"/>
      <c r="N211" s="1"/>
      <c r="O211" s="8"/>
      <c r="P211" s="176"/>
      <c r="Q211" s="169"/>
      <c r="R211" s="216"/>
      <c r="S211" s="216"/>
      <c r="T211" s="32"/>
      <c r="U211" s="8"/>
      <c r="W211" s="64"/>
      <c r="AB211" s="225"/>
      <c r="AC211" s="226"/>
      <c r="AD211" s="1"/>
      <c r="AE211" s="8"/>
      <c r="AG211" s="32"/>
      <c r="AH211" s="15"/>
      <c r="AI211" s="216"/>
      <c r="AJ211" s="225"/>
      <c r="AK211" s="9"/>
      <c r="AL211" s="28"/>
    </row>
    <row r="212" spans="3:38" ht="24.75" customHeight="1">
      <c r="C212" s="161"/>
      <c r="F212" s="12"/>
      <c r="G212" s="12"/>
      <c r="H212" s="1"/>
      <c r="I212" s="1"/>
      <c r="J212" s="1"/>
      <c r="K212" s="1"/>
      <c r="L212" s="1"/>
      <c r="M212" s="1"/>
      <c r="N212" s="1"/>
      <c r="O212" s="8"/>
      <c r="P212" s="176"/>
      <c r="Q212" s="169"/>
      <c r="R212" s="216"/>
      <c r="S212" s="216"/>
      <c r="T212" s="32"/>
      <c r="U212" s="8"/>
      <c r="W212" s="64"/>
      <c r="AB212" s="225"/>
      <c r="AC212" s="226"/>
      <c r="AD212" s="1"/>
      <c r="AE212" s="8"/>
      <c r="AG212" s="32"/>
      <c r="AH212" s="15"/>
      <c r="AI212" s="216"/>
      <c r="AJ212" s="225"/>
      <c r="AK212" s="9"/>
      <c r="AL212" s="28"/>
    </row>
    <row r="213" spans="3:38" ht="24.75" customHeight="1">
      <c r="C213" s="161"/>
      <c r="F213" s="12"/>
      <c r="G213" s="12"/>
      <c r="H213" s="1"/>
      <c r="I213" s="1"/>
      <c r="J213" s="1"/>
      <c r="K213" s="1"/>
      <c r="L213" s="1"/>
      <c r="M213" s="1"/>
      <c r="N213" s="1"/>
      <c r="O213" s="8"/>
      <c r="P213" s="176"/>
      <c r="Q213" s="169"/>
      <c r="R213" s="216"/>
      <c r="S213" s="216"/>
      <c r="T213" s="32"/>
      <c r="U213" s="8"/>
      <c r="W213" s="64"/>
      <c r="AB213" s="225"/>
      <c r="AC213" s="226"/>
      <c r="AD213" s="1"/>
      <c r="AE213" s="8"/>
      <c r="AG213" s="32"/>
      <c r="AH213" s="15"/>
      <c r="AI213" s="216"/>
      <c r="AJ213" s="225"/>
      <c r="AK213" s="9"/>
      <c r="AL213" s="28"/>
    </row>
    <row r="214" spans="3:38" ht="24.75" customHeight="1">
      <c r="C214" s="161"/>
      <c r="F214" s="12"/>
      <c r="G214" s="12"/>
      <c r="H214" s="1"/>
      <c r="I214" s="1"/>
      <c r="J214" s="1"/>
      <c r="K214" s="1"/>
      <c r="L214" s="1"/>
      <c r="M214" s="1"/>
      <c r="N214" s="1"/>
      <c r="O214" s="8"/>
      <c r="P214" s="176"/>
      <c r="Q214" s="169"/>
      <c r="R214" s="216"/>
      <c r="S214" s="216"/>
      <c r="T214" s="32"/>
      <c r="U214" s="8"/>
      <c r="W214" s="64"/>
      <c r="AB214" s="225"/>
      <c r="AC214" s="226"/>
      <c r="AD214" s="1"/>
      <c r="AE214" s="8"/>
      <c r="AG214" s="32"/>
      <c r="AH214" s="15"/>
      <c r="AI214" s="216"/>
      <c r="AJ214" s="225"/>
      <c r="AK214" s="9"/>
      <c r="AL214" s="28"/>
    </row>
    <row r="215" spans="3:38" ht="24.75" customHeight="1">
      <c r="C215" s="161"/>
      <c r="F215" s="12"/>
      <c r="G215" s="12"/>
      <c r="H215" s="1"/>
      <c r="I215" s="1"/>
      <c r="J215" s="1"/>
      <c r="K215" s="1"/>
      <c r="L215" s="1"/>
      <c r="M215" s="1"/>
      <c r="N215" s="1"/>
      <c r="O215" s="8"/>
      <c r="P215" s="176"/>
      <c r="Q215" s="169"/>
      <c r="R215" s="216"/>
      <c r="S215" s="216"/>
      <c r="T215" s="32"/>
      <c r="U215" s="8"/>
      <c r="W215" s="64"/>
      <c r="AB215" s="225"/>
      <c r="AC215" s="226"/>
      <c r="AD215" s="1"/>
      <c r="AE215" s="8"/>
      <c r="AG215" s="32"/>
      <c r="AH215" s="15"/>
      <c r="AI215" s="216"/>
      <c r="AJ215" s="225"/>
      <c r="AK215" s="9"/>
      <c r="AL215" s="28"/>
    </row>
    <row r="216" spans="3:38" ht="24.75" customHeight="1">
      <c r="C216" s="161"/>
      <c r="F216" s="12"/>
      <c r="G216" s="12"/>
      <c r="H216" s="1"/>
      <c r="I216" s="1"/>
      <c r="J216" s="1"/>
      <c r="K216" s="1"/>
      <c r="L216" s="1"/>
      <c r="M216" s="1"/>
      <c r="N216" s="1"/>
      <c r="O216" s="8"/>
      <c r="P216" s="176"/>
      <c r="Q216" s="169"/>
      <c r="R216" s="216"/>
      <c r="S216" s="216"/>
      <c r="T216" s="32"/>
      <c r="U216" s="8"/>
      <c r="W216" s="64"/>
      <c r="AB216" s="225"/>
      <c r="AC216" s="226"/>
      <c r="AD216" s="1"/>
      <c r="AE216" s="8"/>
      <c r="AG216" s="32"/>
      <c r="AH216" s="15"/>
      <c r="AI216" s="216"/>
      <c r="AJ216" s="225"/>
      <c r="AK216" s="9"/>
      <c r="AL216" s="28"/>
    </row>
    <row r="217" spans="3:38" ht="24.75" customHeight="1">
      <c r="C217" s="161"/>
      <c r="F217" s="12"/>
      <c r="G217" s="12"/>
      <c r="H217" s="1"/>
      <c r="I217" s="1"/>
      <c r="J217" s="1"/>
      <c r="K217" s="1"/>
      <c r="L217" s="1"/>
      <c r="M217" s="1"/>
      <c r="N217" s="1"/>
      <c r="O217" s="8"/>
      <c r="P217" s="176"/>
      <c r="Q217" s="169"/>
      <c r="R217" s="216"/>
      <c r="S217" s="216"/>
      <c r="T217" s="32"/>
      <c r="U217" s="8"/>
      <c r="W217" s="64"/>
      <c r="AB217" s="225"/>
      <c r="AC217" s="226"/>
      <c r="AD217" s="1"/>
      <c r="AE217" s="8"/>
      <c r="AG217" s="32"/>
      <c r="AH217" s="15"/>
      <c r="AI217" s="216"/>
      <c r="AJ217" s="225"/>
      <c r="AK217" s="9"/>
      <c r="AL217" s="28"/>
    </row>
    <row r="218" spans="3:38" ht="24.75" customHeight="1">
      <c r="C218" s="161"/>
      <c r="F218" s="12"/>
      <c r="G218" s="12"/>
      <c r="H218" s="1"/>
      <c r="I218" s="1"/>
      <c r="J218" s="1"/>
      <c r="K218" s="1"/>
      <c r="L218" s="1"/>
      <c r="M218" s="1"/>
      <c r="N218" s="1"/>
      <c r="O218" s="8"/>
      <c r="P218" s="176"/>
      <c r="Q218" s="169"/>
      <c r="R218" s="15"/>
      <c r="S218" s="15"/>
      <c r="T218" s="32"/>
      <c r="U218" s="8"/>
      <c r="W218" s="64"/>
      <c r="AB218" s="225"/>
      <c r="AC218" s="226"/>
      <c r="AD218" s="1"/>
      <c r="AE218" s="8"/>
      <c r="AG218" s="32"/>
      <c r="AH218" s="15"/>
      <c r="AI218" s="216"/>
      <c r="AJ218" s="225"/>
      <c r="AK218" s="9"/>
      <c r="AL218" s="28"/>
    </row>
    <row r="219" spans="3:38" ht="24.75" customHeight="1">
      <c r="C219" s="161"/>
      <c r="P219" s="176"/>
      <c r="Q219" s="173"/>
      <c r="R219" s="216"/>
      <c r="S219" s="216"/>
      <c r="AB219" s="221"/>
      <c r="AC219" s="259"/>
      <c r="AI219" s="216"/>
      <c r="AJ219" s="221"/>
    </row>
    <row r="220" spans="3:38" ht="24.75" customHeight="1">
      <c r="C220" s="161"/>
      <c r="P220" s="176"/>
      <c r="Q220" s="173"/>
      <c r="R220" s="216"/>
      <c r="S220" s="216"/>
      <c r="AB220" s="221"/>
      <c r="AC220" s="259"/>
      <c r="AI220" s="216"/>
      <c r="AJ220" s="221"/>
    </row>
    <row r="221" spans="3:38" ht="24.75" customHeight="1">
      <c r="C221" s="161"/>
      <c r="P221" s="176"/>
      <c r="Q221" s="173"/>
      <c r="R221" s="216"/>
      <c r="S221" s="216"/>
      <c r="AB221" s="221"/>
      <c r="AC221" s="259"/>
      <c r="AI221" s="216"/>
      <c r="AJ221" s="221"/>
    </row>
    <row r="222" spans="3:38" ht="24.75" customHeight="1">
      <c r="C222" s="161"/>
      <c r="P222" s="176"/>
      <c r="Q222" s="173"/>
      <c r="R222" s="216"/>
      <c r="S222" s="216"/>
      <c r="AB222" s="221"/>
      <c r="AC222" s="259"/>
      <c r="AI222" s="216"/>
      <c r="AJ222" s="221"/>
    </row>
    <row r="223" spans="3:38" ht="24.75" customHeight="1">
      <c r="C223" s="161"/>
      <c r="P223" s="176"/>
      <c r="Q223" s="173"/>
      <c r="R223" s="216"/>
      <c r="S223" s="216"/>
      <c r="AB223" s="221"/>
      <c r="AC223" s="259"/>
      <c r="AI223" s="216"/>
      <c r="AJ223" s="221"/>
    </row>
    <row r="224" spans="3:38" ht="24.75" customHeight="1">
      <c r="C224" s="161" t="s">
        <v>503</v>
      </c>
      <c r="P224" s="176"/>
      <c r="Q224" s="173"/>
      <c r="R224" s="216"/>
      <c r="S224" s="216"/>
      <c r="AB224" s="221"/>
      <c r="AC224" s="259"/>
      <c r="AI224" s="216"/>
      <c r="AJ224" s="221"/>
    </row>
    <row r="225" spans="3:36" ht="24.75" customHeight="1">
      <c r="C225" s="161" t="s">
        <v>503</v>
      </c>
      <c r="P225" s="176"/>
      <c r="Q225" s="173"/>
      <c r="R225" s="216"/>
      <c r="S225" s="216"/>
      <c r="AB225" s="221"/>
      <c r="AC225" s="259"/>
      <c r="AI225" s="216"/>
      <c r="AJ225" s="221"/>
    </row>
    <row r="226" spans="3:36" ht="24.75" customHeight="1">
      <c r="C226" s="161" t="s">
        <v>503</v>
      </c>
      <c r="P226" s="176"/>
      <c r="Q226" s="173"/>
      <c r="R226" s="216"/>
      <c r="S226" s="216"/>
      <c r="AB226" s="221"/>
      <c r="AC226" s="259"/>
      <c r="AI226" s="216"/>
      <c r="AJ226" s="221"/>
    </row>
    <row r="227" spans="3:36" ht="24.75" customHeight="1">
      <c r="C227" s="161" t="s">
        <v>503</v>
      </c>
      <c r="P227" s="176"/>
      <c r="Q227" s="173"/>
      <c r="R227" s="216"/>
      <c r="S227" s="216"/>
      <c r="AB227" s="221"/>
      <c r="AC227" s="259"/>
      <c r="AI227" s="216"/>
      <c r="AJ227" s="221"/>
    </row>
    <row r="228" spans="3:36" ht="24.75" customHeight="1">
      <c r="C228" s="161" t="s">
        <v>503</v>
      </c>
      <c r="R228" s="216"/>
      <c r="S228" s="216"/>
      <c r="AB228" s="221"/>
      <c r="AC228" s="259"/>
      <c r="AI228" s="216"/>
      <c r="AJ228" s="221"/>
    </row>
    <row r="229" spans="3:36" ht="24.75" customHeight="1">
      <c r="C229" s="161" t="s">
        <v>503</v>
      </c>
      <c r="R229" s="216"/>
      <c r="S229" s="216"/>
      <c r="AB229" s="221"/>
      <c r="AC229" s="259"/>
      <c r="AI229" s="216"/>
      <c r="AJ229" s="221"/>
    </row>
    <row r="230" spans="3:36" ht="24.75" customHeight="1">
      <c r="C230" s="161" t="s">
        <v>503</v>
      </c>
      <c r="R230" s="216"/>
      <c r="S230" s="216"/>
      <c r="AB230" s="221"/>
      <c r="AC230" s="259"/>
      <c r="AI230" s="216"/>
      <c r="AJ230" s="221"/>
    </row>
    <row r="231" spans="3:36" ht="24.75" customHeight="1">
      <c r="C231" s="161" t="s">
        <v>503</v>
      </c>
      <c r="R231" s="216"/>
      <c r="S231" s="216"/>
      <c r="AB231" s="221"/>
      <c r="AC231" s="259"/>
      <c r="AI231" s="216"/>
      <c r="AJ231" s="221"/>
    </row>
    <row r="232" spans="3:36" ht="24.75" customHeight="1">
      <c r="C232" s="161" t="s">
        <v>503</v>
      </c>
      <c r="R232" s="216"/>
      <c r="S232" s="216"/>
      <c r="AB232" s="221"/>
      <c r="AC232" s="259"/>
      <c r="AI232" s="216"/>
      <c r="AJ232" s="221"/>
    </row>
  </sheetData>
  <autoFilter ref="A1:AL1" xr:uid="{B4B03264-199A-4886-857D-303C27604CC4}"/>
  <conditionalFormatting sqref="C1:C1048576">
    <cfRule type="containsText" dxfId="12" priority="14" operator="containsText" text="EN TRANSITO">
      <formula>NOT(ISERROR(SEARCH("EN TRANSITO",C1)))</formula>
    </cfRule>
    <cfRule type="containsText" dxfId="11" priority="15" operator="containsText" text="DESPACHADO">
      <formula>NOT(ISERROR(SEARCH("DESPACHADO",C1)))</formula>
    </cfRule>
    <cfRule type="containsText" dxfId="10" priority="16" operator="containsText" text="LIBERADO">
      <formula>NOT(ISERROR(SEARCH("LIBERADO",C1)))</formula>
    </cfRule>
    <cfRule type="containsText" dxfId="9" priority="17" operator="containsText" text="EN ALMACEN">
      <formula>NOT(ISERROR(SEARCH("EN ALMACEN",C1)))</formula>
    </cfRule>
  </conditionalFormatting>
  <conditionalFormatting sqref="C33">
    <cfRule type="containsText" dxfId="8" priority="1" operator="containsText" text="ARRIBADA EN PUERTO">
      <formula>NOT(ISERROR(SEARCH("ARRIBADA EN PUERTO",C33)))</formula>
    </cfRule>
  </conditionalFormatting>
  <conditionalFormatting sqref="C43">
    <cfRule type="containsText" dxfId="7" priority="13" operator="containsText" text="ARRIBADA EN PUERTO">
      <formula>NOT(ISERROR(SEARCH("ARRIBADA EN PUERTO",C43)))</formula>
    </cfRule>
  </conditionalFormatting>
  <conditionalFormatting sqref="D1:D1048576 AC44:AC59 AC61:AC64 AC66:AC68 AC70:AC103 AC106:AC120 AC122:AC123 AC125:AC129 AC131 AC133:AC1048576">
    <cfRule type="containsText" dxfId="6" priority="12" operator="containsText" text="PENDIENTE">
      <formula>NOT(ISERROR(SEARCH("PENDIENTE",D1)))</formula>
    </cfRule>
  </conditionalFormatting>
  <conditionalFormatting sqref="D1:D1048576">
    <cfRule type="containsText" dxfId="5" priority="11" operator="containsText" text="EMITIDA">
      <formula>NOT(ISERROR(SEARCH("EMITIDA",D1)))</formula>
    </cfRule>
  </conditionalFormatting>
  <conditionalFormatting sqref="E1:E58 E60:E1048576">
    <cfRule type="containsBlanks" dxfId="4" priority="9">
      <formula>LEN(TRIM(E1))=0</formula>
    </cfRule>
  </conditionalFormatting>
  <conditionalFormatting sqref="AB1:AB32 AB34 AB36:AB57 AB60:AB61 AB63:AB66 AB68:AB76 AB78:AB98 AB100:AB103 AB105:AB108 AB111:AB116 AB118:AB121 AB123:AB128 AB131:AB1048576">
    <cfRule type="containsText" dxfId="3" priority="2" operator="containsText" text="PENDIENTE">
      <formula>NOT(ISERROR(SEARCH("PENDIENTE",AB1)))</formula>
    </cfRule>
  </conditionalFormatting>
  <conditionalFormatting sqref="AC1:AC42">
    <cfRule type="containsText" dxfId="2" priority="3" operator="containsText" text="PENDIENTE">
      <formula>NOT(ISERROR(SEARCH("PENDIENTE",AC1)))</formula>
    </cfRule>
  </conditionalFormatting>
  <conditionalFormatting sqref="AG1:AG10 AG12:AG29 AG31:AG32 AG35:AG39 AG42:AG54 AH56 AG57 AG59 AG61:AG62 AG64:AG69 AG71:AG73 AG75:AG83 AG85 AG87:AG90 AG92:AG101 AG103:AG112 AG114:AG118 AG120 AG122:AG127 AG129 AG131 AG133:AG137 AG139:AG1048576">
    <cfRule type="containsText" dxfId="1" priority="4" operator="containsText" text="PENDIENTE">
      <formula>NOT(ISERROR(SEARCH("PENDIENTE",AG1)))</formula>
    </cfRule>
  </conditionalFormatting>
  <conditionalFormatting sqref="AH1:AH36 AH38 AH40:AH51 AH53:AH62 AH64:AH72 AH75 AH79:AH84 AH86 AH88:AH101 AH103:AH112 AH114 AH116:AH121 AH123:AH131 AH133:AH1048576">
    <cfRule type="containsText" dxfId="0" priority="5" operator="containsText" text="PENDIENTE">
      <formula>NOT(ISERROR(SEARCH("PENDIENTE",AH1)))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46 C148:C232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E2" r:id="rId35" display="4090179930" xr:uid="{8930EA32-2DB6-4003-A422-57D1DD69C713}"/>
    <hyperlink ref="AE3" r:id="rId36" display="4090179947" xr:uid="{C2C776D6-C9A8-4954-BC49-541C88667221}"/>
    <hyperlink ref="AE4" r:id="rId37" display="4090179972" xr:uid="{B2555356-C8FD-4F62-B11E-296137ABCA21}"/>
    <hyperlink ref="AE5" r:id="rId38" display="4090180001" xr:uid="{69B161D8-C173-47D6-84DF-78083F7DE115}"/>
    <hyperlink ref="AE9" r:id="rId39" display="4090180057" xr:uid="{FA7CC50C-5E4E-4767-9E41-DFFADDEC7B3D}"/>
    <hyperlink ref="AE10" r:id="rId40" display="4090180059" xr:uid="{373520F7-470B-40BC-A5BC-D5D31EA5F68A}"/>
    <hyperlink ref="AE11" r:id="rId41" display="4090180066" xr:uid="{B199BCD7-999D-4581-9F59-28B17808CA86}"/>
    <hyperlink ref="AE12" r:id="rId42" display="4090180067" xr:uid="{1F8A462B-171C-4BA2-BD41-F2EDF407DED5}"/>
    <hyperlink ref="AE13" r:id="rId43" display="4090180070" xr:uid="{8BFBC5B3-281F-4BB2-8A05-14F274D2F4B0}"/>
    <hyperlink ref="AE14" r:id="rId44" display="4090180072" xr:uid="{1B3BBF75-822C-4255-B0BF-BB1E4DEF5CB1}"/>
    <hyperlink ref="AE15" r:id="rId45" display="4090180073" xr:uid="{1CB56625-F89D-4458-A990-90FBB2D5D474}"/>
    <hyperlink ref="AE16" r:id="rId46" display="4090180074" xr:uid="{0D17A1AD-E1F1-433D-B11A-DAA9C404F13A}"/>
    <hyperlink ref="AE17" r:id="rId47" display="4090180075" xr:uid="{27787B12-0C3C-44AC-940E-7606AB714B4C}"/>
    <hyperlink ref="AE18" r:id="rId48" display="4090180109" xr:uid="{73FC1381-B80C-4113-97F5-798C7897F36D}"/>
    <hyperlink ref="AE19" r:id="rId49" display="4090180110" xr:uid="{A27DD4EB-0F5C-4FF6-80D7-40EA539BCBBC}"/>
    <hyperlink ref="AE20" r:id="rId50" display="4090180112" xr:uid="{885564B3-9CFE-4F69-B06B-213CB9C92B1F}"/>
    <hyperlink ref="AE21" r:id="rId51" display="4090180114" xr:uid="{645300AA-0FF3-4998-BA0E-96FF48961E92}"/>
    <hyperlink ref="AE22" r:id="rId52" display="4090180115" xr:uid="{8362DA7D-8488-498E-B89A-AD4D787074A6}"/>
    <hyperlink ref="AE23" r:id="rId53" display="4090180133" xr:uid="{4B0000A1-FE48-4E02-8621-6FFF93A06776}"/>
    <hyperlink ref="AE24" r:id="rId54" display="4090180136" xr:uid="{2F72F3E4-EA48-4F38-8700-14C0D839290E}"/>
    <hyperlink ref="AE25" r:id="rId55" display="4090180137" xr:uid="{2AE64D88-AEC4-4C48-A80D-FE61839A4B47}"/>
    <hyperlink ref="AE26" r:id="rId56" display="4090180139" xr:uid="{9AD7934F-4793-4722-A016-83ECDA89325F}"/>
    <hyperlink ref="AE27" r:id="rId57" display="4090180145" xr:uid="{6229A0B9-61C4-42AD-B2A9-58D80DF1D136}"/>
    <hyperlink ref="AE28" r:id="rId58" display="4090180146" xr:uid="{CE6F043E-F282-4261-A502-FB612CC59ECE}"/>
    <hyperlink ref="AE29" r:id="rId59" display="4090180147" xr:uid="{7F637BD2-AA02-44C2-8B36-AE27C287F006}"/>
    <hyperlink ref="AE30" r:id="rId60" display="4090180152" xr:uid="{7DA3AD15-A336-48C8-8C41-E903E0FEAC0E}"/>
    <hyperlink ref="AE31" r:id="rId61" display="4090180153" xr:uid="{19B4E9B4-36CC-4BA0-8CCB-6D3BAE4DA3DB}"/>
    <hyperlink ref="AE32" r:id="rId62" display="4090180154" xr:uid="{99169E9F-1C45-4A18-830F-6B2A7FA10B61}"/>
    <hyperlink ref="AE33" r:id="rId63" display="4090180178" xr:uid="{B1376EB0-831D-423C-86A6-4AA0D83890FA}"/>
    <hyperlink ref="AE34" r:id="rId64" display="4090180180" xr:uid="{12E0CF3B-7EDA-455D-A99E-3C040EFD75D0}"/>
    <hyperlink ref="AE35" r:id="rId65" display="4090180181" xr:uid="{294BC336-0510-416A-BEFD-CDDDF8157C76}"/>
    <hyperlink ref="AE36" r:id="rId66" display="4090180183" xr:uid="{C8CD6CB2-170B-4E53-B870-36AC472FC35C}"/>
    <hyperlink ref="AE37" r:id="rId67" display="4090180184" xr:uid="{A22861AA-954F-422D-B45C-8130470DAF2F}"/>
    <hyperlink ref="AE38" r:id="rId68" display="4090180186" xr:uid="{EF25CA9F-D073-4ED3-A2B4-26C578DB63F8}"/>
    <hyperlink ref="AE39" r:id="rId69" display="4090180188" xr:uid="{404417C7-4FA1-4D03-B592-8135D29917E9}"/>
    <hyperlink ref="AE40" r:id="rId70" display="4090180190" xr:uid="{28B352EF-A283-410C-BBE1-037CDE1A7834}"/>
    <hyperlink ref="AE41" r:id="rId71" display="4090180192" xr:uid="{57521FCC-0EB7-4E2A-B7D0-CE58E9689993}"/>
    <hyperlink ref="AE42" r:id="rId72" display="4090180193" xr:uid="{E5ADBCDB-D2B4-44A2-B22A-6C564BA7BC78}"/>
    <hyperlink ref="AE43" r:id="rId73" display="4090180195" xr:uid="{05CD15ED-80E6-4275-92E0-0970192296BD}"/>
    <hyperlink ref="AE44" r:id="rId74" display="4090180196" xr:uid="{C3D05E78-37FE-4361-B91C-45DA3192F571}"/>
    <hyperlink ref="AE45" r:id="rId75" display="4090180198" xr:uid="{7AF51E6D-1CF7-48C2-B8FD-090E72111DD6}"/>
    <hyperlink ref="AE46" r:id="rId76" display="4090180199" xr:uid="{C7315F78-CC08-4AC4-B87B-EFF3DBE35B57}"/>
    <hyperlink ref="AE47" r:id="rId77" display="4090180201" xr:uid="{B038472F-FE60-4562-BD4D-639ADD8E9713}"/>
    <hyperlink ref="AE48" r:id="rId78" display="4090180202" xr:uid="{30EFE396-CBCC-45D8-BA7F-3BC296825A44}"/>
    <hyperlink ref="AE49" r:id="rId79" display="4090180213" xr:uid="{4F668229-009C-4246-9ABA-6AC7DB640972}"/>
    <hyperlink ref="AE50" r:id="rId80" display="4090180226" xr:uid="{BBBE7A0E-26FD-4931-8F3E-8DE8A57A338A}"/>
    <hyperlink ref="AE51" r:id="rId81" display="4090180228" xr:uid="{4F1618A6-B9C7-4492-A813-AA84E9A2F0B3}"/>
    <hyperlink ref="AE53" r:id="rId82" display="4090180242" xr:uid="{8434F620-183B-4ADE-9B3E-2B2A4385F8A3}"/>
    <hyperlink ref="AE54" r:id="rId83" display="4090180249" xr:uid="{5A8A65D5-5DA9-4D4E-8F8C-97036D8D4701}"/>
    <hyperlink ref="AE55" r:id="rId84" display="4090180257" xr:uid="{7E86B25E-ACF4-4683-A1E4-49551CD81D45}"/>
    <hyperlink ref="AE57" r:id="rId85" display="4090180263" xr:uid="{3657C55F-FD7B-49A4-AC3E-B15BBA99C856}"/>
    <hyperlink ref="AE6" r:id="rId86" display="4090180023" xr:uid="{E74AAF63-9813-4148-9DB3-189D7C647F76}"/>
    <hyperlink ref="AE7" r:id="rId87" display="4090180040" xr:uid="{F9A2FBA4-7FBE-4D05-8E5E-48B42C781863}"/>
    <hyperlink ref="AE8" r:id="rId88" display="4090180056" xr:uid="{29CC7CEF-9A3A-470A-916D-7113EB17F849}"/>
    <hyperlink ref="AF2" r:id="rId89" display="06/03/2026 17:25" xr:uid="{B8D899CC-EE25-4439-B6ED-6BC1FFF9D00C}"/>
    <hyperlink ref="AF3" r:id="rId90" display="04/03/2026 13:17" xr:uid="{098BDA95-513E-47A1-965B-981FDD0E579E}"/>
    <hyperlink ref="AF4" r:id="rId91" display="04/03/2026 15:40" xr:uid="{6893D9EF-05D9-4A1A-87E2-434217E0D0CD}"/>
    <hyperlink ref="AF5" r:id="rId92" display="06/03/2026" xr:uid="{2B96B0CE-85A6-436C-82D7-58C5F149152F}"/>
    <hyperlink ref="AF6" r:id="rId93" display="04/03/2026" xr:uid="{3E01BBB4-9E45-4254-972A-91FBCB90E9CC}"/>
    <hyperlink ref="AF7" r:id="rId94" display="03/03/2026" xr:uid="{30CD46D7-8EE2-4CE5-9536-8742BF3F0AFF}"/>
    <hyperlink ref="AF8" r:id="rId95" display="06/03/2026" xr:uid="{FD77DE1F-3292-4422-9B4E-6EF57D437B10}"/>
    <hyperlink ref="AF9" r:id="rId96" display="03/03/2026" xr:uid="{3E4D81F1-25EF-4723-BA90-268DA69412B5}"/>
    <hyperlink ref="AF10" r:id="rId97" display="06/03/2026" xr:uid="{C0CE373D-8B3E-4A56-B94B-C7EAEEC26470}"/>
    <hyperlink ref="AF13" r:id="rId98" display="04/03/2026" xr:uid="{45679808-198A-4D6A-A15E-BAA2FD3F9C38}"/>
    <hyperlink ref="AF14" r:id="rId99" display="04/03/2026" xr:uid="{59E79E3C-D863-4CA0-9F12-9E03B29A55EE}"/>
    <hyperlink ref="AF15" r:id="rId100" display="04/03/2026" xr:uid="{ED4C1DE8-6FCC-4916-9104-2F4DED578629}"/>
    <hyperlink ref="AF16" r:id="rId101" display="06/03/2026" xr:uid="{578850AF-3E3C-4D79-88E9-C9B7F8B7269C}"/>
    <hyperlink ref="AF19" r:id="rId102" display="06/03/2026" xr:uid="{71678E1E-B1D0-4D70-A8C1-3B58C1279D31}"/>
    <hyperlink ref="AF20" r:id="rId103" display="06/03/2026" xr:uid="{A826E5C3-2D76-4C71-9C8A-0452D399AABE}"/>
    <hyperlink ref="AF24" r:id="rId104" display="06/03/2026" xr:uid="{643898AA-4D73-40D9-BB58-F5A3E5718EE0}"/>
    <hyperlink ref="AF25" r:id="rId105" display="04/03/2026" xr:uid="{CB562403-7448-4BC5-95B4-6572B542EE3C}"/>
    <hyperlink ref="AF27" r:id="rId106" display="07/03/2026" xr:uid="{5BFA836D-AD1B-4D34-AC17-B9190D69049A}"/>
    <hyperlink ref="AF28" r:id="rId107" display="05/03/2026" xr:uid="{2A926FE1-A8E8-4521-87EF-4D9E5C387A68}"/>
    <hyperlink ref="AF29" r:id="rId108" display="04/03/2026" xr:uid="{AD293F16-4739-4766-A493-7B3430D227D1}"/>
    <hyperlink ref="AF38" r:id="rId109" display="06/03/2026" xr:uid="{05477BB3-8ED4-450B-8EF0-9016152E18B4}"/>
    <hyperlink ref="AF42" r:id="rId110" display="06/03/2026" xr:uid="{5995A39B-CA13-46AC-9F63-FC6D43CC51BC}"/>
    <hyperlink ref="AF45" r:id="rId111" display="05/03/2026" xr:uid="{23E05DA3-B29E-435F-BC6C-C5FEEEE3F76E}"/>
    <hyperlink ref="AF47" r:id="rId112" display="05/03/2026" xr:uid="{977C35D5-F31E-4645-8B91-37B2093E7517}"/>
    <hyperlink ref="AF49" r:id="rId113" display="06/03/2026" xr:uid="{1695B1EE-1118-4916-84F4-FC61CCD057C6}"/>
    <hyperlink ref="AE56" r:id="rId114" display="4090180261" xr:uid="{69B3FC5F-E247-461F-A433-0233498EFF5C}"/>
    <hyperlink ref="AE52" r:id="rId115" display="4090180230" xr:uid="{5BC566B8-43EB-41C0-9709-C18CC1D943D4}"/>
    <hyperlink ref="AF12" r:id="rId116" display="09/03/2026" xr:uid="{CB6F0284-F444-412B-9D22-C99F3BAE9193}"/>
    <hyperlink ref="AF46" r:id="rId117" display="09/03/2026" xr:uid="{7F1A2F28-DAEB-401C-8DEA-4500B452047B}"/>
    <hyperlink ref="AF48" r:id="rId118" display="09/03/2026" xr:uid="{EEAE1BC8-89A6-4E38-AE39-8929D8D0B155}"/>
    <hyperlink ref="AF50" r:id="rId119" display="09/03/2026" xr:uid="{B8896067-8877-4BBA-88FE-0D7CB53BDCF4}"/>
    <hyperlink ref="AF51" r:id="rId120" display="09/03/2026" xr:uid="{3A06AE19-CA35-4563-9E15-2374B89ED708}"/>
    <hyperlink ref="AF54" r:id="rId121" display="09/03/2026" xr:uid="{D9D82FD8-FBA4-401D-8A4F-B2AB1A7B0DDF}"/>
    <hyperlink ref="AF17" r:id="rId122" display="06/03/2026" xr:uid="{4059AB58-EA68-4B58-A181-F00AE4A2F773}"/>
    <hyperlink ref="AF21" r:id="rId123" display="06/03/2026" xr:uid="{191E2346-422F-4312-A3E4-54435E2E408C}"/>
    <hyperlink ref="AF22" r:id="rId124" display="09/03/2026" xr:uid="{4A205AC9-DE4E-4F39-9836-F65B1F85FCF6}"/>
    <hyperlink ref="AF37" r:id="rId125" display="09/03/2026" xr:uid="{ACC04394-A8D1-4CC5-9B92-B023C3730368}"/>
    <hyperlink ref="AF44" r:id="rId126" display="09/03/2026" xr:uid="{2424338C-3D91-48D0-9287-565DA6E1B296}"/>
    <hyperlink ref="AF53" r:id="rId127" display="09/03/2026" xr:uid="{0EFCDCD5-9A77-49F4-B7A9-C2C4A43655BE}"/>
    <hyperlink ref="AF55" r:id="rId128" display="09/03/2026" xr:uid="{FC9689CE-4B23-444E-A21C-C37B83C085A0}"/>
    <hyperlink ref="AF18" r:id="rId129" display="06/03/2026" xr:uid="{58101D93-9877-4E7C-9A60-922950891ECB}"/>
    <hyperlink ref="AF23" r:id="rId130" display="09/03/2026" xr:uid="{85AA2C09-66FD-4E81-86C3-CE776F367FAD}"/>
    <hyperlink ref="AF26" r:id="rId131" display="09/03/2026" xr:uid="{D8AA01B5-938C-4946-A230-16D60A9AF677}"/>
    <hyperlink ref="AF31" r:id="rId132" display="07/03/2026" xr:uid="{4E023B93-D386-49A3-BA6D-DABD2D72E54E}"/>
    <hyperlink ref="AF32" r:id="rId133" display="09/03/2026" xr:uid="{C74285FE-F249-4D40-AF7C-36A1E9FA0F49}"/>
    <hyperlink ref="AE58" r:id="rId134" display="4090180265" xr:uid="{24FE41A8-00ED-4C37-A525-D8486C8B1B74}"/>
    <hyperlink ref="AE63" r:id="rId135" display="4090180290" xr:uid="{46D20AF8-9775-4DAD-96E1-07D29974C3B2}"/>
    <hyperlink ref="AE65" r:id="rId136" display="4090180292" xr:uid="{4BCF86EA-058B-4C7B-A86A-A3D83AA8261B}"/>
    <hyperlink ref="AE59" r:id="rId137" display="4090180284" xr:uid="{A8BEB75C-CE2E-4151-9684-B2C99954E92A}"/>
    <hyperlink ref="AF11" r:id="rId138" display="09/03/2026" xr:uid="{9A8A954B-47BC-4F77-8AEA-F4A0DF08DCAE}"/>
    <hyperlink ref="AF35" r:id="rId139" display="10/03/2026" xr:uid="{48DE3500-1834-497F-9F1E-0EF99259BD1C}"/>
    <hyperlink ref="AF39" r:id="rId140" display="10/03/2026" xr:uid="{B2BBD44D-8102-476E-87F2-57D502F2E143}"/>
    <hyperlink ref="AF30" r:id="rId141" display="10/03/2026" xr:uid="{C499CDB4-ECC1-4304-9789-662CBF886C08}"/>
    <hyperlink ref="AF33" r:id="rId142" display="10/03/2026" xr:uid="{A444E740-B9AC-4EF4-B70F-D4193E45D9D2}"/>
    <hyperlink ref="AF34" r:id="rId143" display="09/03/2026" xr:uid="{C0ACD0E6-2681-4030-B632-F68316844D18}"/>
    <hyperlink ref="AF41" r:id="rId144" display="09/03/2026" xr:uid="{E0B3E835-2399-4824-824F-FE2EDFFD6DEB}"/>
    <hyperlink ref="AF43" r:id="rId145" display="10/03/2026" xr:uid="{A1CCB845-6F5D-4DDD-BC48-2ABFECB59EB6}"/>
    <hyperlink ref="AF79" r:id="rId146" display="11/03/2026" xr:uid="{45C7B58A-FD6A-44DE-A616-DD5A664D0537}"/>
    <hyperlink ref="AF80" r:id="rId147" display="10/03/2026" xr:uid="{FFEC7FA0-E1DD-4BD2-B6CA-520F953693F0}"/>
    <hyperlink ref="AF57" r:id="rId148" display="10/03/2026" xr:uid="{064BBC9E-77B9-45ED-B1F3-51075591B424}"/>
    <hyperlink ref="AE80" r:id="rId149" display="4090180338" xr:uid="{D7930A5C-71AA-4BBA-AE0F-F3034FCF232D}"/>
    <hyperlink ref="AE79" r:id="rId150" display="4090180334" xr:uid="{770A3172-C7D5-480B-9A9C-7C3D5204514B}"/>
    <hyperlink ref="AE73" r:id="rId151" display="4090180320" xr:uid="{C0C63C2D-D7AE-42DA-80B1-187FFD0D9C47}"/>
    <hyperlink ref="AE72" r:id="rId152" display="4090180319" xr:uid="{9664B1D2-2B65-4584-A18D-4AB0ACA0ED1D}"/>
    <hyperlink ref="AE71" r:id="rId153" display="4090180318" xr:uid="{C07423CC-E69E-41F1-B886-F7FA43FB7700}"/>
    <hyperlink ref="AE68" r:id="rId154" display="4090180312" xr:uid="{666858A7-8D61-4614-8668-9B039B141F67}"/>
    <hyperlink ref="AE67" r:id="rId155" display="4090180311" xr:uid="{52DEA386-0078-4EC3-A4C7-2586260F6FCB}"/>
    <hyperlink ref="AE66" r:id="rId156" display="4090180293" xr:uid="{412AA502-01A4-4602-96C3-C4D6CE3BA41A}"/>
    <hyperlink ref="AE64" r:id="rId157" display="4090180291" xr:uid="{DFFC3635-9BB2-4639-9F1D-55BC010E6335}"/>
    <hyperlink ref="AE62" r:id="rId158" display="4090180289" xr:uid="{57B04081-13EE-4AAD-B3FE-D7FB8ACC12A4}"/>
    <hyperlink ref="AE61" r:id="rId159" display="4090180288" xr:uid="{01C65B50-2B0C-4060-A3DD-AB59614E90F9}"/>
    <hyperlink ref="AE60" r:id="rId160" display="4090180286" xr:uid="{C2FA0250-7DA4-4EFA-A018-5D61A40BB5B2}"/>
    <hyperlink ref="AE75" r:id="rId161" display="4090180329" xr:uid="{C45B0691-CCF2-4098-A5B1-79C38AF7BB9E}"/>
    <hyperlink ref="AF56" r:id="rId162" display="11/03/2026" xr:uid="{2A632AF9-EA13-415F-8D96-F567A3EF394E}"/>
    <hyperlink ref="AF58" r:id="rId163" display="11/03/2026" xr:uid="{1BAFE017-3B45-47A1-A5C1-429BCD282742}"/>
    <hyperlink ref="AF59" r:id="rId164" display="11/03/2026" xr:uid="{6F064C8E-651F-4544-975C-7F855B858711}"/>
    <hyperlink ref="AF75" r:id="rId165" display="11/03/2026" xr:uid="{C3214585-8622-4BA6-9959-748FFF960CC5}"/>
    <hyperlink ref="AE76" r:id="rId166" display="4090180331" xr:uid="{BFF1695B-C1F4-44CE-98A8-1ABC2774A505}"/>
    <hyperlink ref="AE81" r:id="rId167" display="4090180339" xr:uid="{0F02EC50-404F-406D-AB35-7FC37797E33F}"/>
    <hyperlink ref="AE69" r:id="rId168" display="4090180313" xr:uid="{F3840030-4D25-440B-AB3B-31355806BFF3}"/>
    <hyperlink ref="AE77" r:id="rId169" display="4090180332" xr:uid="{29124C39-C757-4F91-B8E0-8BCBEFBCB9C4}"/>
    <hyperlink ref="AE78" r:id="rId170" display="4090180333" xr:uid="{66DE26D8-CE15-4EA4-9DEE-1E1838378D58}"/>
    <hyperlink ref="AE82" r:id="rId171" display="4090180340" xr:uid="{FA175C87-BCBC-4DB4-A69B-9CDB6680AAD7}"/>
    <hyperlink ref="AE83" r:id="rId172" display="4090180341" xr:uid="{C12EB6B7-0579-4C30-BBCC-C6FA5C21E406}"/>
    <hyperlink ref="AE84" r:id="rId173" display="4090180356" xr:uid="{A8A8C313-0BAB-4B39-A301-2925FB48F9D1}"/>
    <hyperlink ref="AE85" r:id="rId174" display="4090180357" xr:uid="{3C5459DD-05B9-463B-ADD7-75049C501213}"/>
    <hyperlink ref="AE91" r:id="rId175" display="4090180366" xr:uid="{4F5D2669-F2FA-49DF-B0FC-FDBD8C116973}"/>
    <hyperlink ref="AF85" r:id="rId176" display="12/03/2026" xr:uid="{90EC2EFF-017D-4EDA-B702-6A5A6BEF3073}"/>
    <hyperlink ref="AF84" r:id="rId177" display="12/03/2026" xr:uid="{BBADCC07-B04F-4FD6-8F4C-CE46AA5DD8D8}"/>
    <hyperlink ref="AF76" r:id="rId178" display="12/03/2026" xr:uid="{32850A03-8BC5-496F-B3BF-DF813143EF10}"/>
    <hyperlink ref="AE87" r:id="rId179" display="4090180359" xr:uid="{98A0CE9F-B214-4ADA-B064-0E293750BAD9}"/>
    <hyperlink ref="AE92" r:id="rId180" display="4090180369" xr:uid="{16B8E9BB-2639-49A9-B955-0D6F1AB83B8D}"/>
    <hyperlink ref="AE74" r:id="rId181" display="4090180328" xr:uid="{E09340C9-9ED0-4E47-8E0C-49306336684A}"/>
    <hyperlink ref="AE70" r:id="rId182" display="4090180314" xr:uid="{618D55FC-60A6-4060-9DCD-3145B8633B3C}"/>
    <hyperlink ref="AE88" r:id="rId183" display="4090180360" xr:uid="{D3530AB1-14FB-48B4-941E-007E1385EC56}"/>
    <hyperlink ref="AE90" r:id="rId184" display="4090180365" xr:uid="{FC25A46F-4CD5-4281-BD84-4ECE6829B4B8}"/>
    <hyperlink ref="AE94" r:id="rId185" display="4090180385" xr:uid="{DB12148C-FFA7-40CD-8E8C-A52ABE3FEB99}"/>
    <hyperlink ref="AE100" r:id="rId186" display="4090180407" xr:uid="{D5ED98D1-5ED4-4BD7-B088-841E095DC1A3}"/>
    <hyperlink ref="AE99" r:id="rId187" display="4090180405" xr:uid="{8E928C9B-6947-4EBA-9809-BB0FC33836EA}"/>
    <hyperlink ref="AE103" r:id="rId188" display="4090180410" xr:uid="{7EDDDB60-F767-440A-8C50-2F0203D7FF31}"/>
    <hyperlink ref="AE95" r:id="rId189" display="4090180400" xr:uid="{8170E5FA-0235-459B-A473-87431B2970FA}"/>
    <hyperlink ref="AE96" r:id="rId190" display="4090180401" xr:uid="{74E5B42E-31CC-4267-8726-7D0366595552}"/>
    <hyperlink ref="AE102" r:id="rId191" display="4090180409" xr:uid="{9FAC91F4-F9CC-424E-A812-13F019C2CC01}"/>
    <hyperlink ref="AE107" r:id="rId192" display="4090180418" xr:uid="{D7AD21BA-D705-4DDC-A30D-ACD47DC4119F}"/>
    <hyperlink ref="AE108" r:id="rId193" display="4090180419" xr:uid="{3A0B0492-6C2F-4FED-BC39-922DB2823B97}"/>
    <hyperlink ref="D60" r:id="rId194" xr:uid="{45A3ED28-A6D1-4942-8E79-05280BFCA93E}"/>
    <hyperlink ref="AE105" r:id="rId195" display="4090180412" xr:uid="{760D9F20-8774-4A94-B374-12EC4DB14823}"/>
    <hyperlink ref="AF70" r:id="rId196" display="13/03/2026" xr:uid="{6A5A8101-AC8E-40F1-AA76-C8897C486692}"/>
    <hyperlink ref="AF74" r:id="rId197" display="13/03/2026" xr:uid="{FAFC76C2-9AEC-43A3-AB09-40A53B010DB2}"/>
    <hyperlink ref="AE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E93" r:id="rId201" display="4090180370" xr:uid="{F0BCBF22-6E2B-4727-804C-557AEE1E5B73}"/>
    <hyperlink ref="AE86" r:id="rId202" display="4090180358" xr:uid="{726A5CE3-B538-49A7-83B0-9E1DB53513D4}"/>
    <hyperlink ref="AE89" r:id="rId203" display="4090180361" xr:uid="{BCCF4ABE-06DA-4BA8-9706-2FD1D4767FB9}"/>
    <hyperlink ref="AE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E106" r:id="rId212" display="4090180413" xr:uid="{8505BF1D-2759-4501-9D23-1DA33AF38378}"/>
    <hyperlink ref="AE119" r:id="rId213" display="4090180462" xr:uid="{7C9E799A-D682-4931-B077-8498D6CA3FCE}"/>
    <hyperlink ref="AE123" r:id="rId214" display="4090180472" xr:uid="{F7D4172D-60B7-404D-BD6D-F7AB2E458EB6}"/>
    <hyperlink ref="AE125" r:id="rId215" display="4090180481" xr:uid="{9002B628-DB19-4517-8A93-FF7F0F1CB8B8}"/>
    <hyperlink ref="AE97" r:id="rId216" display="4090180402" xr:uid="{5B8CE14E-57A3-43DB-9692-F05FFAAD43E3}"/>
    <hyperlink ref="AE101" r:id="rId217" display="4090180408" xr:uid="{A950EED5-9306-440A-9FEE-C48F52AF4E97}"/>
    <hyperlink ref="AE104" r:id="rId218" display="4090180411" xr:uid="{C92752A9-1151-492E-BAE5-BC71E195B905}"/>
    <hyperlink ref="AE114" r:id="rId219" display="4090180441" xr:uid="{065316C2-687C-4A03-8FFE-6211568B4820}"/>
    <hyperlink ref="AE121" r:id="rId220" display="4090180465" xr:uid="{93640BBF-C62E-469C-8356-BF2AEB6D82DC}"/>
    <hyperlink ref="D67" r:id="rId221" xr:uid="{F5FCA351-0106-47EA-94A8-3AC35414E6AC}"/>
    <hyperlink ref="AF119" r:id="rId222" display="16/03/2026" xr:uid="{6287A2C0-AC97-4971-A177-99644D43495D}"/>
    <hyperlink ref="AF91" r:id="rId223" display="16/03/2026" xr:uid="{3AE47101-6838-4EEE-993E-4EF6BFF07C28}"/>
    <hyperlink ref="AF88" r:id="rId224" display="16/03/2026" xr:uid="{1F59CFAE-F600-4FB0-85CA-F83D93FD2212}"/>
    <hyperlink ref="AF81" r:id="rId225" display="16/03/2026" xr:uid="{D45BA6AE-E451-42FC-8399-37A0F2CA6541}"/>
    <hyperlink ref="AF89" r:id="rId226" display="16/03/2026" xr:uid="{CA2BAD43-93AA-4C01-8239-2D4FC9F868AA}"/>
    <hyperlink ref="AF72" r:id="rId227" display="16/03/2026" xr:uid="{ADB71DE5-D1A4-4798-B571-C043F6699F12}"/>
    <hyperlink ref="AF71" r:id="rId228" display="16/03/2026" xr:uid="{7F89A1D8-1304-43C0-9BB3-937374C4B509}"/>
    <hyperlink ref="AF68" r:id="rId229" display="16/03/2026" xr:uid="{B59AB19B-504B-4ED3-80EA-B898566FDEAF}"/>
    <hyperlink ref="AF73" r:id="rId230" display="16/03/2026" xr:uid="{77373BED-2CCA-4458-8AF8-CB598BDA7BC9}"/>
    <hyperlink ref="AF65" r:id="rId231" display="16/03/2026" xr:uid="{23DB3436-3C22-4EA8-A6BF-17180926BF73}"/>
    <hyperlink ref="AF40" r:id="rId232" display="16/03/2026" xr:uid="{23278731-187E-4FCF-A944-77EBAF16CE61}"/>
    <hyperlink ref="AF102" r:id="rId233" display="16/03/2026" xr:uid="{2389859E-E0DC-4122-B5C8-F56F7AAFF675}"/>
    <hyperlink ref="AF87" r:id="rId234" display="16/03/2026" xr:uid="{CD1767BE-4B09-46DA-B64A-4EDA873256D0}"/>
    <hyperlink ref="AF115" r:id="rId235" display="16/03/2026" xr:uid="{40FE2A3B-B98F-419C-8968-CBE9B97E5A2D}"/>
    <hyperlink ref="AF100" r:id="rId236" display="16/03/2026" xr:uid="{18B6D7ED-A648-4FB2-B76E-FD8D3C9FDF43}"/>
    <hyperlink ref="AF66" r:id="rId237" display="16/03/2026" xr:uid="{BB110D5A-A802-4CC3-94F7-115CBBD1FACB}"/>
    <hyperlink ref="D52" r:id="rId238" xr:uid="{A332130F-31DF-43B3-8CB9-E76F9DF2041A}"/>
    <hyperlink ref="AE113" r:id="rId239" display="4090180438" xr:uid="{A482AE41-5F49-491B-B6F2-D9889448A4DD}"/>
    <hyperlink ref="AE117" r:id="rId240" display="4090180457" xr:uid="{D4B66D82-3E40-4B99-975F-9E2578DF2FDE}"/>
    <hyperlink ref="AE118" r:id="rId241" display="4090180458" xr:uid="{BA83565B-58BC-4726-B190-1EAB85886D82}"/>
    <hyperlink ref="AE132" r:id="rId242" display="4090180512" xr:uid="{CD7B2779-0C6E-437C-AD3A-8D6FE802FBAD}"/>
    <hyperlink ref="AE111" r:id="rId243" display="4090180433" xr:uid="{2A5A19F6-4F0E-446D-913B-56C8123DA2A0}"/>
    <hyperlink ref="AE98" r:id="rId244" display="4090180403" xr:uid="{22AD88EC-1FA9-4D93-A330-98A8EE3F1574}"/>
    <hyperlink ref="AF113" r:id="rId245" display="16/03/2026" xr:uid="{868BB5A1-500D-4DDE-A57E-B6F0A23969B3}"/>
    <hyperlink ref="AF118" r:id="rId246" display="16/03/2026" xr:uid="{9621350B-D8FB-41C9-9606-CDC1868D6F00}"/>
    <hyperlink ref="AE127" r:id="rId247" display="4090180497" xr:uid="{B9086E84-63BD-44CD-9898-6984312FC65E}"/>
    <hyperlink ref="AE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E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68" r:id="rId255" xr:uid="{2876E30C-DF05-4454-802A-699B089CB0A6}"/>
    <hyperlink ref="D89" r:id="rId256" xr:uid="{F3FB58A2-A1C6-47DC-9C65-B4CDFC351ADE}"/>
    <hyperlink ref="D119" r:id="rId257" xr:uid="{B47F321E-D760-4E07-BD29-1E8B6ACE3092}"/>
    <hyperlink ref="D91" r:id="rId258" xr:uid="{12F51D04-1227-44C2-B794-25773DA924E6}"/>
    <hyperlink ref="D113" r:id="rId259" xr:uid="{CDC285C3-96CA-4BC0-934F-1E80CBC115B7}"/>
    <hyperlink ref="D63" r:id="rId260" xr:uid="{631EE4A6-9B56-44D7-B5E2-294E0D82BBC4}"/>
    <hyperlink ref="D115" r:id="rId261" xr:uid="{5F585F8C-DBBF-4513-8EF6-0605E263E72E}"/>
    <hyperlink ref="D118" r:id="rId262" xr:uid="{6A300A67-294C-4169-BC4B-5BBCF44BC8E2}"/>
    <hyperlink ref="D87" r:id="rId263" xr:uid="{3CD24F75-785F-4601-B7B8-2765017D71BC}"/>
    <hyperlink ref="D95" r:id="rId264" xr:uid="{7C11E180-E656-4257-81A1-3FAEE39D7987}"/>
    <hyperlink ref="D105" r:id="rId265" xr:uid="{CC031507-AEC7-4845-B01A-E1ED4DF7C677}"/>
    <hyperlink ref="D106" r:id="rId266" xr:uid="{DEE4D7EB-E645-4114-8C62-BC2FB1B6DE95}"/>
    <hyperlink ref="D117" r:id="rId267" xr:uid="{F7A6E6D7-62C7-4340-ADF2-4A07CEC2AD86}"/>
    <hyperlink ref="D130" r:id="rId268" xr:uid="{770F5554-C595-4C4A-B732-82761886B7E6}"/>
    <hyperlink ref="D98" r:id="rId269" xr:uid="{590F91C3-0017-481A-8FC9-95EE3D15876A}"/>
    <hyperlink ref="AE116" r:id="rId270" display="4090180456" xr:uid="{4C77B609-909C-491B-B086-921AA612546D}"/>
    <hyperlink ref="AE120" r:id="rId271" display="4090180464" xr:uid="{B9B47C6C-3E09-4543-BC83-C8F0E46191C0}"/>
    <hyperlink ref="AE130" r:id="rId272" display="4090180502" xr:uid="{5F82BB26-AF72-4DCC-9FB6-EFC16B1492A4}"/>
    <hyperlink ref="AE134" r:id="rId273" display="4090180523" xr:uid="{14DC7757-5748-4B75-AF22-608FE0E36A35}"/>
    <hyperlink ref="AE138" r:id="rId274" display="4090180541" xr:uid="{35CD202C-2E30-4E1C-8D22-6AB2700959FE}"/>
    <hyperlink ref="AE139" r:id="rId275" display="4090180544" xr:uid="{B1439AE6-4980-4BEB-85BD-D966AA234BD0}"/>
    <hyperlink ref="AE143" r:id="rId276" display="4090180550" xr:uid="{17AE8F44-53C9-4F31-B01B-AA75B3DF2842}"/>
    <hyperlink ref="AE147" r:id="rId277" display="4090180561" xr:uid="{55284297-A888-442E-94DC-B0E49D354796}"/>
    <hyperlink ref="AF104" r:id="rId278" display="17/03/2026" xr:uid="{2FA7851F-0018-4766-A2F0-2530CF2ECA56}"/>
    <hyperlink ref="AF132" r:id="rId279" display="17/03/2026" xr:uid="{AB67FD49-B070-4279-B657-9C7EFD0C59A9}"/>
    <hyperlink ref="AF138" r:id="rId280" display="17/03/2026" xr:uid="{500FE960-BD8F-4156-8E47-3ED1F979D54F}"/>
    <hyperlink ref="AF98" r:id="rId281" display="17/03/2026" xr:uid="{F43534A0-E40E-456C-AD8D-5884245C812B}"/>
    <hyperlink ref="AF117" r:id="rId282" display="17/03/2026" xr:uid="{A7F4A25D-2C26-4944-80E4-E0B42306864C}"/>
    <hyperlink ref="AF101" r:id="rId283" display="17/03/2026" xr:uid="{43A96B41-E90E-40AD-ABDD-EAC34ADAC975}"/>
    <hyperlink ref="AF105" r:id="rId284" display="17/03/2026" xr:uid="{441ADB19-F69E-4BFB-89F4-BFC67C66A064}"/>
    <hyperlink ref="AF96" r:id="rId285" display="17/03/2026" xr:uid="{025AC0C5-07F7-4720-9431-C11DB7C1F9D1}"/>
    <hyperlink ref="AF106" r:id="rId286" display="17/03/2026" xr:uid="{344ECBAD-EC66-493A-A4D8-6A7C74EBADF2}"/>
    <hyperlink ref="AF95" r:id="rId287" display="17/03/2026" xr:uid="{BB4F122C-363E-4AA9-8CC7-829171526881}"/>
    <hyperlink ref="AF63" r:id="rId288" display="17/03/2026" xr:uid="{124A6268-F398-468A-ABD1-355033F90B40}"/>
    <hyperlink ref="D103" r:id="rId289" xr:uid="{997F3806-F1FB-4FA4-AF91-55FB25E40121}"/>
    <hyperlink ref="D120" r:id="rId290" xr:uid="{187DF95D-4F0A-4F26-B53C-AEADCF50CB6A}"/>
    <hyperlink ref="D96" r:id="rId291" xr:uid="{4CDFBCDB-2A01-4BB3-9213-EFC5E4F1F20D}"/>
    <hyperlink ref="D147" r:id="rId292" xr:uid="{DFBEBA92-6B91-4E35-BAD9-B3EAC5956B10}"/>
    <hyperlink ref="D122" r:id="rId293" xr:uid="{9FBD9834-9066-4A01-A8F7-7E28057F73E3}"/>
    <hyperlink ref="AE126" r:id="rId294" display="4090180496" xr:uid="{2FEEDF9C-746F-4C48-AEE9-1BDDC9E78F27}"/>
    <hyperlink ref="AE129" r:id="rId295" display="4090180500" xr:uid="{3CB7A9BF-5BF2-474B-8BB9-EAC3808AA687}"/>
    <hyperlink ref="AE133" r:id="rId296" display="4090180522" xr:uid="{630A6D80-0A80-4EA7-BDAB-2B0D5969CB1E}"/>
    <hyperlink ref="AE135" r:id="rId297" display="4090180525" xr:uid="{7410FD1B-4E29-4192-8382-9403C4B5D442}"/>
    <hyperlink ref="AE137" r:id="rId298" display="4090180536" xr:uid="{0A57B440-1643-4AAA-9180-499DF5417AB2}"/>
    <hyperlink ref="AE140" r:id="rId299" display="4090180545" xr:uid="{50C0D451-AE38-4A9E-93BA-86F498ABE42B}"/>
    <hyperlink ref="AE136" r:id="rId300" display="4090180526" xr:uid="{5CD6AAB4-92CB-4AE9-979E-8E1067E72D60}"/>
    <hyperlink ref="AF99" r:id="rId301" display="18/03/2026" xr:uid="{7543FA8D-6387-47C0-981C-32480DF57A5D}"/>
    <hyperlink ref="AF103" r:id="rId302" display="18/03/2026" xr:uid="{B3711256-2C23-40BC-B797-003E21017E73}"/>
    <hyperlink ref="AF120" r:id="rId303" display="18/03/2026" xr:uid="{FEAFB266-D09E-4C85-A91A-3161C309C5CB}"/>
    <hyperlink ref="AF121" r:id="rId304" display="18/03/2026" xr:uid="{F073A69E-4537-4276-89D1-B55AD6ED7656}"/>
    <hyperlink ref="AF122" r:id="rId305" display="18/03/2026" xr:uid="{B10E2F76-C63F-4F4C-8F8E-CDF0882F15AA}"/>
    <hyperlink ref="AF128" r:id="rId306" display="18/03/2026" xr:uid="{8238593E-5D3E-4D07-B72C-D014C94F393F}"/>
    <hyperlink ref="AF129" r:id="rId307" display="18/03/2026" xr:uid="{D7CF655C-446A-4308-9DE0-649C2568E63E}"/>
    <hyperlink ref="AF130" r:id="rId308" display="18/03/2026" xr:uid="{3E1AFE28-6CE3-4BDC-BBBD-ED17944D5776}"/>
    <hyperlink ref="AF147" r:id="rId309" display="18/03/2026" xr:uid="{7B0ED7CA-384F-4DEE-9F1F-305BED8CB732}"/>
    <hyperlink ref="AF36" r:id="rId310" display="14/03/2026" xr:uid="{D0AC7A57-2533-4292-9D63-64FED91FCED6}"/>
    <hyperlink ref="AF52" r:id="rId311" display="14/03/2026" xr:uid="{433FF916-D7E2-4D25-ADC1-E694F695FBC8}"/>
    <hyperlink ref="AF60" r:id="rId312" display="12/03/2026" xr:uid="{D29546F5-2B23-4E7F-96DB-5520A198A7AB}"/>
    <hyperlink ref="AF62" r:id="rId313" display="14/03/2026" xr:uid="{D66A2F46-CC6E-407C-AD56-4E2946AF8A60}"/>
    <hyperlink ref="AF64" r:id="rId314" display="14/03/2026" xr:uid="{49D40ADD-DB35-46A5-AD87-9C4805A3E2E9}"/>
    <hyperlink ref="AF67" r:id="rId315" display="14/03/2026" xr:uid="{35D8E70A-FC7B-4D91-874F-51686F1545E1}"/>
    <hyperlink ref="AF69" r:id="rId316" display="14/03/2026" xr:uid="{A829B59E-4BE9-4AFC-A95D-89A8F13FB4BC}"/>
    <hyperlink ref="AF78" r:id="rId317" display="14/03/2026" xr:uid="{6C807597-BC27-4F71-B04A-B708A1A60D66}"/>
    <hyperlink ref="AF77" r:id="rId318" display="14/03/2026" xr:uid="{F28FFE70-2114-4FAF-B9A3-FB63B27BC3F3}"/>
    <hyperlink ref="AF82" r:id="rId319" display="14/03/2026" xr:uid="{434E3328-C91A-4DE7-902F-9C77925B0A9B}"/>
    <hyperlink ref="AF83" r:id="rId320" display="14/03/2026" xr:uid="{C75BBC5F-9CAF-47F4-B8C1-A9BB5C3C8C8B}"/>
    <hyperlink ref="AE141" r:id="rId321" display="4090180547" xr:uid="{A5F94813-21E0-48CB-A139-96E1D66F37DA}"/>
    <hyperlink ref="AE144" r:id="rId322" display="4090180551" xr:uid="{9EBC6F94-0DC4-479B-9704-61F326B9A26B}"/>
    <hyperlink ref="AE148" r:id="rId323" display="4090180565" xr:uid="{F0667B22-9439-4201-BB12-0E46EEFE2C10}"/>
    <hyperlink ref="AE154" r:id="rId324" display="4090180586" xr:uid="{35BB4B58-02B5-4FB9-ACE2-B0499C1947C6}"/>
    <hyperlink ref="D86" r:id="rId325" xr:uid="{1A944FBF-CB86-4C58-951A-5401FFFE162E}"/>
    <hyperlink ref="D101" r:id="rId326" xr:uid="{583BD637-A065-4DEC-B3BB-F16997B9D8A0}"/>
    <hyperlink ref="D125" r:id="rId327" xr:uid="{2358C61F-0FC1-456C-91CD-D0F78B2A8C4C}"/>
    <hyperlink ref="D93" r:id="rId328" xr:uid="{56132F39-4C8A-4EED-A431-2FC9539087F9}"/>
    <hyperlink ref="D128" r:id="rId329" xr:uid="{542346A3-8A90-4D52-A90E-DCCAB31BE96A}"/>
    <hyperlink ref="X2" r:id="rId330" xr:uid="{A37D98FA-828F-477E-9E6E-35250AD795B5}"/>
    <hyperlink ref="X3" r:id="rId331" xr:uid="{739DC3B9-6674-4C9E-BEC8-878875AAD827}"/>
    <hyperlink ref="X4" r:id="rId332" xr:uid="{FADA0B2F-86CF-468D-88AD-97D41567D4C8}"/>
    <hyperlink ref="X5" r:id="rId333" xr:uid="{54684E66-443B-41EE-B409-98FCBACE9675}"/>
    <hyperlink ref="X6" r:id="rId334" xr:uid="{8D36E7CE-306F-47C5-BA1E-07B81ADF05F6}"/>
    <hyperlink ref="X7" r:id="rId335" xr:uid="{EEAEC9F4-24EA-467E-88FC-0F64EEF4ED0B}"/>
    <hyperlink ref="X8" r:id="rId336" xr:uid="{661DB5DB-1C3F-46EC-9F32-31462F6E7D2F}"/>
    <hyperlink ref="X9" r:id="rId337" xr:uid="{00869ABA-C245-46A3-BCA2-42980F67C116}"/>
    <hyperlink ref="X10" r:id="rId338" xr:uid="{3F86955A-94BF-4C90-931E-2A926D1A8103}"/>
    <hyperlink ref="X11" r:id="rId339" xr:uid="{F24E9838-F2D4-46CD-8466-AB93F4DEDDA3}"/>
    <hyperlink ref="X12" r:id="rId340" xr:uid="{DD96533E-0A1A-4D85-9780-5F6099EC3EA5}"/>
    <hyperlink ref="X13" r:id="rId341" xr:uid="{CAD9207E-1A7D-45A7-8A7D-04E9F5EAAF85}"/>
    <hyperlink ref="X14" r:id="rId342" xr:uid="{9FB9D3C8-4279-4DE9-8041-C6117F1AE77B}"/>
    <hyperlink ref="X15" r:id="rId343" xr:uid="{02AA38EF-68D1-4610-B808-C45514761A48}"/>
    <hyperlink ref="X16" r:id="rId344" xr:uid="{E2D05D64-A75D-4B7F-9E6A-CA8E6E87F86A}"/>
    <hyperlink ref="X17" r:id="rId345" xr:uid="{A5D46D74-844E-4262-B3D9-BCF21BE186F9}"/>
    <hyperlink ref="X18" r:id="rId346" xr:uid="{499A8D40-05FF-45AB-BAB7-78DA44A3C704}"/>
    <hyperlink ref="X19" r:id="rId347" xr:uid="{93181C66-6CA5-4815-B007-E8F02B0FC889}"/>
    <hyperlink ref="X20" r:id="rId348" xr:uid="{A7A7DE24-9529-4AF5-A585-781E97D9C165}"/>
    <hyperlink ref="X21" r:id="rId349" xr:uid="{FBE21837-D5C9-46A1-8953-6CA258A25B2A}"/>
    <hyperlink ref="X22" r:id="rId350" xr:uid="{8B8DA30C-AD2F-4EF4-B7CE-C5DED6281296}"/>
    <hyperlink ref="X23" r:id="rId351" xr:uid="{21BE383D-1E76-4F81-9D1D-2AFED7FA5155}"/>
    <hyperlink ref="X24" r:id="rId352" xr:uid="{E7282BED-4398-49F2-A756-EF55241A36AB}"/>
    <hyperlink ref="X25" r:id="rId353" xr:uid="{88DCCC99-C8FA-44C2-A1AA-D32D20DE84A4}"/>
    <hyperlink ref="X26" r:id="rId354" xr:uid="{519DBA0C-2D45-412A-BDB5-D922AAC19561}"/>
    <hyperlink ref="X27" r:id="rId355" xr:uid="{7BCBE221-480C-4767-8983-06E0DEA73C1A}"/>
    <hyperlink ref="X28" r:id="rId356" xr:uid="{EF75B902-8C53-4B80-9C11-63E23839BDAA}"/>
    <hyperlink ref="X29" r:id="rId357" xr:uid="{3A57BD17-8E21-4C80-88DF-53BA92498DBE}"/>
    <hyperlink ref="X30" r:id="rId358" xr:uid="{F2D8F034-A58E-4440-B315-EBBB2444E931}"/>
    <hyperlink ref="X31" r:id="rId359" xr:uid="{4409F084-5811-4574-B5C0-D84410283212}"/>
    <hyperlink ref="X32" r:id="rId360" xr:uid="{16474189-1566-439D-BD50-8B3C5974760E}"/>
    <hyperlink ref="X33" r:id="rId361" xr:uid="{084A504F-45C6-45C7-AECA-53E0640837D6}"/>
    <hyperlink ref="X34" r:id="rId362" xr:uid="{B8841277-D2C2-4D56-9003-364F907950F6}"/>
    <hyperlink ref="X35" r:id="rId363" xr:uid="{8ED896F1-1837-409F-A068-E2BA29F5DAE9}"/>
    <hyperlink ref="X36" r:id="rId364" xr:uid="{10EFF9B3-BB3E-472B-83D5-A5E47B13D39A}"/>
    <hyperlink ref="X37" r:id="rId365" xr:uid="{F5823DD2-AA95-40AE-B3F4-851C69194FDE}"/>
    <hyperlink ref="X38" r:id="rId366" xr:uid="{0F10D807-FB5D-44A2-A6BA-2A43155EDC36}"/>
    <hyperlink ref="X39" r:id="rId367" xr:uid="{D26D3CD5-34D4-453A-860B-B3B21944664F}"/>
    <hyperlink ref="X40" r:id="rId368" xr:uid="{53EDAB7E-A664-4B11-A4E8-74C9054DB494}"/>
    <hyperlink ref="X41" r:id="rId369" xr:uid="{F22C87F1-9E64-4550-94C8-4A06E86B9625}"/>
    <hyperlink ref="X42" r:id="rId370" xr:uid="{9BAFCDFB-A101-4755-BD59-7DA9B352527E}"/>
    <hyperlink ref="X43" r:id="rId371" xr:uid="{A0A8CF1D-9031-426C-A8EE-153FD0590AA3}"/>
    <hyperlink ref="X44" r:id="rId372" xr:uid="{EC5840FC-DC99-4F49-B2D5-90EBF03A987F}"/>
    <hyperlink ref="X45" r:id="rId373" xr:uid="{85FAAECF-BD15-4A4E-8629-5DDD3790C6D8}"/>
    <hyperlink ref="X46" r:id="rId374" xr:uid="{B200F259-056D-4E6F-A843-4BACCFF37EB6}"/>
    <hyperlink ref="X47" r:id="rId375" xr:uid="{7D381B66-0733-486B-8D7B-92EF03BD42D5}"/>
    <hyperlink ref="X48" r:id="rId376" xr:uid="{14C269A0-8708-409F-84C9-67354F3EBF74}"/>
    <hyperlink ref="X49" r:id="rId377" xr:uid="{6A895238-9258-4C34-BEBA-209A6166EA84}"/>
    <hyperlink ref="X50" r:id="rId378" xr:uid="{B1E9AE59-D25B-4724-9D2B-45F52ECA0883}"/>
    <hyperlink ref="X51" r:id="rId379" xr:uid="{021172A5-8D39-46D8-8D71-AA4F55C3BA4E}"/>
    <hyperlink ref="X52" r:id="rId380" xr:uid="{83F2CF18-64D9-4BB8-92CF-6A1E38BB61E4}"/>
    <hyperlink ref="X53" r:id="rId381" xr:uid="{D1F81DB5-BBAA-41AF-AFCD-3441FC271E85}"/>
    <hyperlink ref="X54" r:id="rId382" xr:uid="{B36FE1CA-3DA6-4D1D-BD2F-289B3FBF52DD}"/>
    <hyperlink ref="X55" r:id="rId383" xr:uid="{141F0228-AB06-4FAA-AA24-21372F23193F}"/>
    <hyperlink ref="X56" r:id="rId384" xr:uid="{E2F20172-C6D8-42D7-BC35-837CDB5F79F1}"/>
    <hyperlink ref="X57" r:id="rId385" xr:uid="{8F84D433-9773-4958-9D46-E6C4F0079BDA}"/>
    <hyperlink ref="X58" r:id="rId386" xr:uid="{69FECBAA-946C-407A-A971-3ADBC7F428E1}"/>
    <hyperlink ref="X59" r:id="rId387" xr:uid="{9532004E-AF9D-4177-8834-60EE5FD22FD8}"/>
    <hyperlink ref="X60" r:id="rId388" xr:uid="{4BE5929D-C251-4C51-9CDE-295DE9C52B6C}"/>
    <hyperlink ref="X61" r:id="rId389" xr:uid="{649A9DFD-8032-4C9A-9819-6A4564D548CB}"/>
    <hyperlink ref="X62" r:id="rId390" xr:uid="{E1907C3F-1EE6-4130-A36B-531B3C631FDB}"/>
    <hyperlink ref="X63" r:id="rId391" xr:uid="{581ECE78-B1C1-4D89-86DF-9B2DEE72F10D}"/>
    <hyperlink ref="X64" r:id="rId392" xr:uid="{9E64DD8F-BFB9-4993-BC04-9AD3E678823F}"/>
    <hyperlink ref="X65" r:id="rId393" xr:uid="{D31F43F7-984C-402D-974A-B00AFCAF025E}"/>
    <hyperlink ref="X66" r:id="rId394" xr:uid="{EC54B5A1-9712-4974-9307-058A3C6DD6E7}"/>
    <hyperlink ref="X67" r:id="rId395" xr:uid="{7734D6CF-DF4E-4695-86C7-F343AB17BC18}"/>
    <hyperlink ref="X68" r:id="rId396" xr:uid="{97B83635-AE3E-4967-8565-F724B3E0E63F}"/>
    <hyperlink ref="X69" r:id="rId397" xr:uid="{91B15131-26C2-4182-B4DE-3437B617C9F1}"/>
    <hyperlink ref="X70" r:id="rId398" xr:uid="{CC5FC5C3-5C2F-4DE0-8CD8-3A5F49580E1F}"/>
    <hyperlink ref="X71" r:id="rId399" xr:uid="{740DD26D-21C0-4E95-BB30-33437E3F03BD}"/>
    <hyperlink ref="X72" r:id="rId400" xr:uid="{9CBBFCD7-B296-4E4F-8ADC-0EAE7493712D}"/>
    <hyperlink ref="X73" r:id="rId401" xr:uid="{77A1F5B4-62A9-46F0-9BA2-0FB817D3174E}"/>
    <hyperlink ref="X74" r:id="rId402" xr:uid="{D526B7E8-90DE-4E9F-9555-84A068F5811C}"/>
    <hyperlink ref="X75" r:id="rId403" xr:uid="{72DA2439-C8DE-4925-AB37-484F031C8904}"/>
    <hyperlink ref="X76" r:id="rId404" xr:uid="{B518BC42-2A5E-412A-86E9-1BEE4A4F4ECE}"/>
    <hyperlink ref="X77" r:id="rId405" xr:uid="{281E1E03-5DCA-4429-A374-994C8AACAAA5}"/>
    <hyperlink ref="X78" r:id="rId406" xr:uid="{FC48635B-C9CE-4264-899E-E7D6BBAAAF37}"/>
    <hyperlink ref="X79" r:id="rId407" xr:uid="{AEA3B994-572A-45AB-98BB-83CEFD2FE148}"/>
    <hyperlink ref="X80" r:id="rId408" xr:uid="{90D5ACDC-6A5F-47B1-82F1-2271D8C2F16D}"/>
    <hyperlink ref="X81" r:id="rId409" xr:uid="{28B24D36-75B8-4B9C-9623-22D0CD5BDDF2}"/>
    <hyperlink ref="X82" r:id="rId410" xr:uid="{CE4BD2E9-3430-481B-B91C-0AF60CC2EB2B}"/>
    <hyperlink ref="X83" r:id="rId411" xr:uid="{DBB32664-F88F-4720-832E-9751AF2A6004}"/>
    <hyperlink ref="X84" r:id="rId412" xr:uid="{517700BD-5DF3-4F51-ACA8-2183D2FE3279}"/>
    <hyperlink ref="X85" r:id="rId413" xr:uid="{40863DD0-0B2B-44B9-B7A0-1BF8AF7F5ECE}"/>
    <hyperlink ref="X86" r:id="rId414" xr:uid="{EE03A44F-5DAA-45EF-940D-75720DCF6D20}"/>
    <hyperlink ref="X87" r:id="rId415" xr:uid="{5B00C082-A5A0-4604-B69F-2CF236A6E774}"/>
    <hyperlink ref="X88" r:id="rId416" xr:uid="{016B5072-F2ED-4659-B4DC-30FDEB2E720C}"/>
    <hyperlink ref="X89" r:id="rId417" xr:uid="{595C6BEA-CAE4-469C-9099-B77F8D9DCC69}"/>
    <hyperlink ref="X90" r:id="rId418" xr:uid="{1ACC604C-439A-47B5-A32A-6175A24CB623}"/>
    <hyperlink ref="X91" r:id="rId419" xr:uid="{A0828D39-B946-4BD6-ABD2-73A3D741472E}"/>
    <hyperlink ref="X92" r:id="rId420" xr:uid="{5A7E339F-EB3D-4953-879C-79C1771FE16E}"/>
    <hyperlink ref="X93" r:id="rId421" xr:uid="{38899AB6-DEA1-4823-8B29-F76252243E18}"/>
    <hyperlink ref="X94" r:id="rId422" xr:uid="{2A34E14B-0E65-411D-BA18-32F5E6791F73}"/>
    <hyperlink ref="X95" r:id="rId423" xr:uid="{F088D288-0BE5-416E-8016-6EAFF4AB0E06}"/>
    <hyperlink ref="X96" r:id="rId424" xr:uid="{ECF81E7D-8BD3-4C62-84DC-99DB384FEC51}"/>
    <hyperlink ref="X97" r:id="rId425" xr:uid="{4AD2A111-CDF2-420C-98D7-DCE6E738617C}"/>
    <hyperlink ref="X98" r:id="rId426" xr:uid="{84784849-4B43-40FF-BA81-74243CA9C058}"/>
    <hyperlink ref="X99" r:id="rId427" xr:uid="{84D75F21-AB16-4D59-A4FA-0F437DB02979}"/>
    <hyperlink ref="X100" r:id="rId428" xr:uid="{C633B6D7-0644-44C9-A555-2018DC305827}"/>
    <hyperlink ref="X101" r:id="rId429" xr:uid="{B6524B5F-6ED5-43A7-9D7A-729FB0A4ECEC}"/>
    <hyperlink ref="X102" r:id="rId430" xr:uid="{DFF9D285-9165-4227-A91E-1F6B99EBD071}"/>
    <hyperlink ref="X103" r:id="rId431" xr:uid="{755C205C-135C-4019-B0D7-9AC714218E8B}"/>
    <hyperlink ref="X104" r:id="rId432" xr:uid="{EBB3BEFA-5955-4927-8FF7-85A29005DBAB}"/>
    <hyperlink ref="X105" r:id="rId433" xr:uid="{C567F13B-0AFD-4EC7-99A2-47D14CD33783}"/>
    <hyperlink ref="X106" r:id="rId434" xr:uid="{54A5C46B-814F-43AD-BCAD-456061CEC1DB}"/>
    <hyperlink ref="X107" r:id="rId435" xr:uid="{07B7F2AA-047F-4C0D-8DC5-FE0FDC33CB9A}"/>
    <hyperlink ref="X108" r:id="rId436" xr:uid="{A5F88F44-39CF-475B-A959-86D689A2B202}"/>
    <hyperlink ref="X111" r:id="rId437" xr:uid="{113485E3-54D3-452E-9289-A2A2228363DE}"/>
    <hyperlink ref="X112" r:id="rId438" xr:uid="{B7837028-D341-4319-B4B9-2A7AB5E61CE1}"/>
    <hyperlink ref="X113" r:id="rId439" xr:uid="{C3528AD7-281B-49AB-9D57-51B1B734E3E9}"/>
    <hyperlink ref="X114" r:id="rId440" xr:uid="{CA620146-FA63-457A-8F57-508CE25EDD12}"/>
    <hyperlink ref="X115" r:id="rId441" xr:uid="{1AF9FA67-EFCA-4192-B88A-848AD53E7404}"/>
    <hyperlink ref="X116" r:id="rId442" xr:uid="{0A10B791-8E06-44E2-AA1C-9E05DC689E0F}"/>
    <hyperlink ref="X117" r:id="rId443" xr:uid="{BE376E39-9776-43C0-A604-945BB00B81FF}"/>
    <hyperlink ref="X118" r:id="rId444" xr:uid="{58EC3F0B-BB39-4B2A-B2D4-AE3812146B13}"/>
    <hyperlink ref="X119" r:id="rId445" xr:uid="{F3CAA459-46CC-401E-9474-CB6122A7FC05}"/>
    <hyperlink ref="X121" r:id="rId446" xr:uid="{1C40802B-4FA7-411D-A9CC-15E07DFB85AC}"/>
    <hyperlink ref="X122" r:id="rId447" xr:uid="{0EDBE10A-B6A2-4F74-9467-0856BDB60D9F}"/>
    <hyperlink ref="X123" r:id="rId448" xr:uid="{EDE3A6A4-20C5-46FA-93E8-AC89C7B73C56}"/>
    <hyperlink ref="X125" r:id="rId449" xr:uid="{55BD0E8B-CF0C-4738-9DEE-106D937C454E}"/>
    <hyperlink ref="X126" r:id="rId450" xr:uid="{E91E8B30-BE06-4296-8B59-F39888245573}"/>
    <hyperlink ref="X127" r:id="rId451" xr:uid="{F78A396D-D1C8-4BDA-96D2-28875B298F20}"/>
    <hyperlink ref="X128" r:id="rId452" xr:uid="{2B198D55-27F3-404C-A2BD-7D36EC1E6B68}"/>
    <hyperlink ref="X129" r:id="rId453" xr:uid="{7B0D713F-C9CA-4C6B-AFCD-1D170604BCFE}"/>
    <hyperlink ref="X130" r:id="rId454" xr:uid="{B1372B42-4650-48DF-A853-A591AFD26D89}"/>
    <hyperlink ref="X131" r:id="rId455" xr:uid="{1A37D085-7176-4215-B952-3ADBACD94573}"/>
    <hyperlink ref="X132" r:id="rId456" xr:uid="{28AA6FC7-E84F-42DD-A169-5F514D89AE9D}"/>
    <hyperlink ref="X133" r:id="rId457" xr:uid="{90E50DC8-9A78-4242-887F-5ECC3E040D95}"/>
    <hyperlink ref="X134" r:id="rId458" xr:uid="{236C6734-6C46-4651-ABC3-1F44C743F319}"/>
    <hyperlink ref="X135" r:id="rId459" xr:uid="{75277305-5D4D-4D73-8D96-76B1F3B6C91F}"/>
    <hyperlink ref="X136" r:id="rId460" xr:uid="{97A73558-81C2-4DA3-8240-1F1C8A1FAA22}"/>
    <hyperlink ref="X137" r:id="rId461" xr:uid="{067C86CB-78B4-45CE-9518-89A2BC66DEF5}"/>
    <hyperlink ref="X138" r:id="rId462" xr:uid="{F0A7D4EF-1B09-4BE3-815F-56A950AE3D58}"/>
    <hyperlink ref="X139" r:id="rId463" xr:uid="{FD214E4E-61A6-46B4-A762-27F444836776}"/>
    <hyperlink ref="X140" r:id="rId464" xr:uid="{8FAD0793-47FC-46EA-9E3A-FD1D0F170EB3}"/>
    <hyperlink ref="X141" r:id="rId465" xr:uid="{84521189-0582-462D-9874-D6974B543825}"/>
    <hyperlink ref="X142" r:id="rId466" xr:uid="{375B3635-82FC-4686-9E90-6367E30E84E8}"/>
    <hyperlink ref="X143" r:id="rId467" xr:uid="{825AF28B-85F7-4296-9DF0-C93A4DAC9F17}"/>
    <hyperlink ref="X144" r:id="rId468" xr:uid="{9931F7A6-DD17-46FF-8379-40DBBCDB1885}"/>
    <hyperlink ref="X146" r:id="rId469" xr:uid="{A7AFE788-3F78-42E7-B75F-84419DF30410}"/>
    <hyperlink ref="X147" r:id="rId470" xr:uid="{33029517-1264-4028-9CDE-F672DD54A49B}"/>
    <hyperlink ref="Z2" r:id="rId471" display="2605113227" xr:uid="{37878809-4BE2-4CEA-9670-CCE2D50C21CF}"/>
    <hyperlink ref="Z3" r:id="rId472" display="2605101385" xr:uid="{9CA65E32-302A-4D0F-ABA9-86A498363899}"/>
    <hyperlink ref="Z4" r:id="rId473" display="2605106362" xr:uid="{D69E8A3C-723E-487F-A20F-6E8517473E4B}"/>
    <hyperlink ref="Z5" r:id="rId474" display="260595504" xr:uid="{4EA0489F-C224-44EF-81B9-C411CAF3A061}"/>
    <hyperlink ref="Z6" r:id="rId475" display="260598254" xr:uid="{42BCA4AB-E10F-432A-84FB-608E4A7090A1}"/>
    <hyperlink ref="Z7" r:id="rId476" display="2605101685" xr:uid="{36CED6A6-66E3-4548-8FEC-50A44683EF9E}"/>
    <hyperlink ref="Z8" r:id="rId477" display="2605101914" xr:uid="{1C56DE97-E12D-4891-B48B-7E647789B0A9}"/>
    <hyperlink ref="Z9" r:id="rId478" display="2605100691" xr:uid="{3F03A67C-AAB5-4854-BA90-29B9725DC42B}"/>
    <hyperlink ref="Z10" r:id="rId479" display="2605101437" xr:uid="{98FC7D5F-C329-4013-9DA5-A73ABB343A46}"/>
    <hyperlink ref="Z11" r:id="rId480" display="2605106858" xr:uid="{535FD2F2-18F4-4DB8-8587-07BE1F6E6870}"/>
    <hyperlink ref="Z12" r:id="rId481" display="2605100503" xr:uid="{6C7A722A-9836-434A-B9F1-3AAAEFD924B8}"/>
    <hyperlink ref="Z13" r:id="rId482" display="2605106749" xr:uid="{8BA6B686-78B5-4A79-B25A-0803A4A062AA}"/>
    <hyperlink ref="Z14" r:id="rId483" display="2605104506" xr:uid="{995FE047-98A3-4CB6-83CF-BC2294DB9B57}"/>
    <hyperlink ref="Z15" r:id="rId484" display="2605103079" xr:uid="{6CDFE777-8D23-4A47-B67F-AE637037911E}"/>
    <hyperlink ref="Z16" r:id="rId485" display="2605103668" xr:uid="{E0F1D0C6-E863-41EB-A0CC-9C94CBC8327A}"/>
    <hyperlink ref="Z17" r:id="rId486" display="2605102035" xr:uid="{A89067F8-ABBA-44E0-A8A5-249A562948CE}"/>
    <hyperlink ref="Z18" r:id="rId487" display="2605103273" xr:uid="{20967B67-7100-4A99-8D58-0DBBE135D1C5}"/>
    <hyperlink ref="Z19" r:id="rId488" display="2605107269" xr:uid="{37CECAAA-FA53-4254-B531-11BDC0798F00}"/>
    <hyperlink ref="Z20" r:id="rId489" display="2605107217" xr:uid="{F1E76471-DF12-4010-A1BE-EC99A5500606}"/>
    <hyperlink ref="Z21" r:id="rId490" display="2605107322" xr:uid="{06171252-8736-4D40-8870-8A20A342831D}"/>
    <hyperlink ref="Z22" r:id="rId491" display="2605103977" xr:uid="{35492195-9715-4A22-8ABF-20EC9E0A95CC}"/>
    <hyperlink ref="Z23" r:id="rId492" display="2605108712" xr:uid="{55824D62-A6D3-4A8C-980D-915858D92FEF}"/>
    <hyperlink ref="Z24" r:id="rId493" display="2605109923" xr:uid="{70D2C508-40D6-4904-BBFA-2F66AEC8A60A}"/>
    <hyperlink ref="Z25" r:id="rId494" display="2605106196" xr:uid="{A976AC88-2664-42A7-A275-3F99B835BB21}"/>
    <hyperlink ref="Z26" r:id="rId495" display="2605109152" xr:uid="{DCFE08EF-3818-4B1B-ACA7-3A9BF1004099}"/>
    <hyperlink ref="Z27" r:id="rId496" display="2605109255" xr:uid="{373CB602-D7F9-48DB-BD0B-72A79EEB3490}"/>
    <hyperlink ref="Z28" r:id="rId497" display="2605109265" xr:uid="{18F1EDB3-439B-410C-983C-CD5E2B4652C1}"/>
    <hyperlink ref="Z29" r:id="rId498" display="2605105649" xr:uid="{0C6FDD71-6098-413E-90C5-6BD4AFA49E9D}"/>
    <hyperlink ref="Z30" r:id="rId499" display="2605109941" xr:uid="{919F6B10-CFF2-48EE-B298-0AE6535235F9}"/>
    <hyperlink ref="Z31" r:id="rId500" display="2605105906" xr:uid="{83D608BA-58FA-4A8F-BE88-4F0FF7C73EAB}"/>
    <hyperlink ref="Z32" r:id="rId501" display="2605109424" xr:uid="{FE4ED6A3-A452-4388-B7FB-655173282847}"/>
    <hyperlink ref="Z33" r:id="rId502" display="2605111544" xr:uid="{E3FDDD80-DC46-4D36-AC0A-197A9F770EB8}"/>
    <hyperlink ref="Z34" r:id="rId503" display="2605108064" xr:uid="{54726BF9-B5F4-4FFF-B245-13B2A13FC922}"/>
    <hyperlink ref="Z35" r:id="rId504" display="2605109685" xr:uid="{77D095E6-24BD-4C10-B07A-87DBCFDE5A1A}"/>
    <hyperlink ref="Z36" r:id="rId505" display="2605109639" xr:uid="{F2039F0F-A03D-4DDB-B602-C2F50C68C632}"/>
    <hyperlink ref="Z37" r:id="rId506" display="2605111953" xr:uid="{27385CB2-30BF-40CF-9DF7-0CD70AC85F5D}"/>
    <hyperlink ref="Z38" r:id="rId507" display="2605110760" xr:uid="{B523F06E-367D-4EFE-90B0-9F4C0DD3DD3F}"/>
    <hyperlink ref="Z39" r:id="rId508" display="2605108147" xr:uid="{9E41D041-C906-4ED4-812C-B0E173D57550}"/>
    <hyperlink ref="Z40" r:id="rId509" display="2605109742" xr:uid="{CF764A5F-FCFA-40E3-BECE-5D0B036BEEC9}"/>
    <hyperlink ref="Z41" r:id="rId510" display="2605108514" xr:uid="{AB372FC0-8D78-4D6A-87B4-5C71B366F5A8}"/>
    <hyperlink ref="Z42" r:id="rId511" display="2605109732" xr:uid="{0056D379-98EC-45F2-9C30-ACA6EAF23763}"/>
    <hyperlink ref="Z43" r:id="rId512" display="2605113276" xr:uid="{71183C9A-7FBF-4C3B-A858-AC9AB53D223A}"/>
    <hyperlink ref="Z44" r:id="rId513" display="2605113362" xr:uid="{A671E9EA-E356-4E20-81D4-D4BB27191D4B}"/>
    <hyperlink ref="Z45" r:id="rId514" display="2605108328" xr:uid="{EAA8FDDD-20A0-44F9-BBDB-D5526B407BA0}"/>
    <hyperlink ref="Z46" r:id="rId515" display="2605109779" xr:uid="{539B1137-DA1E-4DD5-B49F-402AEE0CFABA}"/>
    <hyperlink ref="Z47" r:id="rId516" display="2605108680" xr:uid="{AA4579A2-5A9B-41BB-A4DF-9466083C436B}"/>
    <hyperlink ref="Z48" r:id="rId517" display="2605113395" xr:uid="{F84D0ADE-21F0-414E-A131-1EAFED0A9310}"/>
    <hyperlink ref="Z49" r:id="rId518" display="2605110890" xr:uid="{DE03EEFD-88E3-4F4B-9E47-2103829F9BD7}"/>
    <hyperlink ref="Z50" r:id="rId519" display="2605113776" xr:uid="{CAC55D2D-1313-4960-9E81-358BC8AEE793}"/>
    <hyperlink ref="Z51" r:id="rId520" display="2605113989" xr:uid="{3557E8A6-66BD-4D22-A01C-A44D6A336013}"/>
    <hyperlink ref="Z52" r:id="rId521" display="2605114628" xr:uid="{68CB166B-E73C-4B27-95CB-627312834F6F}"/>
    <hyperlink ref="Z53" r:id="rId522" display="2605111955" xr:uid="{36D9F9E7-68C7-4336-AE54-342AC97376DB}"/>
    <hyperlink ref="Z54" r:id="rId523" display="2605111677" xr:uid="{599C91F0-DCFA-4974-A1FD-C89603B21BB3}"/>
    <hyperlink ref="Z55" r:id="rId524" display="2605113022" xr:uid="{969D4B2A-EEE2-4E1A-BDD4-7F33FA16B4A0}"/>
    <hyperlink ref="Z56" r:id="rId525" display="2605114146" xr:uid="{A3C5C122-52C5-44C4-A255-44F9AD4FF79D}"/>
    <hyperlink ref="Z57" r:id="rId526" display="2605112925" xr:uid="{4B2A46B6-B686-491D-9E24-48A39B6B97A7}"/>
    <hyperlink ref="Z58" r:id="rId527" display="2605115963" xr:uid="{C6BB98D0-6E29-4287-BBC1-B873B51EA561}"/>
    <hyperlink ref="Z59" r:id="rId528" display="2605116837" xr:uid="{FCDF2277-58D5-4C8F-9A3B-CA25818170E8}"/>
    <hyperlink ref="Z60" r:id="rId529" display="2605115511" xr:uid="{EA6FFD50-6010-4426-8CAD-6BDBCA904BA0}"/>
    <hyperlink ref="Z61" r:id="rId530" display="2605117066" xr:uid="{B60E536E-A63B-4840-A653-F10731CA3BF6}"/>
    <hyperlink ref="Z62" r:id="rId531" display="2605118034" xr:uid="{B0B18881-C57F-400D-932C-6424161E7404}"/>
    <hyperlink ref="Z63" r:id="rId532" display="2605115713" xr:uid="{3C4EBE1F-5D96-406E-AFF3-54ADE3DBD1DB}"/>
    <hyperlink ref="Z64" r:id="rId533" display="2605117336" xr:uid="{26CC92CA-7A78-4B55-AA2E-164D06EBAD3E}"/>
    <hyperlink ref="Z65" r:id="rId534" display="2605116674" xr:uid="{D525FB61-F18F-41F7-A408-5CE8BD84C44D}"/>
    <hyperlink ref="Z66" r:id="rId535" display="2605116951" xr:uid="{575AC27A-8AE8-4909-8546-72A8FEC102FE}"/>
    <hyperlink ref="Z67" r:id="rId536" display="2605119647" xr:uid="{9A5430D5-DDB4-4838-BD7A-D4E06050BFA8}"/>
    <hyperlink ref="Z68" r:id="rId537" display="2605118330" xr:uid="{49435B93-F2EA-4C3A-B89D-428C98DCC0DD}"/>
    <hyperlink ref="Z69" r:id="rId538" display="2605117369" xr:uid="{9C61F70B-8488-47BE-9912-6F644FA45E3F}"/>
    <hyperlink ref="Z70" r:id="rId539" display="2605116934" xr:uid="{FDC0F0DF-26E0-49D9-B2CF-87A2B4DCCA04}"/>
    <hyperlink ref="Z71" r:id="rId540" display="2605117104" xr:uid="{81B9F97F-E74B-49F5-A840-3D39F120D6E2}"/>
    <hyperlink ref="Z72" r:id="rId541" display="2605119861" xr:uid="{B863585A-8412-4076-AABB-CC90315A8783}"/>
    <hyperlink ref="Z73" r:id="rId542" display="2605118527" xr:uid="{8348E5D0-FDC3-46F7-A976-D35843523110}"/>
    <hyperlink ref="Z74" r:id="rId543" display="2605121781" xr:uid="{A4D4D362-3042-46A4-BC1C-788BB243447B}"/>
    <hyperlink ref="Z75" r:id="rId544" display="2605118861" xr:uid="{AE756F31-38C1-43CF-9ACF-8D986F367181}"/>
    <hyperlink ref="Z76" r:id="rId545" display="2605119244" xr:uid="{99AB8419-86A0-45DC-BA9D-F046F5DDF8F8}"/>
    <hyperlink ref="Z77" r:id="rId546" display="2605119955" xr:uid="{52CF65F7-BC47-4DD3-A989-AE2BA62AF2F8}"/>
    <hyperlink ref="Z78" r:id="rId547" display="2605120001" xr:uid="{74FD7EDC-80A9-4E4A-9C0C-D4360C163302}"/>
    <hyperlink ref="Z79" r:id="rId548" display="2605118942" xr:uid="{3AF91398-853C-44EE-BEFD-1253AD3B06EB}"/>
    <hyperlink ref="Z80" r:id="rId549" display="2605118967" xr:uid="{92C47E9D-7843-4B2C-9EC8-C0D2A0690128}"/>
    <hyperlink ref="Z81" r:id="rId550" display="2605120555" xr:uid="{C7D21204-C6D8-41FE-8F50-628C5EF033F5}"/>
    <hyperlink ref="Z82" r:id="rId551" display="2605120568" xr:uid="{478B35A0-6634-4E33-914E-132D83309DDF}"/>
    <hyperlink ref="Z83" r:id="rId552" display="2605120044" xr:uid="{1E9103F6-4DA8-4FE9-BFC5-AAD0EA7B9258}"/>
    <hyperlink ref="Z84" r:id="rId553" display="2605120769" xr:uid="{3BDC4253-681C-4FA8-8519-35FA3688EFC2}"/>
    <hyperlink ref="Z85" r:id="rId554" display="2605121478" xr:uid="{C99FCC7D-36DB-499D-97B0-A3D7D75375D1}"/>
    <hyperlink ref="Z86" r:id="rId555" display="2605125296" xr:uid="{37DD1D3F-E36D-448D-9E4A-372642813DED}"/>
    <hyperlink ref="Z87" r:id="rId556" display="2605122382" xr:uid="{8F743678-FC79-4EDA-9676-62227A149694}"/>
    <hyperlink ref="Z88" r:id="rId557" display="2605122451" xr:uid="{FEC88511-7279-4929-B95F-298C4D8AA4EE}"/>
    <hyperlink ref="Z89" r:id="rId558" display="2605125301" xr:uid="{DBC52964-F872-4DA2-9763-78A3957CA2DF}"/>
    <hyperlink ref="Z90" r:id="rId559" display="2605123608" xr:uid="{218B6DE1-E5E8-4863-8B9D-8A457AD31BA4}"/>
    <hyperlink ref="Z91" r:id="rId560" display="2605121569" xr:uid="{7E4732EE-75D0-4952-B3A0-955E0AFCC3BC}"/>
    <hyperlink ref="Z92" r:id="rId561" display="2605123199" xr:uid="{9A53B200-CD35-46C9-88D5-E2B71F901D56}"/>
    <hyperlink ref="Z93" r:id="rId562" display="2605125312" xr:uid="{646DCA29-F5AD-4336-A915-A31EC504945C}"/>
    <hyperlink ref="Z94" r:id="rId563" display="2605123531" xr:uid="{2899E084-0E5C-44B5-9881-561C907B3E47}"/>
    <hyperlink ref="Z95" r:id="rId564" display="2605124864" xr:uid="{634B757A-547D-4E49-BDE7-7EB818CF76F6}"/>
    <hyperlink ref="Z96" r:id="rId565" display="2605124553" xr:uid="{BF8557C5-3188-47EC-8CCC-88AD127E35A0}"/>
    <hyperlink ref="Z97" r:id="rId566" display="2605127196" xr:uid="{C4454144-7732-415B-A41F-6F0D5FDE32FB}"/>
    <hyperlink ref="Z98" r:id="rId567" display="2605123208" xr:uid="{6D547A2C-2F5F-4759-8DD3-4D5BB8658F62}"/>
    <hyperlink ref="Z99" r:id="rId568" display="2605125079" xr:uid="{AD22FA28-409F-4875-821B-2EA9BCDBB611}"/>
    <hyperlink ref="Z100" r:id="rId569" display="2605124012" xr:uid="{5020E147-77FB-4163-BC70-43A65250A583}"/>
    <hyperlink ref="Z101" r:id="rId570" display="2605127558" xr:uid="{9BB23C1D-E64B-44B8-81AA-87E4CB192A34}"/>
    <hyperlink ref="Z102" r:id="rId571" display="2605124992" xr:uid="{38EDBDD8-8333-47AE-A661-304917F77EBC}"/>
    <hyperlink ref="Z103" r:id="rId572" display="2605125152" xr:uid="{9FDC6BF6-5F79-4C47-8A7C-D5F016B89028}"/>
    <hyperlink ref="Z104" r:id="rId573" display="2605127560" xr:uid="{BE28C070-0ED2-44FC-B3B6-A778130D47CD}"/>
    <hyperlink ref="Z105" r:id="rId574" display="2605126039" xr:uid="{3E8267F7-12EC-49E5-A7FA-6D45B580F067}"/>
    <hyperlink ref="Z106" r:id="rId575" display="2605125430" xr:uid="{0327EDCE-85E1-4F82-A746-C395C33A99F5}"/>
    <hyperlink ref="Z107" r:id="rId576" display="2605125143" xr:uid="{86F8CAF6-A3DD-4096-AE20-EE0DD20F14EC}"/>
    <hyperlink ref="Z108" r:id="rId577" display="2605126060" xr:uid="{715ABB42-9C6A-47AA-9F7E-D3899975A543}"/>
    <hyperlink ref="Z111" r:id="rId578" display="2605126161" xr:uid="{D661F960-3D89-40EC-B4C4-F4A163D8DAAF}"/>
    <hyperlink ref="Z112" r:id="rId579" display="2605126884" xr:uid="{5F3364DE-6E21-4AF7-BE37-F6EC0745643A}"/>
    <hyperlink ref="Z113" r:id="rId580" display="2605127561" xr:uid="{567B6496-DDE0-40E0-9305-2BC3DF527FF0}"/>
    <hyperlink ref="Z114" r:id="rId581" display="2605127669" xr:uid="{29FD446C-0F7F-419B-A63D-A7E9290DC194}"/>
    <hyperlink ref="Z115" r:id="rId582" display="2605126627" xr:uid="{C826512C-6C2C-48C9-8DD9-937AFD26B676}"/>
    <hyperlink ref="Z117" r:id="rId583" display="2605127563" xr:uid="{5642C038-5895-45F5-A762-A40D0774532C}"/>
    <hyperlink ref="Z119" r:id="rId584" display="2605126952" xr:uid="{75804E0E-5DAD-438B-BAAA-ED6D67CC398A}"/>
    <hyperlink ref="Z121" r:id="rId585" display="2605127649" xr:uid="{507EAF9D-9C6A-4C58-B269-7F538F9E429B}"/>
    <hyperlink ref="Z123" r:id="rId586" display="2605127293" xr:uid="{50DDE4E2-FC8C-485B-8163-CF37E96B3F91}"/>
    <hyperlink ref="Z125" r:id="rId587" display="2605127654" xr:uid="{1F0C34DF-22A1-4203-BE00-F4AEF568BA8D}"/>
    <hyperlink ref="Z109" r:id="rId588" display="2605129127" xr:uid="{770BEF61-9891-46C9-ABFA-86A71DD0130E}"/>
    <hyperlink ref="Z110" r:id="rId589" display="2605129274" xr:uid="{AF7D5557-D226-4E44-A7F4-1F3726AED1E6}"/>
    <hyperlink ref="Z116" r:id="rId590" display="2605130145" xr:uid="{66C7F34C-B585-4FEF-A21E-DF62AD50EB23}"/>
    <hyperlink ref="Z118" r:id="rId591" display="2605128458" xr:uid="{46972F01-AE76-483D-B43D-B8FABFE55CD2}"/>
    <hyperlink ref="Z122" r:id="rId592" display="2605129781" xr:uid="{859B08BE-4ED3-4D8E-AF22-63B58E3E98D3}"/>
    <hyperlink ref="Z131" r:id="rId593" display="2605128897" xr:uid="{A5FA1B3E-C511-4D3A-A902-4D27E16CBD60}"/>
    <hyperlink ref="Z132" r:id="rId594" display="2605127727" xr:uid="{A3C7963D-A687-48CD-8F6A-81FE81B30F27}"/>
    <hyperlink ref="Z127" r:id="rId595" display="2605128791" xr:uid="{A1741A68-EA38-4E63-A8B5-C0E34ACEFACD}"/>
    <hyperlink ref="Z130" r:id="rId596" display="2605130464" xr:uid="{ABD01CCD-A6DA-47F9-AC51-0B41B19089FC}"/>
    <hyperlink ref="Z124" r:id="rId597" display="2605132151" xr:uid="{DD876728-4C83-4E3E-8D20-D204660B7F24}"/>
    <hyperlink ref="Z134" r:id="rId598" display="2605131592" xr:uid="{7594FB60-1750-451D-B7BB-65F2B4D00E70}"/>
    <hyperlink ref="Z138" r:id="rId599" display="2605132075" xr:uid="{1DCCD32B-C782-4198-9C64-7996B6C27BF7}"/>
    <hyperlink ref="Z139" r:id="rId600" display="2605131931" xr:uid="{972E8051-5070-454A-AFBB-417F47F2AC5A}"/>
    <hyperlink ref="Z143" r:id="rId601" display="2605132366" xr:uid="{A4BC775C-F270-4841-A177-68BE84347DD6}"/>
    <hyperlink ref="Z147" r:id="rId602" display="2605132703" xr:uid="{DDEB90A3-3957-4C6C-9E48-AC51DE1D98C4}"/>
    <hyperlink ref="Z126" r:id="rId603" display="2605133116" xr:uid="{D7181C86-5C5E-4FE6-A032-7F085B972A19}"/>
    <hyperlink ref="Z128" r:id="rId604" display="2605133220" xr:uid="{C2F4384D-73B1-4799-BEC2-EA1D9ED3BFFD}"/>
    <hyperlink ref="Z129" r:id="rId605" display="2605133269" xr:uid="{DEB927F1-8807-451B-B039-51F19E296F36}"/>
    <hyperlink ref="Z133" r:id="rId606" display="2605133281" xr:uid="{6AAB3055-881C-4DE4-9DCF-1A191732D7F8}"/>
    <hyperlink ref="Z135" r:id="rId607" display="2605133290" xr:uid="{7B19463F-CD01-4E79-AAEF-698E8B7A6455}"/>
    <hyperlink ref="Z136" r:id="rId608" display="2605133769" xr:uid="{E99AB2DA-5305-4427-BD6A-18B9182F3576}"/>
    <hyperlink ref="Z137" r:id="rId609" display="2605133969" xr:uid="{587C5156-A9FE-4064-9413-68EF673F0F3F}"/>
    <hyperlink ref="Z140" r:id="rId610" display="2605134191" xr:uid="{1FAA92E8-2A1B-492E-B6AB-88484D9492CF}"/>
    <hyperlink ref="Z142" r:id="rId611" display="2605134947" xr:uid="{DEDEAE26-7F29-4B73-9381-8F44CE9DC72D}"/>
    <hyperlink ref="Z144" r:id="rId612" display="2605135130" xr:uid="{19D2F95E-E633-4233-B4BF-BBD49820E552}"/>
    <hyperlink ref="Z141" r:id="rId613" display="2605134439" xr:uid="{A56E2C61-7FA2-4936-AF92-6F26448A21D7}"/>
    <hyperlink ref="Z146" r:id="rId614" display="2605135364" xr:uid="{9A0EDC6F-7743-4023-8943-F5BE89C46C45}"/>
    <hyperlink ref="Z148" r:id="rId615" display="2605135551" xr:uid="{47D39ACC-40A1-4F52-AF9C-7F80E10CD70C}"/>
    <hyperlink ref="Z150" r:id="rId616" display="2605135368" xr:uid="{F9C50796-41D8-4354-862E-79885E7CA906}"/>
    <hyperlink ref="Z154" r:id="rId617" display="2605135501" xr:uid="{58201C64-61F5-4422-875E-4396D6484830}"/>
    <hyperlink ref="AA2" r:id="rId618" display="2605114532" xr:uid="{5E9F875A-571C-4CDC-808D-0C54EF500FC9}"/>
    <hyperlink ref="AA3" r:id="rId619" display="2605109992" xr:uid="{27290C8B-528F-45CD-8893-3A7808434BEF}"/>
    <hyperlink ref="AA4" r:id="rId620" display="2605107634" xr:uid="{36409430-0A9F-4CFB-ACBA-7B60217A6D16}"/>
    <hyperlink ref="AA5" r:id="rId621" display="260597318" xr:uid="{BF78BBFD-1723-4D21-8DD6-711F87896BA8}"/>
    <hyperlink ref="AA6" r:id="rId622" display="260599583" xr:uid="{CA7AD475-7030-4D5D-9091-E1184D068485}"/>
    <hyperlink ref="AA7" r:id="rId623" display="2605107573" xr:uid="{3792657F-F4EA-42BD-8F84-2493B55B8829}"/>
    <hyperlink ref="AA8" r:id="rId624" display="2605102768" xr:uid="{ADE0B62C-0396-46E2-8A74-8E280C2A5D85}"/>
    <hyperlink ref="AA9" r:id="rId625" display="2605101997" xr:uid="{EB6108FA-B132-475F-8000-9D0BD224114D}"/>
    <hyperlink ref="AA10" r:id="rId626" display="2605101999" xr:uid="{52DDF46F-12D1-4206-A07F-3FDFBD563C67}"/>
    <hyperlink ref="AA11" r:id="rId627" display="2605107743" xr:uid="{D09A17CD-0C55-46CA-8101-FC20B7295905}"/>
    <hyperlink ref="AA12" r:id="rId628" display="2605102001" xr:uid="{DAF93E0B-31D6-4FE5-A589-DF10D7BACF15}"/>
    <hyperlink ref="AA13" r:id="rId629" display="2605107710" xr:uid="{6E67878A-3EB6-4EA4-86F6-10E95E293089}"/>
    <hyperlink ref="AA14" r:id="rId630" display="2605105058" xr:uid="{4E166FDB-D71A-4B7F-9843-56A3CBE39699}"/>
    <hyperlink ref="AA15" r:id="rId631" display="2605105078" xr:uid="{6D0ADE60-7270-4BB4-B68B-374D5AABBE25}"/>
    <hyperlink ref="AA16" r:id="rId632" display="2605105134" xr:uid="{658DFD22-699A-4B97-959C-0CC02D723796}"/>
    <hyperlink ref="AA17" r:id="rId633" display="2605102626" xr:uid="{147EBBDF-9EE1-493A-A5C3-AEF276B5868C}"/>
    <hyperlink ref="AA18" r:id="rId634" display="2605104792" xr:uid="{1CB93104-008E-4931-9958-41381DE392E9}"/>
    <hyperlink ref="AA19" r:id="rId635" display="2605110378" xr:uid="{082019AF-BE12-4653-AD08-0472598527EA}"/>
    <hyperlink ref="AA20" r:id="rId636" display="2605110317" xr:uid="{C86B4E9D-6884-46D7-82B6-38DDDBCDE0B5}"/>
    <hyperlink ref="AA21" r:id="rId637" display="2605110277" xr:uid="{F13827D1-9E6F-4133-8524-5340080DACA0}"/>
    <hyperlink ref="AA22" r:id="rId638" display="2605104765" xr:uid="{BD86C558-9198-491A-B206-82FB83D67EF0}"/>
    <hyperlink ref="AA23" r:id="rId639" display="2605110144" xr:uid="{BC8ECAA3-330D-4472-8EA2-31693A92221A}"/>
    <hyperlink ref="AA24" r:id="rId640" display="2605112548" xr:uid="{F51976E2-82E2-4241-9B59-ADA4C5C0E130}"/>
    <hyperlink ref="AA25" r:id="rId641" display="2605107984" xr:uid="{B35CF970-C2BA-4592-AA17-E99AAF3904DC}"/>
    <hyperlink ref="AA26" r:id="rId642" display="2605110090" xr:uid="{A4FE9EAA-2B66-4447-B357-8B1CAC4C8183}"/>
    <hyperlink ref="AA27" r:id="rId643" display="2605110037" xr:uid="{73D161EA-A3B5-472F-B4CF-F8F9EF9F47F5}"/>
    <hyperlink ref="AA28" r:id="rId644" display="2605110562" xr:uid="{B323DE97-C215-4BC5-B4AB-B7D380236012}"/>
    <hyperlink ref="AA29" r:id="rId645" display="2605107389" xr:uid="{8E5E86BB-EF3E-487C-BC0A-2FB753BFCF3B}"/>
    <hyperlink ref="AA30" r:id="rId646" display="2605112533" xr:uid="{0CD5D181-5C2B-461C-A244-205449E22465}"/>
    <hyperlink ref="AA31" r:id="rId647" display="2605107383" xr:uid="{4E7B6E45-EA1F-4DCE-BEBF-6DA0DA23B69F}"/>
    <hyperlink ref="AA32" r:id="rId648" display="2605110377" xr:uid="{45CEAF94-2575-4AF7-8E82-93F3B1086950}"/>
    <hyperlink ref="AA33" r:id="rId649" display="2605112433" xr:uid="{EBC85AAC-41C7-4DFF-96C5-CAB40E84923A}"/>
    <hyperlink ref="AA34" r:id="rId650" display="2605109863" xr:uid="{1C79DE77-150D-4E4B-B1BF-E991EC230615}"/>
    <hyperlink ref="AA35" r:id="rId651" display="2605110139" xr:uid="{8511D1B3-96AD-4901-A237-62F684C8C37C}"/>
    <hyperlink ref="AA37" r:id="rId652" display="2605112430" xr:uid="{E4FCB099-982F-4E2B-9ACE-0D730A57040E}"/>
    <hyperlink ref="AA38" r:id="rId653" display="2605112514" xr:uid="{76234855-84C4-4EF5-A0FB-86ACC9BA6DA4}"/>
    <hyperlink ref="AA39" r:id="rId654" display="2605109858" xr:uid="{E08DAEC4-246D-401B-A7A8-6C6D323ADE00}"/>
    <hyperlink ref="AA41" r:id="rId655" display="2605109851" xr:uid="{96D4D59C-7F84-4514-BCC9-7350952FEB4A}"/>
    <hyperlink ref="AA42" r:id="rId656" display="2605110161" xr:uid="{2CE5AF1D-D2C1-4866-9127-6A4C5D6D679F}"/>
    <hyperlink ref="AA43" r:id="rId657" display="2605114534" xr:uid="{E47ED0FE-0F3F-46F0-B857-49606D86E043}"/>
    <hyperlink ref="AA44" r:id="rId658" display="2605114515" xr:uid="{02D87396-7569-48F2-9516-E1D3508BDAB5}"/>
    <hyperlink ref="AA45" r:id="rId659" display="2605109841" xr:uid="{2BE2DB46-2D4A-47A7-B359-AD83D437EB23}"/>
    <hyperlink ref="AA46" r:id="rId660" display="2605112451" xr:uid="{1C576623-616A-495A-B7CE-DC09FA00F58A}"/>
    <hyperlink ref="AA47" r:id="rId661" display="2605110346" xr:uid="{28648F99-8B2F-4D12-95D2-B7692CEEA4AA}"/>
    <hyperlink ref="AA48" r:id="rId662" display="2605114518" xr:uid="{7FA91DA5-4522-4354-82B7-92DA6E3A22DC}"/>
    <hyperlink ref="AA49" r:id="rId663" display="2605112505" xr:uid="{CF4EDCE2-8DAB-459F-9AC0-BB58FFE58765}"/>
    <hyperlink ref="AA50" r:id="rId664" display="2605114358" xr:uid="{A975C91C-F55E-416D-ACDD-645D2E7D0312}"/>
    <hyperlink ref="AA51" r:id="rId665" display="2605114359" xr:uid="{4FCBB6B8-1CF0-4D66-B278-0BECE2148C28}"/>
    <hyperlink ref="AA53" r:id="rId666" display="2605112639" xr:uid="{BD2C0113-C8DE-49FD-85D1-AC4628460076}"/>
    <hyperlink ref="AA54" r:id="rId667" display="2605112425" xr:uid="{1C095F64-24E6-4ED5-96E3-36752FA1C8E5}"/>
    <hyperlink ref="AA55" r:id="rId668" display="2605114351" xr:uid="{3A2ACA10-09B3-4A0B-99EA-594E0C6952AC}"/>
    <hyperlink ref="AA56" r:id="rId669" display="2605117769" xr:uid="{FBAB360F-CF89-40C0-B81C-A1DD74CE1617}"/>
    <hyperlink ref="AA57" r:id="rId670" display="2605114353" xr:uid="{3A9A015C-5841-4D4C-AA96-FB29B6164C79}"/>
    <hyperlink ref="AA59" r:id="rId671" display="2605117897" xr:uid="{8EDDED61-C24D-4586-B322-15F1AD23AF7C}"/>
    <hyperlink ref="AA60" r:id="rId672" display="2605123254" xr:uid="{BED5B080-E496-42A3-847B-5A1DFFB8522D}"/>
    <hyperlink ref="AA70" r:id="rId673" display="2605125477" xr:uid="{998D3EDF-16B1-432F-B1E9-A92BB3637B70}"/>
    <hyperlink ref="AA74" r:id="rId674" display="2605125611" xr:uid="{E3D24557-ED96-4834-B8FA-A0FD67D3E737}"/>
    <hyperlink ref="AA75" r:id="rId675" display="2605120536" xr:uid="{6B6E020D-16F5-4DBE-933F-1EE4E849E655}"/>
    <hyperlink ref="AA76" r:id="rId676" display="2605120402" xr:uid="{BFA932B3-C202-4937-9EB9-F77E39347915}"/>
    <hyperlink ref="AA79" r:id="rId677" display="2605120305" xr:uid="{58376413-32C1-4E1B-8AF2-A96F4A2873CC}"/>
    <hyperlink ref="AA80" r:id="rId678" display="2605120420" xr:uid="{1C7CA13F-E1D9-4757-AFF9-91729D723D63}"/>
    <hyperlink ref="AA84" r:id="rId679" display="2605122963" xr:uid="{4A560FC0-F652-4E26-A55E-7C5DA4CEB860}"/>
    <hyperlink ref="AA85" r:id="rId680" display="2605122911" xr:uid="{91AE2F8C-CBD3-4AE5-B992-5C18AC4B544D}"/>
    <hyperlink ref="AA67" r:id="rId681" display="2605120411" xr:uid="{D69AF760-D37C-41C2-A9B1-1CAF8D69C542}"/>
    <hyperlink ref="AA69" r:id="rId682" display="2605122815" xr:uid="{865D79D7-535B-4986-89C5-53EBA12839C6}"/>
    <hyperlink ref="AA100" r:id="rId683" display="2605125449" xr:uid="{28803808-FD73-4F0A-945D-A0041B1C5FB8}"/>
    <hyperlink ref="AA36" r:id="rId684" display="2605110120" xr:uid="{26B435C9-6FD9-40F0-BD18-43FA1F1119F5}"/>
    <hyperlink ref="AA52" r:id="rId685" display="2605117796" xr:uid="{5A3829B3-59A0-42E5-82F6-89899BD320D1}"/>
    <hyperlink ref="AA64" r:id="rId686" display="2605120518" xr:uid="{1B3F8F0E-FA2D-40F0-9322-C04F69016158}"/>
    <hyperlink ref="AA65" r:id="rId687" display="2605117725" xr:uid="{9E3A1525-2486-4AA5-A60C-13E67C0AB565}"/>
    <hyperlink ref="AA71" r:id="rId688" display="2605118333" xr:uid="{5B9CBE44-7912-4B85-BF3B-4F15923F87FB}"/>
    <hyperlink ref="AA73" r:id="rId689" display="2605120479" xr:uid="{DCF24296-0E1B-4445-81EA-42DF16493D26}"/>
    <hyperlink ref="AA77" r:id="rId690" display="2605121038" xr:uid="{59B04431-580B-4207-BC54-9C89F630A7EA}"/>
    <hyperlink ref="AA78" r:id="rId691" display="2605121013" xr:uid="{390A0912-8F24-430E-A465-3DFCE7778D84}"/>
    <hyperlink ref="AA81" r:id="rId692" display="2605122751" xr:uid="{FD73C13E-4A34-4200-9FCF-B406038D2FDF}"/>
    <hyperlink ref="AA82" r:id="rId693" display="2605122896" xr:uid="{0AFBD427-DF2C-4FD6-8312-F19CB0DBE2D2}"/>
    <hyperlink ref="AA83" r:id="rId694" display="2605122843" xr:uid="{9192866A-834E-40E4-9826-F5B69BEC4835}"/>
    <hyperlink ref="AA88" r:id="rId695" display="2605125662" xr:uid="{75FEAB98-93CA-4257-A4EC-1FD601325377}"/>
    <hyperlink ref="Y3" r:id="rId696" xr:uid="{B2AAECBC-862C-45F9-8451-851C68856407}"/>
    <hyperlink ref="Y4" r:id="rId697" xr:uid="{01D48D59-F6D3-4A39-A17C-AD778F0CA26D}"/>
    <hyperlink ref="Y5" r:id="rId698" xr:uid="{4D1A6C90-34FC-4768-ADFD-4E72B995F503}"/>
    <hyperlink ref="Y6" r:id="rId699" xr:uid="{9C4C280F-D7EB-4251-82EB-6DE00E3FBB54}"/>
    <hyperlink ref="Y7" r:id="rId700" xr:uid="{DD57BFD7-6CE0-40DE-9A33-F88E56F00432}"/>
    <hyperlink ref="Y8" r:id="rId701" xr:uid="{2824B83D-34A8-4B91-8827-117EF8DE3C93}"/>
    <hyperlink ref="Y9" r:id="rId702" xr:uid="{DDB5EBEF-84F2-44C0-9BD2-F197C9BC2831}"/>
    <hyperlink ref="Y10" r:id="rId703" xr:uid="{98FA24AF-86D5-4DBD-AA18-5009AAC0D021}"/>
    <hyperlink ref="Y11" r:id="rId704" xr:uid="{1CE5CB07-5817-4D9E-BC5C-49BCC9F6ACAA}"/>
    <hyperlink ref="Y12" r:id="rId705" xr:uid="{3412A0C2-50C1-497F-9D5F-460DF84BAD8C}"/>
    <hyperlink ref="Y13" r:id="rId706" xr:uid="{852A1B33-561E-4AE6-8001-C5BD9558D742}"/>
    <hyperlink ref="Y14" r:id="rId707" xr:uid="{73E194AC-40A3-4D6D-BAFF-9F03149D278A}"/>
    <hyperlink ref="Y15" r:id="rId708" xr:uid="{37DD185D-7D93-4022-9618-F9E19B20FDC8}"/>
    <hyperlink ref="Y16" r:id="rId709" xr:uid="{06D322B4-C19C-4051-AC5A-53981E6156A9}"/>
    <hyperlink ref="Y17" r:id="rId710" xr:uid="{E59107ED-4414-43F9-8D5C-444D64CD7590}"/>
    <hyperlink ref="Y18" r:id="rId711" xr:uid="{A94B1F1A-6F66-4875-A1D2-6E1D41FDBF5D}"/>
    <hyperlink ref="Y19" r:id="rId712" xr:uid="{ADD39A66-8C2C-45B1-B184-A2B9321AADD7}"/>
    <hyperlink ref="Y20" r:id="rId713" xr:uid="{DFC0F666-E14E-4060-BA5D-9778A4E66CB5}"/>
    <hyperlink ref="Y21" r:id="rId714" xr:uid="{FEB4C0F9-EBC5-4D8D-ABD8-9CA76558D8FA}"/>
    <hyperlink ref="Y22" r:id="rId715" xr:uid="{1F10B392-99C6-4850-91C4-279B22B0EA4B}"/>
    <hyperlink ref="Y23" r:id="rId716" xr:uid="{3EC88C6D-6725-4EF9-8877-A437CDC60E47}"/>
    <hyperlink ref="Y24" r:id="rId717" xr:uid="{151D90DA-FE27-4D3E-A7D4-D0475EB3639C}"/>
    <hyperlink ref="Y25" r:id="rId718" xr:uid="{72B362FB-12A8-4EFD-A229-636F440F441A}"/>
    <hyperlink ref="Y26" r:id="rId719" xr:uid="{927EBE51-B2EC-451A-8777-99C57FB17D60}"/>
    <hyperlink ref="Y27" r:id="rId720" xr:uid="{75970E8E-EC37-4FE2-95F6-F8835B90284B}"/>
    <hyperlink ref="AF86" r:id="rId721" display="19/03/2026" xr:uid="{4EB2A940-AA74-4E26-B66A-554B1F912E86}"/>
    <hyperlink ref="AF92" r:id="rId722" display="19/03/2026" xr:uid="{E2F5E3F6-21C7-4F0F-9F81-563AEABD10E9}"/>
    <hyperlink ref="AF93" r:id="rId723" display="19/03/2026" xr:uid="{6F5E4201-DB16-4703-BA48-CD68572478DC}"/>
    <hyperlink ref="AF125" r:id="rId724" display="19/03/2026" xr:uid="{ACD13D38-14DF-43AF-AF6B-64253852AD14}"/>
    <hyperlink ref="Y28" r:id="rId725" xr:uid="{7A4899CC-8BDA-4591-9629-5ED2B5AB52D4}"/>
    <hyperlink ref="Y29" r:id="rId726" xr:uid="{CDBC043F-8DC6-4CB8-AC1F-2209710AE82F}"/>
    <hyperlink ref="Y30" r:id="rId727" xr:uid="{C483247B-86B9-4C97-ABBB-005F79EB7DBA}"/>
    <hyperlink ref="Y33" r:id="rId728" xr:uid="{E5BE0E3E-D126-46B3-986C-95FC7D421531}"/>
    <hyperlink ref="Y34" r:id="rId729" xr:uid="{22864210-E8F8-401B-A330-A65CAF64F70A}"/>
    <hyperlink ref="Y35" r:id="rId730" xr:uid="{CB28061A-F87F-4ADE-BAC1-3694EA416225}"/>
    <hyperlink ref="Y36" r:id="rId731" xr:uid="{4FD9CA71-4DF7-4C32-BE06-58D1B3A02287}"/>
    <hyperlink ref="Y37" r:id="rId732" xr:uid="{8F791267-8FA5-44AD-9F80-7459085C2B29}"/>
    <hyperlink ref="Y38" r:id="rId733" xr:uid="{1C5B1C47-550B-406D-8792-450EECDA8461}"/>
    <hyperlink ref="Y39" r:id="rId734" xr:uid="{C49C05D5-A68B-45BD-97BB-641732211892}"/>
    <hyperlink ref="Y40" r:id="rId735" xr:uid="{603A32BB-A9AE-45F8-96AD-5C11A69EB152}"/>
    <hyperlink ref="Y41" r:id="rId736" xr:uid="{3BA3C6EE-88DB-45E5-8A7C-E8164B06B0D9}"/>
    <hyperlink ref="Y42" r:id="rId737" xr:uid="{5D50ACFE-C90B-4EAB-837B-3E0C9C43E0D6}"/>
    <hyperlink ref="Y43" r:id="rId738" xr:uid="{03D467D2-4D45-4924-A092-9994CCA70846}"/>
    <hyperlink ref="Y44" r:id="rId739" xr:uid="{027CAD88-3A4D-42EB-B7E8-584ABC04FAE2}"/>
    <hyperlink ref="Y45" r:id="rId740" xr:uid="{6E50E789-ED31-4249-A045-2EFD451B36B2}"/>
    <hyperlink ref="Y46" r:id="rId741" xr:uid="{A534B11C-3091-49DD-A56E-76552309E8C1}"/>
    <hyperlink ref="X120" r:id="rId742" xr:uid="{03A41A78-E71B-4FC4-9D1A-62E90D35D07F}"/>
    <hyperlink ref="Z120" r:id="rId743" display="2605130467" xr:uid="{F32E78C4-8EF4-4B1F-AB3E-B62ECA0CAA60}"/>
    <hyperlink ref="X150" r:id="rId744" xr:uid="{BEAC8F7E-2F5A-4DDE-B93F-EA940F36E9BB}"/>
    <hyperlink ref="X151" r:id="rId745" xr:uid="{40299DA9-33ED-4372-B05E-10F8E44471B8}"/>
    <hyperlink ref="X153" r:id="rId746" xr:uid="{2C0A6F25-F6CC-4710-A018-2D8CD61D802C}"/>
    <hyperlink ref="AE150" r:id="rId747" display="4090180582" xr:uid="{03676988-83AA-4865-80B2-D10BBF6751B4}"/>
    <hyperlink ref="AE151" r:id="rId748" display="4090180583" xr:uid="{61B4782D-EBF1-4412-93FC-DC137E6E5BFF}"/>
    <hyperlink ref="AE153" r:id="rId749" display="4090180585" xr:uid="{6AEC2293-73CB-45C1-95F8-43A0DE6C9541}"/>
    <hyperlink ref="AE155" r:id="rId750" display="4090180587" xr:uid="{E23AFD06-85B9-4F4C-9ED9-0DC86346A3BC}"/>
    <hyperlink ref="AE145" r:id="rId751" display="4090180552" xr:uid="{515AC717-13C1-4743-8FB8-3C4712DA44B2}"/>
    <hyperlink ref="AE146" r:id="rId752" display="4090180553" xr:uid="{D384AB57-4840-4D96-B942-850BD0B87F12}"/>
    <hyperlink ref="AE164" r:id="rId753" display="4090180624" xr:uid="{5DF8A080-C0E1-4BB5-8065-A94922679D26}"/>
    <hyperlink ref="D102" r:id="rId754" xr:uid="{D55D8FE3-63B8-4CDB-9924-0EFDAA399987}"/>
    <hyperlink ref="X145" r:id="rId755" xr:uid="{1B10788F-D20F-4440-A67B-A8246B861626}"/>
    <hyperlink ref="X148" r:id="rId756" xr:uid="{954B13E5-9D46-4215-BE5C-025AF2991CA4}"/>
    <hyperlink ref="X154" r:id="rId757" xr:uid="{6A516AE4-8087-4771-8381-49F661E4566E}"/>
    <hyperlink ref="X155" r:id="rId758" xr:uid="{413E83BF-1A66-48C6-9382-8087A65AB3CB}"/>
    <hyperlink ref="X157" r:id="rId759" xr:uid="{B531BC44-86CB-491E-96EE-F1E79BC6E13C}"/>
    <hyperlink ref="X158" r:id="rId760" xr:uid="{A3D98B51-3540-4246-8CF6-248EC1DEB17E}"/>
    <hyperlink ref="X162" r:id="rId761" xr:uid="{D0AA9C33-3760-4162-91F3-3C65BCD744A0}"/>
    <hyperlink ref="X164" r:id="rId762" xr:uid="{CA87327F-485D-4896-AB7D-FA9E7094684A}"/>
    <hyperlink ref="Z166" r:id="rId763" display="2605137759" xr:uid="{3D9C0064-A996-4C2E-9AF5-321D005A17E1}"/>
    <hyperlink ref="Z164" r:id="rId764" display="2605137029" xr:uid="{EBD2C879-9384-4B7C-8741-9692CA5E6E66}"/>
    <hyperlink ref="Z162" r:id="rId765" display="2605136855" xr:uid="{A6179C30-364D-42D5-A440-425F5F51C629}"/>
    <hyperlink ref="Z161" r:id="rId766" display="2605137664" xr:uid="{22EB7B01-875E-4D46-B0D3-8D9FC90568A3}"/>
    <hyperlink ref="Z158" r:id="rId767" display="2605136589" xr:uid="{397EE1D1-DD66-4B3D-8E17-35E5D4A0C600}"/>
    <hyperlink ref="Z157" r:id="rId768" display="2605136552" xr:uid="{DE537A61-E283-4895-82BA-41395A001EC0}"/>
    <hyperlink ref="Z155" r:id="rId769" display="2605136336" xr:uid="{17D995A5-6E20-4827-8535-5307D26C1A9A}"/>
    <hyperlink ref="Z153" r:id="rId770" display="2605136938" xr:uid="{86F7CF5E-AAF3-4188-940B-62CBA55D0E67}"/>
    <hyperlink ref="Z151" r:id="rId771" display="2605136178" xr:uid="{78D98A93-FD0D-4C7A-90BC-08C21A067246}"/>
    <hyperlink ref="Z145" r:id="rId772" display="2605137738" xr:uid="{B59A597E-1F6E-4582-B87C-00857487FF90}"/>
  </hyperlinks>
  <pageMargins left="0.7" right="0.7" top="0.75" bottom="0.75" header="0.3" footer="0.3"/>
  <legacyDrawing r:id="rId7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tabSelected="1" workbookViewId="0">
      <selection activeCell="E17" sqref="E17"/>
    </sheetView>
  </sheetViews>
  <sheetFormatPr baseColWidth="10" defaultColWidth="9.140625"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24" t="s">
        <v>1146</v>
      </c>
      <c r="B1" s="24" t="s">
        <v>1147</v>
      </c>
      <c r="C1" s="24" t="s">
        <v>10</v>
      </c>
      <c r="D1" s="24" t="s">
        <v>1148</v>
      </c>
      <c r="E1" s="24" t="s">
        <v>1149</v>
      </c>
      <c r="F1" s="24"/>
      <c r="G1" s="24" t="s">
        <v>1150</v>
      </c>
      <c r="I1" t="s">
        <v>1151</v>
      </c>
      <c r="J1" t="s">
        <v>1152</v>
      </c>
      <c r="K1" t="s">
        <v>1153</v>
      </c>
    </row>
    <row r="2" spans="1:11">
      <c r="A2" t="s">
        <v>1154</v>
      </c>
      <c r="B2" t="s">
        <v>495</v>
      </c>
      <c r="C2" t="s">
        <v>60</v>
      </c>
      <c r="D2" t="s">
        <v>1155</v>
      </c>
      <c r="E2" t="s">
        <v>1156</v>
      </c>
      <c r="F2" t="s">
        <v>1157</v>
      </c>
      <c r="G2" t="s">
        <v>58</v>
      </c>
      <c r="H2" t="s">
        <v>1158</v>
      </c>
      <c r="I2" t="s">
        <v>1159</v>
      </c>
      <c r="J2" s="2" t="s">
        <v>52</v>
      </c>
      <c r="K2" t="s">
        <v>1160</v>
      </c>
    </row>
    <row r="3" spans="1:11">
      <c r="A3" s="24" t="s">
        <v>1161</v>
      </c>
      <c r="B3" t="s">
        <v>1162</v>
      </c>
      <c r="C3" t="s">
        <v>44</v>
      </c>
      <c r="D3" t="s">
        <v>46</v>
      </c>
      <c r="E3" t="s">
        <v>1163</v>
      </c>
      <c r="F3" t="s">
        <v>1164</v>
      </c>
      <c r="G3" t="s">
        <v>1165</v>
      </c>
      <c r="H3" t="s">
        <v>1166</v>
      </c>
      <c r="I3" t="s">
        <v>1167</v>
      </c>
      <c r="J3" s="2" t="s">
        <v>66</v>
      </c>
      <c r="K3" t="s">
        <v>1168</v>
      </c>
    </row>
    <row r="4" spans="1:11">
      <c r="A4" t="s">
        <v>1169</v>
      </c>
      <c r="B4" t="s">
        <v>503</v>
      </c>
      <c r="C4" t="s">
        <v>1170</v>
      </c>
      <c r="D4" t="s">
        <v>1145</v>
      </c>
      <c r="E4" t="s">
        <v>24</v>
      </c>
      <c r="F4" t="s">
        <v>1171</v>
      </c>
      <c r="H4" t="s">
        <v>1172</v>
      </c>
      <c r="I4" t="s">
        <v>1173</v>
      </c>
      <c r="J4" s="2" t="s">
        <v>76</v>
      </c>
      <c r="K4" t="s">
        <v>1174</v>
      </c>
    </row>
    <row r="5" spans="1:11">
      <c r="B5" t="s">
        <v>1175</v>
      </c>
      <c r="F5" t="s">
        <v>1176</v>
      </c>
      <c r="J5" s="2" t="s">
        <v>102</v>
      </c>
      <c r="K5" t="s">
        <v>1177</v>
      </c>
    </row>
    <row r="6" spans="1:11">
      <c r="B6" t="s">
        <v>39</v>
      </c>
      <c r="J6" s="2" t="s">
        <v>188</v>
      </c>
      <c r="K6" t="s">
        <v>1178</v>
      </c>
    </row>
    <row r="7" spans="1:11">
      <c r="J7" s="1" t="s">
        <v>330</v>
      </c>
      <c r="K7" t="s">
        <v>1177</v>
      </c>
    </row>
    <row r="8" spans="1:11">
      <c r="J8" s="1" t="s">
        <v>395</v>
      </c>
      <c r="K8" t="s">
        <v>1179</v>
      </c>
    </row>
    <row r="9" spans="1:11">
      <c r="J9" s="1" t="s">
        <v>403</v>
      </c>
      <c r="K9" t="s">
        <v>1180</v>
      </c>
    </row>
    <row r="10" spans="1:11">
      <c r="J10" s="1" t="s">
        <v>478</v>
      </c>
      <c r="K10" t="s">
        <v>1181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E6228-D059-4D4A-9844-9FB7E4EC76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5864D4-4D75-4318-98FB-08B4DB48CF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33FB95-B7F1-4430-9D8C-98621A69F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2f0e3-f4c4-4931-8e76-960ae7228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IMPO TERR</vt:lpstr>
      <vt:lpstr>Matriz datos</vt:lpstr>
      <vt:lpstr>CARGA</vt:lpstr>
      <vt:lpstr>cliente</vt:lpstr>
      <vt:lpstr>INSTRUCCIONES</vt:lpstr>
      <vt:lpstr>TIPO_CARGA</vt:lpstr>
      <vt:lpstr>TIPO_OPERACION</vt:lpstr>
      <vt:lpstr>TIPO_TRAMITE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Alejandro Cifuentes</cp:lastModifiedBy>
  <cp:revision/>
  <dcterms:created xsi:type="dcterms:W3CDTF">2026-03-04T12:39:48Z</dcterms:created>
  <dcterms:modified xsi:type="dcterms:W3CDTF">2026-03-20T11:23:42Z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