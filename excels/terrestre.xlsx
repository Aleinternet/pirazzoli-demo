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\zz_ale_cosas\otras_personas\Pirazzoli\pirazzoli-demo\excels\"/>
    </mc:Choice>
  </mc:AlternateContent>
  <xr:revisionPtr revIDLastSave="0" documentId="13_ncr:1_{5724496A-D122-4F8A-ABDC-88198B6A282B}" xr6:coauthVersionLast="47" xr6:coauthVersionMax="47" xr10:uidLastSave="{00000000-0000-0000-0000-000000000000}"/>
  <bookViews>
    <workbookView xWindow="28680" yWindow="-120" windowWidth="29040" windowHeight="15720" xr2:uid="{7618C72B-C967-4346-827E-EFA46EAC6289}"/>
  </bookViews>
  <sheets>
    <sheet name="IMPO TERR" sheetId="1" r:id="rId1"/>
    <sheet name="CERTIFICACIONES" sheetId="7" r:id="rId2"/>
  </sheets>
  <definedNames>
    <definedName name="_xlnm._FilterDatabase" localSheetId="1" hidden="1">CERTIFICACIONES!$A$1:$I$1</definedName>
    <definedName name="_xlnm._FilterDatabase" localSheetId="0" hidden="1">'IMPO TERR'!$A$1:$AH$1</definedName>
    <definedName name="CARGA">#REF!</definedName>
    <definedName name="cliente">#REF!</definedName>
    <definedName name="INSTRUCCIONES">#REF!</definedName>
    <definedName name="TIPO_CARGA">#REF!</definedName>
    <definedName name="TIPO_OPERACION">#REF!</definedName>
    <definedName name="TIPO_TRAM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9" i="1" l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8" i="1"/>
  <c r="U99" i="1"/>
  <c r="U100" i="1"/>
  <c r="U86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C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D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sharedStrings.xml><?xml version="1.0" encoding="utf-8"?>
<sst xmlns="http://schemas.openxmlformats.org/spreadsheetml/2006/main" count="3905" uniqueCount="1011">
  <si>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</si>
  <si>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</si>
  <si>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</si>
  <si>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</si>
  <si>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</si>
  <si>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</si>
  <si>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</si>
  <si>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</si>
  <si>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</si>
  <si>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</si>
  <si>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</si>
  <si>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</si>
  <si>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</si>
  <si>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</si>
  <si>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</si>
  <si>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</si>
  <si>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</si>
  <si>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</si>
  <si>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</si>
  <si>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</si>
  <si>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</si>
  <si>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</si>
  <si>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</si>
  <si>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</si>
  <si>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</si>
  <si>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</si>
  <si>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</si>
  <si>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</si>
  <si>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</si>
  <si>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</si>
  <si>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</si>
  <si>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</si>
  <si>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</si>
  <si>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</si>
  <si>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</si>
  <si>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</si>
  <si>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</si>
  <si>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</si>
  <si>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</si>
  <si>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</si>
  <si>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</si>
  <si>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</si>
  <si>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</si>
  <si>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</si>
  <si>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</si>
  <si>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</si>
  <si>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</si>
  <si>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</si>
  <si>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</si>
  <si>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</si>
  <si>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</si>
  <si>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</si>
  <si>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</si>
  <si>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</si>
  <si>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</si>
  <si>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</si>
  <si>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</si>
  <si>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</si>
  <si>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</si>
  <si>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</si>
  <si>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</si>
  <si>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</si>
  <si>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</si>
  <si>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</si>
  <si>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</si>
  <si>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</si>
  <si>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</si>
  <si>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</si>
  <si>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</si>
  <si>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</si>
  <si>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</si>
  <si>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</si>
  <si>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</si>
  <si>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</si>
  <si>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</si>
  <si>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</si>
  <si>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</si>
  <si>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</si>
  <si>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</si>
  <si>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</si>
  <si>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</si>
  <si>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</si>
  <si>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</si>
  <si>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</si>
  <si>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</si>
  <si>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</si>
  <si>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</si>
  <si>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</si>
  <si>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</si>
  <si>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</si>
  <si>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</si>
  <si>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SO/6360-28</t>
  </si>
  <si>
    <t>BR547044939</t>
  </si>
  <si>
    <t>RXQ0G36</t>
  </si>
  <si>
    <t>RYK0I89</t>
  </si>
  <si>
    <t>EEDISON JORGE NUNES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</si>
  <si>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</si>
  <si>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</si>
  <si>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</si>
  <si>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</si>
  <si>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</si>
  <si>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</si>
  <si>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</si>
  <si>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 xml:space="preserve">SO/6356-4 </t>
  </si>
  <si>
    <t>BR453909363</t>
  </si>
  <si>
    <t>BRILHANTE</t>
  </si>
  <si>
    <t>RHG9B61</t>
  </si>
  <si>
    <t>RLA8I71</t>
  </si>
  <si>
    <t xml:space="preserve">O/87304-3 </t>
  </si>
  <si>
    <t>BR261615121</t>
  </si>
  <si>
    <t>BELMAT</t>
  </si>
  <si>
    <t>GHG7D55</t>
  </si>
  <si>
    <t>RLB4D02</t>
  </si>
  <si>
    <t>MARCELO DINIZ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</si>
  <si>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</si>
  <si>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</si>
  <si>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</si>
  <si>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</si>
  <si>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</si>
  <si>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</si>
  <si>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09-03-2026 </t>
  </si>
  <si>
    <t>CN 6357-10</t>
  </si>
  <si>
    <t>2026PYSANJOSE049</t>
  </si>
  <si>
    <t>LJWL11</t>
  </si>
  <si>
    <t>KDHS40</t>
  </si>
  <si>
    <t>CN 6358-10</t>
  </si>
  <si>
    <t>26PYFOODS314</t>
  </si>
  <si>
    <t>FRIGOMERC</t>
  </si>
  <si>
    <t>AAAE804</t>
  </si>
  <si>
    <t>AAAE476</t>
  </si>
  <si>
    <t>CN 6359-8</t>
  </si>
  <si>
    <t>PYLG066/2026</t>
  </si>
  <si>
    <t>LUCERY</t>
  </si>
  <si>
    <t>AAGN977</t>
  </si>
  <si>
    <t>AAAE634</t>
  </si>
  <si>
    <t xml:space="preserve">SO/6354-43 </t>
  </si>
  <si>
    <t>C.O. VALIDAR</t>
  </si>
  <si>
    <t>BR547044989</t>
  </si>
  <si>
    <t>JBG8A84</t>
  </si>
  <si>
    <t>RYM5E22</t>
  </si>
  <si>
    <t xml:space="preserve">SO/6354-37 </t>
  </si>
  <si>
    <t>BR547044911</t>
  </si>
  <si>
    <t>RYB8I87</t>
  </si>
  <si>
    <t xml:space="preserve"> ALESSANDRO VIEIRA</t>
  </si>
  <si>
    <t>CN 25320-6</t>
  </si>
  <si>
    <t>PYLG070/2026</t>
  </si>
  <si>
    <t>AAHI130</t>
  </si>
  <si>
    <t>AAKB750</t>
  </si>
  <si>
    <t>RAMIREZ</t>
  </si>
  <si>
    <t xml:space="preserve">SO/6354-41 </t>
  </si>
  <si>
    <t>BR547044956</t>
  </si>
  <si>
    <t>RYX9E71</t>
  </si>
  <si>
    <t>RYP2J71</t>
  </si>
  <si>
    <t>O/87315-2</t>
  </si>
  <si>
    <t>BR547044967</t>
  </si>
  <si>
    <t>RXT9I23</t>
  </si>
  <si>
    <t>RXO5E92</t>
  </si>
  <si>
    <t xml:space="preserve">O/87568 </t>
  </si>
  <si>
    <t>BR698100492</t>
  </si>
  <si>
    <t>VIZZOTTO</t>
  </si>
  <si>
    <t>RYC0I37</t>
  </si>
  <si>
    <t>RLI0I42</t>
  </si>
  <si>
    <t xml:space="preserve">CN 6360-30 </t>
  </si>
  <si>
    <t>PYLG072/2026</t>
  </si>
  <si>
    <t>AAIE199</t>
  </si>
  <si>
    <t>AAMA137</t>
  </si>
  <si>
    <t>FERNANDO ACOSTA AGUILAR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</si>
  <si>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</si>
  <si>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</si>
  <si>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</si>
  <si>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</si>
  <si>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</si>
  <si>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</si>
  <si>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</si>
  <si>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</si>
  <si>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</si>
  <si>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 xml:space="preserve"> SO/6456-3 </t>
  </si>
  <si>
    <t>BR512203456</t>
  </si>
  <si>
    <t>VENEZA</t>
  </si>
  <si>
    <t>RGM7C35</t>
  </si>
  <si>
    <t>QJB2B11</t>
  </si>
  <si>
    <t>SO/6354-39</t>
  </si>
  <si>
    <t>BR547044938</t>
  </si>
  <si>
    <t>SXA9J22</t>
  </si>
  <si>
    <t>SXA1F12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</si>
  <si>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</si>
  <si>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</si>
  <si>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</si>
  <si>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</si>
  <si>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</si>
  <si>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</si>
  <si>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SO/6354-42</t>
  </si>
  <si>
    <t>BR547044969</t>
  </si>
  <si>
    <t>QTL0655</t>
  </si>
  <si>
    <t>RYL9J02</t>
  </si>
  <si>
    <t>SO/6331-15</t>
  </si>
  <si>
    <t>Argentina</t>
  </si>
  <si>
    <t>052024TC2026</t>
  </si>
  <si>
    <t>TRES CRUCES</t>
  </si>
  <si>
    <t>AG826IT</t>
  </si>
  <si>
    <t>AG337WM</t>
  </si>
  <si>
    <t>SO/6330-11</t>
  </si>
  <si>
    <t>052AR219400890</t>
  </si>
  <si>
    <t>RIO COLORADO</t>
  </si>
  <si>
    <t>RBTW67</t>
  </si>
  <si>
    <t>JB6491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</si>
  <si>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</si>
  <si>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</si>
  <si>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</si>
  <si>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</si>
  <si>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</si>
  <si>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</si>
  <si>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 xml:space="preserve">O/87772-1 </t>
  </si>
  <si>
    <t>BR547044927</t>
  </si>
  <si>
    <t>RLM6H97</t>
  </si>
  <si>
    <t>QIT8604</t>
  </si>
  <si>
    <t xml:space="preserve">O/87772-2 </t>
  </si>
  <si>
    <t>BR547045030</t>
  </si>
  <si>
    <t>TDQ9I41</t>
  </si>
  <si>
    <t>SXV1F31</t>
  </si>
  <si>
    <t xml:space="preserve"> JOSE PAGOTTI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</si>
  <si>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</si>
  <si>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</si>
  <si>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</si>
  <si>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</si>
  <si>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</si>
  <si>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</si>
  <si>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SO/6354-45</t>
  </si>
  <si>
    <t>BR547045016</t>
  </si>
  <si>
    <t>RXY9E54</t>
  </si>
  <si>
    <t>RXK1C65</t>
  </si>
  <si>
    <t xml:space="preserve"> MARCIO DA SILVA</t>
  </si>
  <si>
    <t>SO/6370-29</t>
  </si>
  <si>
    <t>BR547045026</t>
  </si>
  <si>
    <t>SXI7A02</t>
  </si>
  <si>
    <t>RYW5J12</t>
  </si>
  <si>
    <t xml:space="preserve"> ELIO PEREIRA DE OLIVEIRA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</si>
  <si>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</si>
  <si>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</si>
  <si>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</si>
  <si>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</si>
  <si>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</si>
  <si>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</si>
  <si>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 xml:space="preserve">CN 6360-29 </t>
  </si>
  <si>
    <t>PY23TMA1138</t>
  </si>
  <si>
    <t>ADRI003</t>
  </si>
  <si>
    <t>ADRI002</t>
  </si>
  <si>
    <t xml:space="preserve"> ALCIDES AVALOS</t>
  </si>
  <si>
    <t xml:space="preserve">AR/18899-1 </t>
  </si>
  <si>
    <t>052AR219400891</t>
  </si>
  <si>
    <t>HDLX77</t>
  </si>
  <si>
    <t>HGKX36</t>
  </si>
  <si>
    <t>TOTTUS</t>
  </si>
  <si>
    <t xml:space="preserve">SO/6362-3 </t>
  </si>
  <si>
    <t>BR453909370</t>
  </si>
  <si>
    <t>RHR6J21</t>
  </si>
  <si>
    <t>RLG5E30</t>
  </si>
  <si>
    <t xml:space="preserve"> ADRIANO DE SOUZA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</si>
  <si>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</si>
  <si>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</si>
  <si>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</si>
  <si>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</si>
  <si>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</si>
  <si>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</si>
  <si>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SO/6362-1</t>
  </si>
  <si>
    <t>BR633202432</t>
  </si>
  <si>
    <t>MIRO</t>
  </si>
  <si>
    <t>SVR4A13</t>
  </si>
  <si>
    <t>SXJ3J97</t>
  </si>
  <si>
    <t xml:space="preserve"> JONATHAN EDUARTS</t>
  </si>
  <si>
    <t>CN 6357-8</t>
  </si>
  <si>
    <t>26PYFOODS316</t>
  </si>
  <si>
    <t>PYFOOD</t>
  </si>
  <si>
    <t>AARP790</t>
  </si>
  <si>
    <t>AAAE475</t>
  </si>
  <si>
    <t>06-03-2026 </t>
  </si>
  <si>
    <t xml:space="preserve">SO/6456-4 </t>
  </si>
  <si>
    <t>BR453909378</t>
  </si>
  <si>
    <t>SEK6H34</t>
  </si>
  <si>
    <t>SXX0174</t>
  </si>
  <si>
    <t xml:space="preserve"> LUCAS DE OLIVEIRA SOUZA</t>
  </si>
  <si>
    <t xml:space="preserve">SO/6356-6 </t>
  </si>
  <si>
    <t>BR453909383</t>
  </si>
  <si>
    <t>SDZ5E28</t>
  </si>
  <si>
    <t>REA1E31</t>
  </si>
  <si>
    <t>JOSENILDO FREIRE DA SILVA</t>
  </si>
  <si>
    <t>SO/6330-13</t>
  </si>
  <si>
    <t>052AR219400892</t>
  </si>
  <si>
    <t>HFST22</t>
  </si>
  <si>
    <t>JL7542</t>
  </si>
  <si>
    <t>CN 25314-3</t>
  </si>
  <si>
    <t>2026PYSANJOSE053</t>
  </si>
  <si>
    <t>AAHX504</t>
  </si>
  <si>
    <t>BETO050</t>
  </si>
  <si>
    <t xml:space="preserve"> JORGE GEDEON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</si>
  <si>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</si>
  <si>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</si>
  <si>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</si>
  <si>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</si>
  <si>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</si>
  <si>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</si>
  <si>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</si>
  <si>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CN 25235-2</t>
  </si>
  <si>
    <t>PYLG073/2026</t>
  </si>
  <si>
    <t>AAJK151</t>
  </si>
  <si>
    <t>AAIL683</t>
  </si>
  <si>
    <t>KARMAC</t>
  </si>
  <si>
    <t xml:space="preserve"> DAVID GALEANO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</si>
  <si>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</si>
  <si>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</si>
  <si>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</si>
  <si>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</si>
  <si>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</si>
  <si>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</si>
  <si>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</si>
  <si>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</si>
  <si>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</si>
  <si>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</si>
  <si>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</si>
  <si>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</si>
  <si>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</si>
  <si>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SO/6362-4</t>
  </si>
  <si>
    <t>BR512203463</t>
  </si>
  <si>
    <t>SXB9E75</t>
  </si>
  <si>
    <t>SXA8C05</t>
  </si>
  <si>
    <t>IVONEI FRANCHINI</t>
  </si>
  <si>
    <t>CPF: 028.716.939-19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</si>
  <si>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</si>
  <si>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</si>
  <si>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</si>
  <si>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</si>
  <si>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</si>
  <si>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</si>
  <si>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</si>
  <si>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</si>
  <si>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</si>
  <si>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</si>
  <si>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</si>
  <si>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</si>
  <si>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</si>
  <si>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</si>
  <si>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</si>
  <si>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</si>
  <si>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</si>
  <si>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</si>
  <si>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</si>
  <si>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</si>
  <si>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</si>
  <si>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</si>
  <si>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</si>
  <si>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</si>
  <si>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</si>
  <si>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</si>
  <si>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</si>
  <si>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</si>
  <si>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</si>
  <si>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CN 25320-5</t>
  </si>
  <si>
    <t>PYLG074/2026</t>
  </si>
  <si>
    <t>AAIE005</t>
  </si>
  <si>
    <t>AAIE004</t>
  </si>
  <si>
    <t>ANTONIO RIOS</t>
  </si>
  <si>
    <t>CN 25412-1</t>
  </si>
  <si>
    <t>PY23TMA1140</t>
  </si>
  <si>
    <t>AASC567</t>
  </si>
  <si>
    <t>AARP529</t>
  </si>
  <si>
    <t xml:space="preserve"> NELSON GONZALEZ</t>
  </si>
  <si>
    <t>CI: 4.926.875</t>
  </si>
  <si>
    <t>CN 25368-2</t>
  </si>
  <si>
    <t>PYLG075/2026</t>
  </si>
  <si>
    <t>AAGN704</t>
  </si>
  <si>
    <t>AAIN016</t>
  </si>
  <si>
    <t>FRIGOZETA</t>
  </si>
  <si>
    <t>DIEGO SAMUDIO BARRIOS</t>
  </si>
  <si>
    <t>CN 6358-13</t>
  </si>
  <si>
    <t>PYLG076/2026</t>
  </si>
  <si>
    <t>AAHI478</t>
  </si>
  <si>
    <t>AAMS803</t>
  </si>
  <si>
    <t>SERGIO RAMON OVELAR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</si>
  <si>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</si>
  <si>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</si>
  <si>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</si>
  <si>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</si>
  <si>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</si>
  <si>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</si>
  <si>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SO/6354-48</t>
  </si>
  <si>
    <t>EN TRANSITO</t>
  </si>
  <si>
    <t>BR547046096</t>
  </si>
  <si>
    <t>RLH5195</t>
  </si>
  <si>
    <t>RAD1204</t>
  </si>
  <si>
    <t>AGLAYR VAGNER DA SILVA BENICIO</t>
  </si>
  <si>
    <t>CPF: 094.932.184-22</t>
  </si>
  <si>
    <t>SO/6362-5</t>
  </si>
  <si>
    <t>EN ALMACEN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</si>
  <si>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</si>
  <si>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</si>
  <si>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</si>
  <si>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</si>
  <si>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</si>
  <si>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</si>
  <si>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 xml:space="preserve">PENDIENTE 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</si>
  <si>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</si>
  <si>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</si>
  <si>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</si>
  <si>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</si>
  <si>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</si>
  <si>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</si>
  <si>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</si>
  <si>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SO/6362-2</t>
  </si>
  <si>
    <t>BR547045042</t>
  </si>
  <si>
    <t>RLJ2171</t>
  </si>
  <si>
    <t>RYF0E17</t>
  </si>
  <si>
    <t>ROBSON ROSA DO NASCIMENTO</t>
  </si>
  <si>
    <t>CPF: 194.816.998-38</t>
  </si>
  <si>
    <t>SO/6370-32</t>
  </si>
  <si>
    <t>BR547046082</t>
  </si>
  <si>
    <t>RLK5H25</t>
  </si>
  <si>
    <t>SILVANA ADRIA</t>
  </si>
  <si>
    <t>CPF:059.254.209-26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</si>
  <si>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</si>
  <si>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</si>
  <si>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</si>
  <si>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</si>
  <si>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</si>
  <si>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</si>
  <si>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SO/6497-1</t>
  </si>
  <si>
    <t>BR512203472</t>
  </si>
  <si>
    <t>RXY6J89</t>
  </si>
  <si>
    <t>RLH9C86</t>
  </si>
  <si>
    <t>LETICIA DE CARVALHO</t>
  </si>
  <si>
    <t>SO/6350-5</t>
  </si>
  <si>
    <t>BR547046119</t>
  </si>
  <si>
    <t>RLN9J25</t>
  </si>
  <si>
    <t>RLM7H95</t>
  </si>
  <si>
    <t>NATANAEL DOS SANTOS FERTONANE</t>
  </si>
  <si>
    <t>CPF:038.213.502-45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</si>
  <si>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</si>
  <si>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</si>
  <si>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</si>
  <si>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</si>
  <si>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</si>
  <si>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</si>
  <si>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</si>
  <si>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</si>
  <si>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</si>
  <si>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</si>
  <si>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</si>
  <si>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</si>
  <si>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</si>
  <si>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CN 6357-13</t>
  </si>
  <si>
    <t>PY23TMA1141</t>
  </si>
  <si>
    <t>BRNA075</t>
  </si>
  <si>
    <t>TINI074</t>
  </si>
  <si>
    <t>LUIS BENITZ</t>
  </si>
  <si>
    <t>CI: 3.508.310</t>
  </si>
  <si>
    <t>SO/6354-47</t>
  </si>
  <si>
    <t>BR547046065</t>
  </si>
  <si>
    <t>RXV7D73</t>
  </si>
  <si>
    <t>OJL0526</t>
  </si>
  <si>
    <t>FERNANDO SCHMITT</t>
  </si>
  <si>
    <t>CPF: 022.714.529-10</t>
  </si>
  <si>
    <t>CN 25412-2</t>
  </si>
  <si>
    <t>PY23TMA1142</t>
  </si>
  <si>
    <t>AAVP142</t>
  </si>
  <si>
    <t>AAFR256</t>
  </si>
  <si>
    <t>JUAN CARLOS GONZALES</t>
  </si>
  <si>
    <t>CI: 4.550.729</t>
  </si>
  <si>
    <t>SO/6397-9</t>
  </si>
  <si>
    <t xml:space="preserve"> Pendiente Factura </t>
  </si>
  <si>
    <t>BR707400452</t>
  </si>
  <si>
    <t>SPX6D65</t>
  </si>
  <si>
    <t>SPU3D81</t>
  </si>
  <si>
    <t>RENILDO DE SOUZA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</si>
  <si>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</si>
  <si>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</si>
  <si>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</si>
  <si>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</si>
  <si>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</si>
  <si>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</si>
  <si>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</si>
  <si>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</si>
  <si>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</si>
  <si>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</si>
  <si>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</si>
  <si>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</si>
  <si>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</si>
  <si>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</si>
  <si>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</si>
  <si>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</si>
  <si>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</si>
  <si>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CN 6358-12</t>
  </si>
  <si>
    <t>2026PYSANJOSE056B</t>
  </si>
  <si>
    <t>CFGY84</t>
  </si>
  <si>
    <t>GRJZ25</t>
  </si>
  <si>
    <t xml:space="preserve"> JUAN LEDEZMA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</si>
  <si>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</si>
  <si>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</si>
  <si>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</si>
  <si>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</si>
  <si>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</si>
  <si>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</si>
  <si>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</si>
  <si>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</si>
  <si>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SO/6331-16</t>
  </si>
  <si>
    <t>052030TC2026</t>
  </si>
  <si>
    <t>AE484FV</t>
  </si>
  <si>
    <t>AE515QK</t>
  </si>
  <si>
    <t>ARIEL MUÑOZ</t>
  </si>
  <si>
    <t>DNI: 26.395.174</t>
  </si>
  <si>
    <t>CN 6355-2P</t>
  </si>
  <si>
    <t>PY23TMA1143</t>
  </si>
  <si>
    <t>CRIS006</t>
  </si>
  <si>
    <t>CRIS008</t>
  </si>
  <si>
    <t>IVAN CESPEDES</t>
  </si>
  <si>
    <t>CI: 4.487.343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</si>
  <si>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</si>
  <si>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</si>
  <si>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</si>
  <si>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</si>
  <si>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</si>
  <si>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</si>
  <si>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CN 6359-10A</t>
  </si>
  <si>
    <t>10/0372026</t>
  </si>
  <si>
    <t>26PYFOODS320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</si>
  <si>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</si>
  <si>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</si>
  <si>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</si>
  <si>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</si>
  <si>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</si>
  <si>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</si>
  <si>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</si>
  <si>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SO/6330-14</t>
  </si>
  <si>
    <t>052032TC2026</t>
  </si>
  <si>
    <t>AE443QX</t>
  </si>
  <si>
    <t>AG364RE</t>
  </si>
  <si>
    <t xml:space="preserve">HUGO GASTON CORTES </t>
  </si>
  <si>
    <t>DNI 27.390.951</t>
  </si>
  <si>
    <t>SO/6558-1</t>
  </si>
  <si>
    <t>BR707400454</t>
  </si>
  <si>
    <t>RRP4E97</t>
  </si>
  <si>
    <t>RRL1G49</t>
  </si>
  <si>
    <t xml:space="preserve">IVAN TIAGO MOREIRA SANTOS </t>
  </si>
  <si>
    <t>CPF: 024.612.645-03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</si>
  <si>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</si>
  <si>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</si>
  <si>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</si>
  <si>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</si>
  <si>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</si>
  <si>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</si>
  <si>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CN 25235-1</t>
  </si>
  <si>
    <t>PY23TMA1144</t>
  </si>
  <si>
    <t>AAAU361</t>
  </si>
  <si>
    <t>AARP524</t>
  </si>
  <si>
    <t>ANTONIO RECALDE</t>
  </si>
  <si>
    <t>CI: 4.996.980</t>
  </si>
  <si>
    <t>CN 25320-7</t>
  </si>
  <si>
    <t>26PYFOODS321</t>
  </si>
  <si>
    <t>PY FOODS</t>
  </si>
  <si>
    <t>AAAE437</t>
  </si>
  <si>
    <t>AAAE603</t>
  </si>
  <si>
    <t>DERLIS PARANDERI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</si>
  <si>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</si>
  <si>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</si>
  <si>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</si>
  <si>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</si>
  <si>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</si>
  <si>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</si>
  <si>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</si>
  <si>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</si>
  <si>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</si>
  <si>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</si>
  <si>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</si>
  <si>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</si>
  <si>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SO/6558-2</t>
  </si>
  <si>
    <t>RRT1E57</t>
  </si>
  <si>
    <t>RRU8J60</t>
  </si>
  <si>
    <t>CLEITON DE OLIVEIRA MARCONES</t>
  </si>
  <si>
    <t xml:space="preserve"> CPF: 094.988.706-40</t>
  </si>
  <si>
    <t>SO/6354-50</t>
  </si>
  <si>
    <t>BR547046137</t>
  </si>
  <si>
    <t>RVD3G89</t>
  </si>
  <si>
    <t>RYVOF08</t>
  </si>
  <si>
    <t xml:space="preserve">VALTEIR HIPOLITO DA SILVA </t>
  </si>
  <si>
    <t>CPF: 102.840.658-46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</si>
  <si>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</si>
  <si>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</si>
  <si>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</si>
  <si>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</si>
  <si>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</si>
  <si>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</si>
  <si>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SO/6362-7</t>
  </si>
  <si>
    <t>BR547046103</t>
  </si>
  <si>
    <t>QTK6657</t>
  </si>
  <si>
    <t>QJX4177</t>
  </si>
  <si>
    <t>ROGER SANDRO DE SANTANA</t>
  </si>
  <si>
    <t>SO/6362-9</t>
  </si>
  <si>
    <t>ARRIBADA EN PUERTO</t>
  </si>
  <si>
    <t>BR512203481</t>
  </si>
  <si>
    <t>RGM7C44</t>
  </si>
  <si>
    <t>RXM9F24</t>
  </si>
  <si>
    <t xml:space="preserve">FRENANDO MARTINS DA SALIVA </t>
  </si>
  <si>
    <t>CPF: 061.008.759-26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</si>
  <si>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</si>
  <si>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</si>
  <si>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</si>
  <si>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</si>
  <si>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</si>
  <si>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</si>
  <si>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</si>
  <si>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</si>
  <si>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</si>
  <si>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</si>
  <si>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</si>
  <si>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</si>
  <si>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</si>
  <si>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</si>
  <si>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SO/6357-14</t>
  </si>
  <si>
    <t>BR547046134</t>
  </si>
  <si>
    <t>RYBOC99</t>
  </si>
  <si>
    <t>RYS2F72</t>
  </si>
  <si>
    <t xml:space="preserve">DARLOU FERNANDES BATISTA </t>
  </si>
  <si>
    <t>CPF: 0209.783.370-79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</si>
  <si>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</si>
  <si>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</si>
  <si>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</si>
  <si>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</si>
  <si>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</si>
  <si>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</si>
  <si>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</si>
  <si>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CN 25320-8</t>
  </si>
  <si>
    <t>2026PYSANJOSE057</t>
  </si>
  <si>
    <t>TISJ007</t>
  </si>
  <si>
    <t>TISJ009</t>
  </si>
  <si>
    <t>FAVIO ESPINOZA</t>
  </si>
  <si>
    <t>CI: 2.348.296</t>
  </si>
  <si>
    <t>CN 25403-1</t>
  </si>
  <si>
    <t>26PYFOODS323</t>
  </si>
  <si>
    <t>AAAE496</t>
  </si>
  <si>
    <t>AAAE511</t>
  </si>
  <si>
    <t>MIGUEL DAVID VARELA FERNANDEZ</t>
  </si>
  <si>
    <t>CI: 2.141.136</t>
  </si>
  <si>
    <t>SO/6370-34</t>
  </si>
  <si>
    <t>BR547046135</t>
  </si>
  <si>
    <t>SYU4D00</t>
  </si>
  <si>
    <t>RYV2F90</t>
  </si>
  <si>
    <t>ANDERSON ANTONIO DA SILVA</t>
  </si>
  <si>
    <t>CPF: 068.583.204-07</t>
  </si>
  <si>
    <t>SO/6370-31</t>
  </si>
  <si>
    <t>BR261615152</t>
  </si>
  <si>
    <t>RXW7G05</t>
  </si>
  <si>
    <t>RDZ3D73</t>
  </si>
  <si>
    <t>MARCO AURELIO BEZERRA DE OLIVEIRA</t>
  </si>
  <si>
    <t>CPF: 080.746.487-29</t>
  </si>
  <si>
    <t>CN 6359-11</t>
  </si>
  <si>
    <t>PYLG0812026</t>
  </si>
  <si>
    <t>AAIL505</t>
  </si>
  <si>
    <t>MIVA102</t>
  </si>
  <si>
    <t>CN 6359-11A</t>
  </si>
  <si>
    <t>PYLG0822026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</si>
  <si>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</si>
  <si>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</si>
  <si>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</si>
  <si>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</si>
  <si>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</si>
  <si>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</si>
  <si>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O/87304-4</t>
  </si>
  <si>
    <t>BR547046185</t>
  </si>
  <si>
    <t>FYO6H53</t>
  </si>
  <si>
    <t>RXX9D74</t>
  </si>
  <si>
    <t>NEUDI CAETANO GRICULO</t>
  </si>
  <si>
    <t>CPF:385.704.409-87</t>
  </si>
  <si>
    <t>O/87243-1</t>
  </si>
  <si>
    <t xml:space="preserve">CERTIFICADO DE ORIGEN NO SE PUDO VALIDAR </t>
  </si>
  <si>
    <t>BR698100497</t>
  </si>
  <si>
    <t>MKJ5565</t>
  </si>
  <si>
    <t>MKT8236</t>
  </si>
  <si>
    <t>SILVINO CABRAL</t>
  </si>
  <si>
    <t>CPF: 388.375.529-04</t>
  </si>
  <si>
    <t>PEND</t>
  </si>
  <si>
    <t>O/87243-1A</t>
  </si>
  <si>
    <t>CERTIFICADO DE ORIGEN YA CORREGIDO</t>
  </si>
  <si>
    <t>BR698100496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</si>
  <si>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</si>
  <si>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</si>
  <si>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</si>
  <si>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</si>
  <si>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</si>
  <si>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</si>
  <si>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</si>
  <si>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</si>
  <si>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</si>
  <si>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</si>
  <si>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</si>
  <si>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</si>
  <si>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</si>
  <si>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</si>
  <si>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</si>
  <si>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</si>
  <si>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</si>
  <si>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</si>
  <si>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</si>
  <si>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</si>
  <si>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SO/6362-6</t>
  </si>
  <si>
    <t>BR512203480</t>
  </si>
  <si>
    <t>SXT6E17</t>
  </si>
  <si>
    <t>SXH3167</t>
  </si>
  <si>
    <t>ANDERSON LUIZ ALVES DOS SANTOS</t>
  </si>
  <si>
    <t>CPF: 029.383.289-74</t>
  </si>
  <si>
    <t>CN 6358-11</t>
  </si>
  <si>
    <t>2026PYSANJOSE059</t>
  </si>
  <si>
    <t>JHFW70</t>
  </si>
  <si>
    <t>GRCV65</t>
  </si>
  <si>
    <t>GABRIEL ISLA</t>
  </si>
  <si>
    <t>CI: 12686397-7</t>
  </si>
  <si>
    <t>SO/6350-8</t>
  </si>
  <si>
    <t>BR547046203</t>
  </si>
  <si>
    <t>CN 25314-4</t>
  </si>
  <si>
    <t>PYLG0832026</t>
  </si>
  <si>
    <t>GERT002</t>
  </si>
  <si>
    <t>VIGI002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</si>
  <si>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</si>
  <si>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</si>
  <si>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</si>
  <si>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</si>
  <si>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</si>
  <si>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</si>
  <si>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5926181  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</si>
  <si>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</si>
  <si>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</si>
  <si>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</si>
  <si>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</si>
  <si>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</si>
  <si>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</si>
  <si>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CN 25289-1</t>
  </si>
  <si>
    <t>2026PYSANJOSE061</t>
  </si>
  <si>
    <t>AANU301</t>
  </si>
  <si>
    <t>AANU328</t>
  </si>
  <si>
    <t>ARAMARK</t>
  </si>
  <si>
    <t>MILCIADES FRUTOS</t>
  </si>
  <si>
    <t>CI: 811.074</t>
  </si>
  <si>
    <t>CN 25346</t>
  </si>
  <si>
    <t>PY23TMA1146</t>
  </si>
  <si>
    <t>MMSS401</t>
  </si>
  <si>
    <t>AAPP529</t>
  </si>
  <si>
    <t xml:space="preserve">JESUS MANUEL AGUILERA </t>
  </si>
  <si>
    <t>CI: 3.501.447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</si>
  <si>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</si>
  <si>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</si>
  <si>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</si>
  <si>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</si>
  <si>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</si>
  <si>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</si>
  <si>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</si>
  <si>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 xml:space="preserve">          O/87773-1</t>
  </si>
  <si>
    <t>BR547046180</t>
  </si>
  <si>
    <t>JBG8A85</t>
  </si>
  <si>
    <t>RXO6B26</t>
  </si>
  <si>
    <t xml:space="preserve">RAFAEL DE SOUSA SANTOS </t>
  </si>
  <si>
    <t>CPF: 009.773.233-82</t>
  </si>
  <si>
    <t>O/88198-1</t>
  </si>
  <si>
    <t>BR547046205</t>
  </si>
  <si>
    <t>TDQ9J78</t>
  </si>
  <si>
    <t>SXO0G12</t>
  </si>
  <si>
    <t xml:space="preserve">RONIELE JOSE DA SILVA </t>
  </si>
  <si>
    <t>CPF: 993.664.365-87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</si>
  <si>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</si>
  <si>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</si>
  <si>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</si>
  <si>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</si>
  <si>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</si>
  <si>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</si>
  <si>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CN 25374</t>
  </si>
  <si>
    <t>PYLG0852026</t>
  </si>
  <si>
    <t>CN 6568-1</t>
  </si>
  <si>
    <t>PY23TMA1147</t>
  </si>
  <si>
    <t>AASC568</t>
  </si>
  <si>
    <t>AALI647</t>
  </si>
  <si>
    <t>OSMAR FRNANDEZ</t>
  </si>
  <si>
    <t>CI: 1.878.782</t>
  </si>
  <si>
    <t>CN 6360-33</t>
  </si>
  <si>
    <t>2026PYSANJOSE062</t>
  </si>
  <si>
    <t>RLLT46</t>
  </si>
  <si>
    <t>PWSF70</t>
  </si>
  <si>
    <t>JULIO COLMAN GALEANO</t>
  </si>
  <si>
    <t>CI: 5.073.059</t>
  </si>
  <si>
    <t>CN 6357-11</t>
  </si>
  <si>
    <t>2026PYSANJOSE063</t>
  </si>
  <si>
    <t>RHFL26</t>
  </si>
  <si>
    <t>PWSC29</t>
  </si>
  <si>
    <t>CLETO ANDRES AYALA</t>
  </si>
  <si>
    <t>CI: 3.587.082</t>
  </si>
  <si>
    <t>CN 6358-16</t>
  </si>
  <si>
    <t>2026PYSANJOSE064</t>
  </si>
  <si>
    <t>TPPV22</t>
  </si>
  <si>
    <t>PXFH53</t>
  </si>
  <si>
    <t>CN 6360-36</t>
  </si>
  <si>
    <t>26PYFOODS327</t>
  </si>
  <si>
    <t>SO/6575-2</t>
  </si>
  <si>
    <t>052AR219400894</t>
  </si>
  <si>
    <t>26AR106089L</t>
  </si>
  <si>
    <t>DANIEL PEREZ</t>
  </si>
  <si>
    <t>DNI 41.031.050</t>
  </si>
  <si>
    <t>O/88096</t>
  </si>
  <si>
    <t>BR453909412</t>
  </si>
  <si>
    <t>ACU1J62</t>
  </si>
  <si>
    <t>RLB9D72</t>
  </si>
  <si>
    <t>EDUARDO ZILCH MARAFIGO</t>
  </si>
  <si>
    <t>CPF:115.405.239-77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</si>
  <si>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</si>
  <si>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</si>
  <si>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</si>
  <si>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</si>
  <si>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</si>
  <si>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</si>
  <si>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SO/6370-36</t>
  </si>
  <si>
    <t>BR547046130</t>
  </si>
  <si>
    <t>RYG9G57</t>
  </si>
  <si>
    <t>RYG2186</t>
  </si>
  <si>
    <t>ALEXANDRE MAURICIO DOS SANTOS</t>
  </si>
  <si>
    <t>CPF:259.913.778-04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</si>
  <si>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</si>
  <si>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</si>
  <si>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</si>
  <si>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</si>
  <si>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</si>
  <si>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</si>
  <si>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</si>
  <si>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SO/6360-37</t>
  </si>
  <si>
    <t>BR547046260</t>
  </si>
  <si>
    <t>RYU6H51</t>
  </si>
  <si>
    <t>RYY6J50</t>
  </si>
  <si>
    <t>JULINHO KRAUS,</t>
  </si>
  <si>
    <t xml:space="preserve"> CPF: 051.754.259-51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</si>
  <si>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</si>
  <si>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</si>
  <si>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</si>
  <si>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</si>
  <si>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</si>
  <si>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</si>
  <si>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</si>
  <si>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CN 25320-10</t>
  </si>
  <si>
    <t>PYLG0892026</t>
  </si>
  <si>
    <t>CN 25412-4</t>
  </si>
  <si>
    <t>2026PYSANJOSE065</t>
  </si>
  <si>
    <t>CN 6359-13</t>
  </si>
  <si>
    <t>26PYFOODS328</t>
  </si>
  <si>
    <t>CN 25320-9</t>
  </si>
  <si>
    <t>PYLG0872026</t>
  </si>
  <si>
    <t>CN 25412-5</t>
  </si>
  <si>
    <t>2026PYSANJOSE066</t>
  </si>
  <si>
    <t>CN 25401-1</t>
  </si>
  <si>
    <t>PYLG0882026</t>
  </si>
  <si>
    <t>SO/6397-13</t>
  </si>
  <si>
    <t>BR707400460</t>
  </si>
  <si>
    <t>CN 6357-12</t>
  </si>
  <si>
    <t xml:space="preserve">FALTA CRT </t>
  </si>
  <si>
    <t>O/87671-2</t>
  </si>
  <si>
    <t>BR261615170</t>
  </si>
  <si>
    <t>SO/6370-40</t>
  </si>
  <si>
    <t>SO/6362-10</t>
  </si>
  <si>
    <t>SAG</t>
  </si>
  <si>
    <t>IIPA</t>
  </si>
  <si>
    <t>REF. CLIENTE</t>
  </si>
  <si>
    <t>DESPACHO</t>
  </si>
  <si>
    <t>FECHA PRESENTACION</t>
  </si>
  <si>
    <t>TIPO TRAMITE</t>
  </si>
  <si>
    <t>ENTIDAD</t>
  </si>
  <si>
    <t xml:space="preserve">DOCUMENTO </t>
  </si>
  <si>
    <t>ADUANA</t>
  </si>
  <si>
    <t>ESTADO</t>
  </si>
  <si>
    <t>OBSERVACIONES</t>
  </si>
  <si>
    <t>CDA</t>
  </si>
  <si>
    <t>SEREMI</t>
  </si>
  <si>
    <t>LOS ANDES</t>
  </si>
  <si>
    <t>UYD</t>
  </si>
  <si>
    <t>0520260012446CDA</t>
  </si>
  <si>
    <t>0520260018764IIPA</t>
  </si>
  <si>
    <t>0520260011071CDA</t>
  </si>
  <si>
    <t>0520260011763CDA</t>
  </si>
  <si>
    <t>0520260010619CDA</t>
  </si>
  <si>
    <t>0520260010919CDA</t>
  </si>
  <si>
    <t>0520260011333CDA</t>
  </si>
  <si>
    <t>0520260011336CDA</t>
  </si>
  <si>
    <t>0520260011220CDA</t>
  </si>
  <si>
    <t>0520260011285CDA</t>
  </si>
  <si>
    <t>0520260011841CDA</t>
  </si>
  <si>
    <t xml:space="preserve">SO/6356-5 </t>
  </si>
  <si>
    <t>0520260011208CDA</t>
  </si>
  <si>
    <t>0520260011782CDA</t>
  </si>
  <si>
    <t>0520260011535CDA</t>
  </si>
  <si>
    <t>0520260011407CDA</t>
  </si>
  <si>
    <t>0520260011476CDA</t>
  </si>
  <si>
    <t>0520260011359CDA</t>
  </si>
  <si>
    <t>0520260011416CDA</t>
  </si>
  <si>
    <t>0520260011864CDA</t>
  </si>
  <si>
    <t>0520260011897CDA</t>
  </si>
  <si>
    <t>0520260011917CDA</t>
  </si>
  <si>
    <t>0520260011516CDA</t>
  </si>
  <si>
    <t>0520260011946CDA</t>
  </si>
  <si>
    <t xml:space="preserve">SO/6456-3 </t>
  </si>
  <si>
    <t>0520260012067CDA</t>
  </si>
  <si>
    <t>0520260011881CDA</t>
  </si>
  <si>
    <t>0520260012044CDA</t>
  </si>
  <si>
    <t>0520260012066CDA</t>
  </si>
  <si>
    <t xml:space="preserve">0520260012059CDA </t>
  </si>
  <si>
    <t>0520260011708CDA</t>
  </si>
  <si>
    <t xml:space="preserve">SO/6354-38 </t>
  </si>
  <si>
    <t>0520260012068CDA</t>
  </si>
  <si>
    <t>0520260011858CDA</t>
  </si>
  <si>
    <t>0520260012143CDA</t>
  </si>
  <si>
    <t>0520260012308CDA</t>
  </si>
  <si>
    <t>0520260011913CDA</t>
  </si>
  <si>
    <t>0520260012190CDA</t>
  </si>
  <si>
    <t>0520260012109CDA</t>
  </si>
  <si>
    <t>0520260012345CDA</t>
  </si>
  <si>
    <t>0520260012228CDA</t>
  </si>
  <si>
    <t>0520260011922CDA</t>
  </si>
  <si>
    <t>0520260012239CDA</t>
  </si>
  <si>
    <t>0520260011936CDA</t>
  </si>
  <si>
    <t>0520260011443SCD</t>
  </si>
  <si>
    <t xml:space="preserve">LOS ANDES </t>
  </si>
  <si>
    <t>0520260012113CDA</t>
  </si>
  <si>
    <t>0520260012536CDA</t>
  </si>
  <si>
    <t>0520260012538CDA</t>
  </si>
  <si>
    <t>0520260011930CDA</t>
  </si>
  <si>
    <t>0520260012240CDA</t>
  </si>
  <si>
    <t>0520260011949CDA</t>
  </si>
  <si>
    <t>0520260012542CDA</t>
  </si>
  <si>
    <t>0520260012282CDA</t>
  </si>
  <si>
    <t>0520260012566CDA</t>
  </si>
  <si>
    <t>0520260012574CDA</t>
  </si>
  <si>
    <t>0520260012603CDA</t>
  </si>
  <si>
    <t>0520260012454CDA</t>
  </si>
  <si>
    <t>0520260012350CDA</t>
  </si>
  <si>
    <t>0520260012510CDA</t>
  </si>
  <si>
    <t>0520260012580CDA</t>
  </si>
  <si>
    <t>0520260012505CDA</t>
  </si>
  <si>
    <t>0520260012739CDA</t>
  </si>
  <si>
    <t>0520260012865CDA</t>
  </si>
  <si>
    <t>0520260012663CDA</t>
  </si>
  <si>
    <t>0520260012881CDA</t>
  </si>
  <si>
    <t>0520260012979CDA</t>
  </si>
  <si>
    <t>0520260012720CDA</t>
  </si>
  <si>
    <t>0520260012894CDA</t>
  </si>
  <si>
    <t>0520260012751CDA</t>
  </si>
  <si>
    <t>0520260012889CDA</t>
  </si>
  <si>
    <t>0520260013160CDA</t>
  </si>
  <si>
    <t>0520260013030CDA</t>
  </si>
  <si>
    <t>0520260012912CDA</t>
  </si>
  <si>
    <t>0520260012789CDA</t>
  </si>
  <si>
    <t>0520260012903CDA</t>
  </si>
  <si>
    <t>0520260013175CDA</t>
  </si>
  <si>
    <t>0520260013042CDA</t>
  </si>
  <si>
    <t>0520260013327CDA</t>
  </si>
  <si>
    <t>0520260012980CDA</t>
  </si>
  <si>
    <t>0520260013114CDA</t>
  </si>
  <si>
    <t>0520260013190CDA</t>
  </si>
  <si>
    <t xml:space="preserve">CDA </t>
  </si>
  <si>
    <t>0520260013059CDA</t>
  </si>
  <si>
    <t>0520260012984CDA</t>
  </si>
  <si>
    <t>0520260013234CDA</t>
  </si>
  <si>
    <t>0520260013230CDA</t>
  </si>
  <si>
    <t>0520260013238CDA</t>
  </si>
  <si>
    <t>0520260013300CDA</t>
  </si>
  <si>
    <t>0520260013605CDA</t>
  </si>
  <si>
    <t>0520260013402CDA</t>
  </si>
  <si>
    <t>0520260013424CDA</t>
  </si>
  <si>
    <t>0520260013610CDA</t>
  </si>
  <si>
    <t>0520260013477CDA</t>
  </si>
  <si>
    <t>0520260013309CDA</t>
  </si>
  <si>
    <t>0520260013435CDA</t>
  </si>
  <si>
    <t>0520260013737CDA</t>
  </si>
  <si>
    <t>0520260013473CDA</t>
  </si>
  <si>
    <t>0520260013572CDA</t>
  </si>
  <si>
    <t>0520260013653CDA</t>
  </si>
  <si>
    <t>0520260013830CDA</t>
  </si>
  <si>
    <t>0520260014178CDA</t>
  </si>
  <si>
    <t>0520260013591CDA</t>
  </si>
  <si>
    <t>0520260013521CDA</t>
  </si>
  <si>
    <t>0520260013863CDA</t>
  </si>
  <si>
    <t>0520260013582CDA</t>
  </si>
  <si>
    <t>0520260013604CDA</t>
  </si>
  <si>
    <t>0520260013864CDA</t>
  </si>
  <si>
    <t>2605127576 </t>
  </si>
  <si>
    <t>0520260013740CDA</t>
  </si>
  <si>
    <t>0520260013597CDA</t>
  </si>
  <si>
    <t>0520260013701CDA</t>
  </si>
  <si>
    <t>0520260013994CDA</t>
  </si>
  <si>
    <t>0520260013787CDA</t>
  </si>
  <si>
    <t>0520260013868CDA</t>
  </si>
  <si>
    <t>0520260013878CDA</t>
  </si>
  <si>
    <t>0520260013772CDA</t>
  </si>
  <si>
    <t>0520260014263CDA</t>
  </si>
  <si>
    <t>0520260013869CDA</t>
  </si>
  <si>
    <t>0520260013916CDA</t>
  </si>
  <si>
    <t>0520260013809CDA</t>
  </si>
  <si>
    <t>0520260013875CDA</t>
  </si>
  <si>
    <t>CN 6360-32</t>
  </si>
  <si>
    <t>0520260014244CDA</t>
  </si>
  <si>
    <t>O/87773-1</t>
  </si>
  <si>
    <t>0520260013851CDA</t>
  </si>
  <si>
    <t>0520260013876CDA</t>
  </si>
  <si>
    <t>0520260014112CDA</t>
  </si>
  <si>
    <t>0520260014326CDA</t>
  </si>
  <si>
    <t>0520260014117CDA</t>
  </si>
  <si>
    <t>0520260013883CDA</t>
  </si>
  <si>
    <t>O/88097</t>
  </si>
  <si>
    <t>O/88098</t>
  </si>
  <si>
    <t>0520260014430CDA</t>
  </si>
  <si>
    <t>0520260014437CDA</t>
  </si>
  <si>
    <t>0520260014477CDA</t>
  </si>
  <si>
    <t>0520260014485CDA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</si>
</sst>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C29204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charset val="1"/>
    </font>
    <font>
      <sz val="10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family val="2"/>
      <scheme val="minor"/>
    </font>
    <font>
      <sz val="9"/>
      <color rgb="FF000000"/>
      <name val="System-Ui"/>
      <charset val="1"/>
    </font>
    <font>
      <b/>
      <sz val="11"/>
      <color rgb="FF000000"/>
      <name val="Calibri"/>
    </font>
    <font>
      <sz val="11"/>
      <color rgb="FF333333"/>
      <name val="Calibri"/>
    </font>
    <font>
      <sz val="11"/>
      <color rgb="FF333333"/>
      <name val="Arial"/>
      <charset val="1"/>
    </font>
    <font>
      <sz val="10"/>
      <color theme="1"/>
      <name val="Courier New"/>
      <charset val="1"/>
    </font>
    <font>
      <u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6">
    <xf numFmtId="0" fontId="0" fillId="0" borderId="0" xfId="0"/>
    <xf numFmtId="0" fontId="0" fillId="0" borderId="2" xfId="0" applyBorder="1"/>
    <xf numFmtId="0" fontId="10" fillId="0" borderId="2" xfId="0" applyFont="1" applyBorder="1"/>
    <xf numFmtId="0" fontId="6" fillId="0" borderId="2" xfId="0" applyFont="1" applyBorder="1"/>
    <xf numFmtId="0" fontId="9" fillId="0" borderId="2" xfId="1" applyBorder="1"/>
    <xf numFmtId="164" fontId="0" fillId="0" borderId="0" xfId="0" applyNumberFormat="1"/>
    <xf numFmtId="14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0" fillId="0" borderId="4" xfId="0" applyBorder="1"/>
    <xf numFmtId="164" fontId="0" fillId="0" borderId="8" xfId="0" applyNumberFormat="1" applyBorder="1"/>
    <xf numFmtId="0" fontId="0" fillId="0" borderId="9" xfId="0" applyBorder="1"/>
    <xf numFmtId="164" fontId="6" fillId="0" borderId="8" xfId="0" applyNumberFormat="1" applyFont="1" applyBorder="1"/>
    <xf numFmtId="0" fontId="0" fillId="0" borderId="8" xfId="0" applyBorder="1"/>
    <xf numFmtId="0" fontId="6" fillId="0" borderId="8" xfId="0" applyFont="1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9" xfId="0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22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0" fillId="0" borderId="16" xfId="0" applyBorder="1"/>
    <xf numFmtId="0" fontId="0" fillId="0" borderId="0" xfId="0" applyAlignment="1">
      <alignment horizontal="center"/>
    </xf>
    <xf numFmtId="14" fontId="0" fillId="0" borderId="2" xfId="0" applyNumberFormat="1" applyBorder="1"/>
    <xf numFmtId="14" fontId="9" fillId="0" borderId="2" xfId="1" applyNumberFormat="1" applyBorder="1"/>
    <xf numFmtId="14" fontId="9" fillId="0" borderId="2" xfId="1" applyNumberFormat="1" applyBorder="1" applyAlignment="1">
      <alignment readingOrder="1"/>
    </xf>
    <xf numFmtId="0" fontId="6" fillId="0" borderId="2" xfId="0" applyFont="1" applyBorder="1" applyAlignment="1">
      <alignment horizontal="center" wrapText="1"/>
    </xf>
    <xf numFmtId="14" fontId="8" fillId="0" borderId="2" xfId="0" applyNumberFormat="1" applyFont="1" applyBorder="1"/>
    <xf numFmtId="0" fontId="6" fillId="0" borderId="2" xfId="0" applyFont="1" applyBorder="1" applyAlignment="1">
      <alignment readingOrder="1"/>
    </xf>
    <xf numFmtId="164" fontId="6" fillId="0" borderId="4" xfId="0" applyNumberFormat="1" applyFont="1" applyBorder="1"/>
    <xf numFmtId="164" fontId="0" fillId="0" borderId="4" xfId="0" applyNumberFormat="1" applyBorder="1"/>
    <xf numFmtId="164" fontId="0" fillId="0" borderId="11" xfId="0" applyNumberFormat="1" applyBorder="1"/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2" fontId="6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6" fillId="0" borderId="8" xfId="0" applyNumberFormat="1" applyFont="1" applyBorder="1" applyAlignment="1">
      <alignment horizontal="center"/>
    </xf>
    <xf numFmtId="0" fontId="0" fillId="0" borderId="7" xfId="0" applyBorder="1"/>
    <xf numFmtId="0" fontId="12" fillId="0" borderId="2" xfId="0" applyFont="1" applyBorder="1" applyAlignment="1">
      <alignment horizontal="left"/>
    </xf>
    <xf numFmtId="14" fontId="6" fillId="0" borderId="2" xfId="0" applyNumberFormat="1" applyFont="1" applyBorder="1" applyAlignment="1">
      <alignment readingOrder="1"/>
    </xf>
    <xf numFmtId="14" fontId="6" fillId="0" borderId="2" xfId="0" applyNumberFormat="1" applyFont="1" applyBorder="1" applyAlignment="1">
      <alignment horizontal="center"/>
    </xf>
    <xf numFmtId="0" fontId="10" fillId="0" borderId="4" xfId="0" applyFont="1" applyBorder="1"/>
    <xf numFmtId="0" fontId="9" fillId="0" borderId="2" xfId="1" applyFill="1" applyBorder="1"/>
    <xf numFmtId="14" fontId="12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22" fontId="12" fillId="0" borderId="4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2" fontId="12" fillId="0" borderId="8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10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6" fillId="0" borderId="2" xfId="0" applyNumberFormat="1" applyFont="1" applyBorder="1" applyAlignment="1">
      <alignment wrapText="1"/>
    </xf>
    <xf numFmtId="14" fontId="0" fillId="0" borderId="9" xfId="0" applyNumberFormat="1" applyBorder="1"/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22" fontId="12" fillId="0" borderId="11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14" fontId="6" fillId="0" borderId="9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11" fillId="0" borderId="8" xfId="0" applyFont="1" applyBorder="1"/>
    <xf numFmtId="22" fontId="6" fillId="0" borderId="1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readingOrder="1"/>
    </xf>
    <xf numFmtId="0" fontId="17" fillId="0" borderId="7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22" fontId="21" fillId="0" borderId="2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14" fontId="9" fillId="0" borderId="2" xfId="1" applyNumberFormat="1" applyBorder="1" applyAlignment="1">
      <alignment wrapText="1"/>
    </xf>
    <xf numFmtId="0" fontId="9" fillId="0" borderId="0" xfId="1" applyFill="1"/>
    <xf numFmtId="0" fontId="0" fillId="0" borderId="7" xfId="0" applyBorder="1" applyAlignment="1">
      <alignment horizontal="center"/>
    </xf>
    <xf numFmtId="0" fontId="14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0" fontId="22" fillId="0" borderId="2" xfId="0" applyFont="1" applyBorder="1"/>
    <xf numFmtId="0" fontId="22" fillId="0" borderId="8" xfId="0" applyFont="1" applyBorder="1"/>
    <xf numFmtId="0" fontId="0" fillId="0" borderId="11" xfId="0" applyBorder="1"/>
    <xf numFmtId="14" fontId="0" fillId="0" borderId="7" xfId="0" applyNumberFormat="1" applyBorder="1"/>
    <xf numFmtId="14" fontId="0" fillId="0" borderId="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25" fillId="0" borderId="8" xfId="0" applyFont="1" applyBorder="1"/>
    <xf numFmtId="0" fontId="22" fillId="0" borderId="4" xfId="0" applyFont="1" applyBorder="1"/>
    <xf numFmtId="0" fontId="24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14" fontId="15" fillId="7" borderId="6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center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0" fontId="22" fillId="0" borderId="13" xfId="0" applyFont="1" applyBorder="1"/>
    <xf numFmtId="0" fontId="22" fillId="0" borderId="0" xfId="0" applyFont="1"/>
    <xf numFmtId="0" fontId="22" fillId="0" borderId="11" xfId="0" applyFont="1" applyBorder="1"/>
    <xf numFmtId="0" fontId="22" fillId="0" borderId="14" xfId="0" applyFont="1" applyBorder="1"/>
    <xf numFmtId="0" fontId="23" fillId="7" borderId="0" xfId="0" applyFont="1" applyFill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6" fillId="0" borderId="2" xfId="1" applyNumberFormat="1" applyFont="1" applyBorder="1"/>
    <xf numFmtId="14" fontId="6" fillId="0" borderId="2" xfId="1" applyNumberFormat="1" applyFont="1" applyBorder="1" applyAlignment="1">
      <alignment wrapText="1"/>
    </xf>
    <xf numFmtId="14" fontId="6" fillId="0" borderId="2" xfId="1" applyNumberFormat="1" applyFont="1" applyBorder="1" applyAlignment="1">
      <alignment readingOrder="1"/>
    </xf>
    <xf numFmtId="14" fontId="0" fillId="0" borderId="0" xfId="0" applyNumberFormat="1" applyAlignment="1">
      <alignment horizontal="right"/>
    </xf>
    <xf numFmtId="14" fontId="20" fillId="0" borderId="0" xfId="0" applyNumberFormat="1" applyFont="1" applyAlignment="1">
      <alignment horizontal="right"/>
    </xf>
    <xf numFmtId="0" fontId="6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2" fillId="0" borderId="18" xfId="0" applyFont="1" applyBorder="1"/>
    <xf numFmtId="0" fontId="10" fillId="0" borderId="13" xfId="0" applyFont="1" applyBorder="1"/>
    <xf numFmtId="0" fontId="26" fillId="0" borderId="2" xfId="0" applyFont="1" applyBorder="1" applyAlignment="1">
      <alignment horizontal="right"/>
    </xf>
    <xf numFmtId="0" fontId="9" fillId="0" borderId="4" xfId="1" applyBorder="1"/>
    <xf numFmtId="0" fontId="9" fillId="0" borderId="4" xfId="1" applyBorder="1" applyAlignment="1">
      <alignment wrapText="1"/>
    </xf>
    <xf numFmtId="0" fontId="9" fillId="0" borderId="4" xfId="1" applyBorder="1" applyAlignment="1">
      <alignment readingOrder="1"/>
    </xf>
    <xf numFmtId="0" fontId="9" fillId="0" borderId="13" xfId="1" applyBorder="1"/>
    <xf numFmtId="0" fontId="9" fillId="0" borderId="4" xfId="1" applyBorder="1" applyAlignment="1">
      <alignment horizontal="right"/>
    </xf>
    <xf numFmtId="0" fontId="9" fillId="0" borderId="17" xfId="1" applyBorder="1"/>
    <xf numFmtId="14" fontId="10" fillId="0" borderId="13" xfId="0" applyNumberFormat="1" applyFont="1" applyBorder="1" applyAlignment="1">
      <alignment horizontal="center"/>
    </xf>
    <xf numFmtId="22" fontId="12" fillId="0" borderId="13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4" xfId="0" applyFont="1" applyBorder="1"/>
    <xf numFmtId="0" fontId="28" fillId="0" borderId="0" xfId="0" applyFont="1"/>
    <xf numFmtId="0" fontId="13" fillId="0" borderId="2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/>
    </xf>
    <xf numFmtId="0" fontId="17" fillId="0" borderId="1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right"/>
    </xf>
    <xf numFmtId="0" fontId="9" fillId="0" borderId="4" xfId="1" applyFill="1" applyBorder="1"/>
    <xf numFmtId="0" fontId="0" fillId="0" borderId="2" xfId="0" applyBorder="1" applyAlignment="1">
      <alignment horizontal="right"/>
    </xf>
    <xf numFmtId="14" fontId="9" fillId="0" borderId="4" xfId="1" applyNumberFormat="1" applyBorder="1"/>
    <xf numFmtId="0" fontId="9" fillId="0" borderId="9" xfId="1" applyFill="1" applyBorder="1"/>
    <xf numFmtId="0" fontId="0" fillId="0" borderId="17" xfId="0" applyBorder="1"/>
    <xf numFmtId="14" fontId="0" fillId="0" borderId="8" xfId="0" applyNumberFormat="1" applyBorder="1"/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9" fillId="0" borderId="2" xfId="0" applyFont="1" applyBorder="1"/>
    <xf numFmtId="0" fontId="29" fillId="0" borderId="8" xfId="0" applyFont="1" applyBorder="1"/>
    <xf numFmtId="0" fontId="29" fillId="0" borderId="8" xfId="0" applyFont="1" applyBorder="1" applyAlignment="1">
      <alignment wrapText="1"/>
    </xf>
    <xf numFmtId="0" fontId="29" fillId="0" borderId="18" xfId="0" applyFont="1" applyBorder="1"/>
    <xf numFmtId="0" fontId="26" fillId="0" borderId="0" xfId="0" applyFont="1"/>
    <xf numFmtId="0" fontId="9" fillId="0" borderId="7" xfId="1" applyBorder="1"/>
    <xf numFmtId="0" fontId="26" fillId="0" borderId="7" xfId="0" applyFont="1" applyBorder="1"/>
    <xf numFmtId="0" fontId="9" fillId="0" borderId="10" xfId="1" applyBorder="1"/>
    <xf numFmtId="0" fontId="26" fillId="0" borderId="18" xfId="0" applyFont="1" applyBorder="1"/>
    <xf numFmtId="0" fontId="26" fillId="0" borderId="2" xfId="0" applyFont="1" applyBorder="1"/>
    <xf numFmtId="0" fontId="26" fillId="0" borderId="9" xfId="0" applyFont="1" applyBorder="1"/>
    <xf numFmtId="0" fontId="29" fillId="4" borderId="8" xfId="0" applyFont="1" applyFill="1" applyBorder="1"/>
    <xf numFmtId="0" fontId="22" fillId="0" borderId="4" xfId="0" applyFont="1" applyBorder="1" applyAlignment="1">
      <alignment horizontal="right"/>
    </xf>
    <xf numFmtId="0" fontId="22" fillId="0" borderId="13" xfId="0" applyFont="1" applyBorder="1" applyAlignment="1">
      <alignment horizontal="center"/>
    </xf>
    <xf numFmtId="0" fontId="22" fillId="0" borderId="9" xfId="0" applyFont="1" applyBorder="1"/>
    <xf numFmtId="0" fontId="22" fillId="0" borderId="7" xfId="0" applyFont="1" applyBorder="1"/>
    <xf numFmtId="0" fontId="12" fillId="0" borderId="2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32" fillId="6" borderId="2" xfId="0" applyFont="1" applyFill="1" applyBorder="1" applyAlignment="1">
      <alignment readingOrder="1"/>
    </xf>
    <xf numFmtId="0" fontId="0" fillId="0" borderId="0" xfId="0" applyAlignment="1">
      <alignment horizontal="left"/>
    </xf>
    <xf numFmtId="0" fontId="26" fillId="8" borderId="2" xfId="0" applyFont="1" applyFill="1" applyBorder="1"/>
    <xf numFmtId="0" fontId="29" fillId="4" borderId="2" xfId="0" applyFont="1" applyFill="1" applyBorder="1"/>
    <xf numFmtId="0" fontId="10" fillId="8" borderId="2" xfId="0" applyFont="1" applyFill="1" applyBorder="1"/>
    <xf numFmtId="0" fontId="29" fillId="4" borderId="13" xfId="0" applyFont="1" applyFill="1" applyBorder="1"/>
    <xf numFmtId="0" fontId="26" fillId="0" borderId="14" xfId="0" applyFont="1" applyBorder="1"/>
    <xf numFmtId="0" fontId="26" fillId="0" borderId="14" xfId="0" applyFont="1" applyBorder="1" applyAlignment="1">
      <alignment horizontal="right"/>
    </xf>
    <xf numFmtId="0" fontId="0" fillId="0" borderId="14" xfId="0" applyBorder="1"/>
    <xf numFmtId="0" fontId="26" fillId="0" borderId="14" xfId="0" applyFont="1" applyBorder="1" applyAlignment="1">
      <alignment horizontal="left"/>
    </xf>
    <xf numFmtId="0" fontId="26" fillId="3" borderId="14" xfId="0" applyFont="1" applyFill="1" applyBorder="1"/>
    <xf numFmtId="0" fontId="26" fillId="0" borderId="18" xfId="0" applyFont="1" applyBorder="1" applyAlignment="1">
      <alignment horizontal="right"/>
    </xf>
    <xf numFmtId="0" fontId="26" fillId="0" borderId="18" xfId="0" applyFont="1" applyBorder="1" applyAlignment="1">
      <alignment horizontal="left"/>
    </xf>
    <xf numFmtId="0" fontId="0" fillId="0" borderId="18" xfId="0" applyBorder="1"/>
    <xf numFmtId="0" fontId="9" fillId="0" borderId="9" xfId="1" applyBorder="1"/>
    <xf numFmtId="0" fontId="26" fillId="0" borderId="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0" xfId="0" applyBorder="1"/>
    <xf numFmtId="0" fontId="26" fillId="0" borderId="11" xfId="0" applyFont="1" applyBorder="1"/>
    <xf numFmtId="0" fontId="30" fillId="0" borderId="2" xfId="0" applyFont="1" applyBorder="1" applyAlignment="1">
      <alignment horizontal="right"/>
    </xf>
    <xf numFmtId="0" fontId="33" fillId="0" borderId="2" xfId="1" applyFont="1" applyBorder="1"/>
    <xf numFmtId="0" fontId="33" fillId="3" borderId="2" xfId="1" applyFont="1" applyFill="1" applyBorder="1"/>
    <xf numFmtId="0" fontId="0" fillId="3" borderId="2" xfId="0" applyFill="1" applyBorder="1"/>
    <xf numFmtId="0" fontId="9" fillId="0" borderId="10" xfId="1" applyFill="1" applyBorder="1"/>
    <xf numFmtId="0" fontId="26" fillId="8" borderId="9" xfId="0" applyFont="1" applyFill="1" applyBorder="1"/>
    <xf numFmtId="14" fontId="31" fillId="0" borderId="18" xfId="0" applyNumberFormat="1" applyFont="1" applyBorder="1"/>
    <xf numFmtId="0" fontId="31" fillId="0" borderId="0" xfId="0" applyFont="1"/>
    <xf numFmtId="0" fontId="26" fillId="0" borderId="13" xfId="0" applyFont="1" applyBorder="1"/>
    <xf numFmtId="14" fontId="9" fillId="0" borderId="4" xfId="1" applyNumberFormat="1" applyBorder="1" applyAlignment="1">
      <alignment readingOrder="1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/>
    <xf numFmtId="14" fontId="7" fillId="3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4" fillId="0" borderId="2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readingOrder="1"/>
    </xf>
    <xf numFmtId="3" fontId="1" fillId="0" borderId="9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/>
    <xf numFmtId="14" fontId="1" fillId="0" borderId="2" xfId="0" applyNumberFormat="1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22" fontId="1" fillId="0" borderId="16" xfId="0" applyNumberFormat="1" applyFont="1" applyBorder="1" applyAlignment="1">
      <alignment horizontal="center"/>
    </xf>
    <xf numFmtId="22" fontId="1" fillId="0" borderId="9" xfId="0" applyNumberFormat="1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22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 readingOrder="1"/>
    </xf>
    <xf numFmtId="22" fontId="1" fillId="0" borderId="14" xfId="0" applyNumberFormat="1" applyFont="1" applyBorder="1" applyAlignment="1">
      <alignment horizontal="center"/>
    </xf>
    <xf numFmtId="22" fontId="1" fillId="0" borderId="8" xfId="0" applyNumberFormat="1" applyFont="1" applyBorder="1" applyAlignment="1">
      <alignment horizontal="center"/>
    </xf>
    <xf numFmtId="22" fontId="1" fillId="0" borderId="17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1" fillId="0" borderId="17" xfId="0" applyFont="1" applyBorder="1"/>
    <xf numFmtId="0" fontId="1" fillId="0" borderId="4" xfId="0" applyFont="1" applyBorder="1"/>
    <xf numFmtId="14" fontId="1" fillId="0" borderId="1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6" borderId="2" xfId="0" applyFont="1" applyFill="1" applyBorder="1" applyAlignment="1">
      <alignment horizontal="center" readingOrder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/>
    <xf numFmtId="0" fontId="1" fillId="0" borderId="7" xfId="0" applyFont="1" applyBorder="1" applyAlignment="1">
      <alignment horizontal="center"/>
    </xf>
    <xf numFmtId="14" fontId="1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3" borderId="10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29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8472D-3719-4E21-AEEC-CD5761F5D590}" name="Table1" displayName="Table1" ref="A1:I441" totalsRowShown="0" headerRowDxfId="28" dataDxfId="26" headerRowBorderDxfId="27">
  <autoFilter ref="A1:I441" xr:uid="{C268472D-3719-4E21-AEEC-CD5761F5D590}"/>
  <tableColumns count="9">
    <tableColumn id="1" xr3:uid="{9BADEC22-1CFC-455C-AA35-5CBC174127EB}" name="REF. CLIENTE" dataDxfId="25"/>
    <tableColumn id="2" xr3:uid="{E033D021-6A0B-4632-A35E-0284BC0A141A}" name="DESPACHO" dataDxfId="24"/>
    <tableColumn id="3" xr3:uid="{15391A47-4328-40BD-AF2B-36D006879523}" name="FECHA PRESENTACION" dataDxfId="23"/>
    <tableColumn id="4" xr3:uid="{4E6F985D-7455-4831-B23D-450409E29949}" name="TIPO TRAMITE" dataDxfId="22"/>
    <tableColumn id="5" xr3:uid="{AE634251-C2C1-419E-8A0E-15B49BFFB840}" name="ENTIDAD" dataDxfId="21"/>
    <tableColumn id="6" xr3:uid="{4CD4AA12-A385-4CAA-B532-F1155E5630B0}" name="DOCUMENTO " dataDxfId="20"/>
    <tableColumn id="7" xr3:uid="{F5DB0D84-9C78-420A-81F1-B037F3122302}" name="ADUANA" dataDxfId="19"/>
    <tableColumn id="8" xr3:uid="{ACE2E709-FE70-438B-A851-EAE43D5A1721}" name="ESTADO" dataDxfId="18"/>
    <tableColumn id="9" xr3:uid="{09BEF932-D717-4BCE-8FD1-B5590E474C38}" name="OBSERVACIONES" dataDxfId="1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258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259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260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261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C3X-K-D9ONQpl8pOPF3OCrARgc88ifPnAbF4LfTpangvA?e=o0ypLN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263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264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65" Type="http://schemas.openxmlformats.org/officeDocument/2006/relationships/vmlDrawing" Target="../drawings/vmlDrawing1.vm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255" Type="http://schemas.openxmlformats.org/officeDocument/2006/relationships/hyperlink" Target="https://agenciadeaduanapirazzoli-my.sharepoint.com/:b:/g/personal/mmorales_pirazzoli_cl/IQA8U4PgUDy1Ra_XM8rDbIJ1AfVjlS5KLLQetK18ZBMhff0?e=RpZSmx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266" Type="http://schemas.openxmlformats.org/officeDocument/2006/relationships/comments" Target="../comments1.xm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256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257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299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21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63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159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170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226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268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32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74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128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5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181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23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279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43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139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290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304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85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150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192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206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248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12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108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315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4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96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161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217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259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23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119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270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65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130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172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228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13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09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260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281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316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34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55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76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97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12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141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7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162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183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21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239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250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271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92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306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24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45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6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87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110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131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152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173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194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208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229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240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261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14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35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56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77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100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282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317" Type="http://schemas.openxmlformats.org/officeDocument/2006/relationships/table" Target="../tables/table1.xml"/><Relationship Id="rId8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98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121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142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63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18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219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230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251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25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46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7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272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293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307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88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111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132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3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174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195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209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220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241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15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36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57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262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283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78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99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01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122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143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64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185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9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210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26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31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252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273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294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308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47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68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89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112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133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154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175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196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200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16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221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242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263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284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37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58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79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02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123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144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90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165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186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211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232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253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274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295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309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27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48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69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13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134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80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155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176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197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201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222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243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264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285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17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38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59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103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124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310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70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91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145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6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187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1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212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233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254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28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49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114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275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296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300" Type="http://schemas.openxmlformats.org/officeDocument/2006/relationships/hyperlink" Target="https://agenciadeaduanapirazzoli-my.sharepoint.com/:b:/g/personal/mmorales_pirazzoli_cl/IQAXwnPNWcZrT71jAs6VDFveAS2qYJhn684EzUmoU8LmB_U?e=dhZTft" TargetMode="External"/><Relationship Id="rId60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81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13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6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177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198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2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223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244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18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39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265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286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50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10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125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146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167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188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311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71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92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213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234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2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29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255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276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297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40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115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136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57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178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301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61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82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199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203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19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224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245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266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287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30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105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126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147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168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312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51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72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93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189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3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214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235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256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277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298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116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37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158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302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20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41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62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83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179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190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204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225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246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267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288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106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127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313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10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31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52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73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94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148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169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4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80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215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236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25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278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303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42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84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38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191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205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247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107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289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11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53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149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314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95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160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216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258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22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4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118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171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227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269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33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129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280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75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140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182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6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238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291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305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44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86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151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193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207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249" Type="http://schemas.openxmlformats.org/officeDocument/2006/relationships/hyperlink" Target="https://agenciadeaduanapirazzoli-my.sharepoint.com/:b:/g/personal/mmorales_pirazzoli_cl/IQAj65QGpmjmQKJomR3HIHcGAZ7NsizwwknSq-I3aSEk_48?e=sB8Nu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H232"/>
  <sheetViews>
    <sheetView tabSelected="1" zoomScale="70" zoomScaleNormal="70" workbookViewId="0">
      <pane xSplit="2" topLeftCell="C1" activePane="topRight" state="frozen"/>
      <selection pane="topRight" activeCell="O147" sqref="O147"/>
    </sheetView>
  </sheetViews>
  <sheetFormatPr baseColWidth="10" defaultColWidth="11.42578125" defaultRowHeight="24.75" customHeight="1"/>
  <cols>
    <col min="1" max="2" width="19" style="98" customWidth="1"/>
    <col min="3" max="3" width="49.85546875" style="12" customWidth="1"/>
    <col min="4" max="4" width="29.85546875" style="1" customWidth="1"/>
    <col min="5" max="5" width="29.7109375" style="24" customWidth="1"/>
    <col min="6" max="6" width="30.28515625" customWidth="1"/>
    <col min="7" max="7" width="60.7109375" customWidth="1"/>
    <col min="8" max="8" width="29.7109375" customWidth="1"/>
    <col min="9" max="9" width="21.85546875" customWidth="1"/>
    <col min="10" max="10" width="20" customWidth="1"/>
    <col min="11" max="11" width="27.28515625" customWidth="1"/>
    <col min="13" max="13" width="13.7109375" customWidth="1"/>
    <col min="14" max="14" width="16.42578125" customWidth="1"/>
    <col min="15" max="15" width="21.140625" customWidth="1"/>
    <col min="16" max="16" width="21.140625" style="1" customWidth="1"/>
    <col min="17" max="17" width="21.140625" customWidth="1"/>
    <col min="18" max="18" width="16.42578125" style="141" customWidth="1"/>
    <col min="19" max="19" width="16.42578125" style="142" customWidth="1"/>
    <col min="20" max="20" width="23.5703125" customWidth="1"/>
    <col min="21" max="21" width="47" customWidth="1"/>
    <col min="22" max="22" width="49.28515625" style="69" customWidth="1"/>
    <col min="23" max="23" width="32.7109375" style="79" customWidth="1"/>
    <col min="24" max="24" width="22.7109375" style="88" customWidth="1"/>
    <col min="25" max="25" width="21" style="49" customWidth="1"/>
    <col min="26" max="26" width="18.85546875" bestFit="1" customWidth="1"/>
    <col min="27" max="27" width="14.28515625" customWidth="1"/>
    <col min="28" max="28" width="18" style="1" customWidth="1"/>
    <col min="29" max="29" width="25" style="23" customWidth="1"/>
    <col min="30" max="30" width="21.28515625" style="23" customWidth="1"/>
    <col min="31" max="31" width="19.140625" style="85" customWidth="1"/>
    <col min="32" max="32" width="16.28515625" style="53" bestFit="1" customWidth="1"/>
    <col min="33" max="34" width="13.28515625" style="5" customWidth="1"/>
    <col min="35" max="35" width="27.140625" customWidth="1"/>
  </cols>
  <sheetData>
    <row r="1" spans="1:34" ht="72" customHeight="1">
      <c r="A1" s="66" t="s">
        <v>0</v>
      </c>
      <c r="B1" s="66" t="s">
        <v>1</v>
      </c>
      <c r="C1" s="229" t="s">
        <v>2</v>
      </c>
      <c r="D1" s="109" t="s">
        <v>3</v>
      </c>
      <c r="E1" s="226" t="s">
        <v>4</v>
      </c>
      <c r="F1" s="110" t="s">
        <v>5</v>
      </c>
      <c r="G1" s="110" t="s">
        <v>6</v>
      </c>
      <c r="H1" s="111" t="s">
        <v>7</v>
      </c>
      <c r="I1" s="112" t="s">
        <v>8</v>
      </c>
      <c r="J1" s="114" t="s">
        <v>9</v>
      </c>
      <c r="K1" s="113" t="s">
        <v>10</v>
      </c>
      <c r="L1" s="113" t="s">
        <v>11</v>
      </c>
      <c r="M1" s="113" t="s">
        <v>12</v>
      </c>
      <c r="N1" s="113" t="s">
        <v>13</v>
      </c>
      <c r="O1" s="115" t="s">
        <v>14</v>
      </c>
      <c r="P1" s="116" t="s">
        <v>15</v>
      </c>
      <c r="Q1" s="129" t="s">
        <v>16</v>
      </c>
      <c r="R1" s="139" t="s">
        <v>17</v>
      </c>
      <c r="S1" s="139" t="s">
        <v>18</v>
      </c>
      <c r="T1" s="117" t="s">
        <v>19</v>
      </c>
      <c r="U1" s="115" t="s">
        <v>20</v>
      </c>
      <c r="V1" s="118" t="s">
        <v>21</v>
      </c>
      <c r="W1" s="119" t="s">
        <v>22</v>
      </c>
      <c r="X1" s="120" t="s">
        <v>23</v>
      </c>
      <c r="Y1" s="121" t="s">
        <v>24</v>
      </c>
      <c r="Z1" s="113" t="s">
        <v>25</v>
      </c>
      <c r="AA1" s="137" t="s">
        <v>26</v>
      </c>
      <c r="AB1" s="139" t="s">
        <v>27</v>
      </c>
      <c r="AC1" s="117" t="s">
        <v>28</v>
      </c>
      <c r="AD1" s="113" t="s">
        <v>29</v>
      </c>
      <c r="AE1" s="122" t="s">
        <v>30</v>
      </c>
      <c r="AF1" s="232" t="s">
        <v>31</v>
      </c>
      <c r="AG1" s="123" t="s">
        <v>32</v>
      </c>
      <c r="AH1" s="124" t="s">
        <v>33</v>
      </c>
    </row>
    <row r="2" spans="1:34" ht="24.75" customHeight="1">
      <c r="A2" s="227" t="s">
        <v>34</v>
      </c>
      <c r="B2" s="227">
        <v>179930</v>
      </c>
      <c r="C2" s="230" t="s">
        <v>35</v>
      </c>
      <c r="D2" s="4" t="s">
        <v>36</v>
      </c>
      <c r="E2" s="6">
        <v>46076</v>
      </c>
      <c r="F2" s="13" t="s">
        <v>37</v>
      </c>
      <c r="G2" s="13" t="s">
        <v>38</v>
      </c>
      <c r="H2" s="6">
        <v>46078</v>
      </c>
      <c r="I2" s="3" t="s">
        <v>39</v>
      </c>
      <c r="J2" s="3"/>
      <c r="K2" s="2" t="s">
        <v>40</v>
      </c>
      <c r="L2" s="3" t="s">
        <v>41</v>
      </c>
      <c r="M2" s="3" t="s">
        <v>42</v>
      </c>
      <c r="N2" s="3" t="s">
        <v>43</v>
      </c>
      <c r="O2" s="43" t="s">
        <v>44</v>
      </c>
      <c r="P2" s="100">
        <v>33737</v>
      </c>
      <c r="Q2" s="125" t="s">
        <v>45</v>
      </c>
      <c r="R2" s="19" t="s">
        <v>46</v>
      </c>
      <c r="S2" s="18" t="s">
        <v>47</v>
      </c>
      <c r="T2" s="144" t="s">
        <v>48</v>
      </c>
      <c r="U2" s="8" t="e">
        <f>VLOOKUP('IMPO TERR'!T2,#REF!,2,0)</f>
        <v>#REF!</v>
      </c>
      <c r="V2" s="81" t="s">
        <v>49</v>
      </c>
      <c r="W2" s="233" t="s">
        <v>50</v>
      </c>
      <c r="X2" s="47">
        <v>46083.859976851854</v>
      </c>
      <c r="Y2" s="46">
        <v>46084</v>
      </c>
      <c r="Z2" s="28">
        <v>46087</v>
      </c>
      <c r="AA2" s="146">
        <v>4090179930</v>
      </c>
      <c r="AB2" s="25">
        <v>46087.725694444445</v>
      </c>
      <c r="AC2" s="38">
        <v>46090.479398148149</v>
      </c>
      <c r="AD2" s="36">
        <v>46090.559687499997</v>
      </c>
      <c r="AE2" s="86"/>
      <c r="AF2" s="234">
        <v>25010000</v>
      </c>
      <c r="AG2" s="11">
        <v>0</v>
      </c>
      <c r="AH2" s="30">
        <v>0</v>
      </c>
    </row>
    <row r="3" spans="1:34" ht="24.75" customHeight="1">
      <c r="A3" s="227" t="s">
        <v>51</v>
      </c>
      <c r="B3" s="227">
        <v>179947</v>
      </c>
      <c r="C3" s="230" t="s">
        <v>35</v>
      </c>
      <c r="D3" s="1" t="s">
        <v>52</v>
      </c>
      <c r="E3" s="24">
        <v>46076</v>
      </c>
      <c r="F3" s="12"/>
      <c r="G3" s="12" t="s">
        <v>53</v>
      </c>
      <c r="H3" s="1"/>
      <c r="I3" s="1"/>
      <c r="J3" s="3"/>
      <c r="K3" s="2" t="s">
        <v>54</v>
      </c>
      <c r="L3" s="3" t="s">
        <v>55</v>
      </c>
      <c r="M3" s="3" t="s">
        <v>42</v>
      </c>
      <c r="N3" s="3" t="s">
        <v>43</v>
      </c>
      <c r="O3" s="43" t="s">
        <v>56</v>
      </c>
      <c r="P3" s="100">
        <v>32028</v>
      </c>
      <c r="Q3" s="125" t="s">
        <v>57</v>
      </c>
      <c r="R3" s="19" t="s">
        <v>58</v>
      </c>
      <c r="S3" s="18" t="s">
        <v>59</v>
      </c>
      <c r="T3" s="144" t="s">
        <v>60</v>
      </c>
      <c r="U3" s="8" t="e">
        <f>VLOOKUP('IMPO TERR'!T3,#REF!,2,0)</f>
        <v>#REF!</v>
      </c>
      <c r="V3" s="82" t="s">
        <v>61</v>
      </c>
      <c r="W3" s="83" t="s">
        <v>62</v>
      </c>
      <c r="X3" s="20">
        <v>46080.908217592594</v>
      </c>
      <c r="Y3" s="48">
        <v>46081</v>
      </c>
      <c r="Z3" s="6">
        <v>46085</v>
      </c>
      <c r="AA3" s="146">
        <v>4090179947</v>
      </c>
      <c r="AB3" s="25">
        <v>46085.553472222222</v>
      </c>
      <c r="AC3" s="52">
        <v>46086.655057870368</v>
      </c>
      <c r="AD3" s="55">
        <v>46093</v>
      </c>
      <c r="AE3" s="86"/>
      <c r="AF3" s="234">
        <v>6500000</v>
      </c>
      <c r="AG3" s="9">
        <v>857.58</v>
      </c>
      <c r="AH3" s="31"/>
    </row>
    <row r="4" spans="1:34" ht="24.75" customHeight="1">
      <c r="A4" s="227" t="s">
        <v>63</v>
      </c>
      <c r="B4" s="227">
        <v>179972</v>
      </c>
      <c r="C4" s="230" t="s">
        <v>35</v>
      </c>
      <c r="D4" s="3" t="s">
        <v>52</v>
      </c>
      <c r="E4" s="6">
        <v>46077</v>
      </c>
      <c r="F4" s="13" t="s">
        <v>64</v>
      </c>
      <c r="G4" s="13" t="s">
        <v>64</v>
      </c>
      <c r="H4" s="3"/>
      <c r="I4" s="3"/>
      <c r="J4" s="3"/>
      <c r="K4" s="2" t="s">
        <v>40</v>
      </c>
      <c r="L4" s="3" t="s">
        <v>41</v>
      </c>
      <c r="M4" s="3" t="s">
        <v>42</v>
      </c>
      <c r="N4" s="3" t="s">
        <v>43</v>
      </c>
      <c r="O4" s="43" t="s">
        <v>65</v>
      </c>
      <c r="P4" s="100">
        <v>32413</v>
      </c>
      <c r="Q4" s="125" t="s">
        <v>45</v>
      </c>
      <c r="R4" s="19" t="s">
        <v>66</v>
      </c>
      <c r="S4" s="18" t="s">
        <v>67</v>
      </c>
      <c r="T4" s="144" t="s">
        <v>68</v>
      </c>
      <c r="U4" s="8" t="e">
        <f>VLOOKUP('IMPO TERR'!T4,#REF!,2,0)</f>
        <v>#REF!</v>
      </c>
      <c r="V4" s="155" t="s">
        <v>69</v>
      </c>
      <c r="W4" s="72" t="s">
        <v>70</v>
      </c>
      <c r="X4" s="47">
        <v>46082.479074074072</v>
      </c>
      <c r="Y4" s="46">
        <v>46083</v>
      </c>
      <c r="Z4" s="132">
        <v>46085</v>
      </c>
      <c r="AA4" s="146">
        <v>4090179972</v>
      </c>
      <c r="AB4" s="25">
        <v>46085.652777777781</v>
      </c>
      <c r="AC4" s="38">
        <v>46085.753275462965</v>
      </c>
      <c r="AD4" s="36">
        <v>46085.83252314815</v>
      </c>
      <c r="AE4" s="86"/>
      <c r="AF4" s="234">
        <v>25950000</v>
      </c>
      <c r="AG4" s="9">
        <v>857.58</v>
      </c>
      <c r="AH4" s="30"/>
    </row>
    <row r="5" spans="1:34" ht="24.75" customHeight="1">
      <c r="A5" s="227" t="s">
        <v>71</v>
      </c>
      <c r="B5" s="227">
        <v>180001</v>
      </c>
      <c r="C5" s="230" t="s">
        <v>35</v>
      </c>
      <c r="D5" s="3" t="s">
        <v>52</v>
      </c>
      <c r="E5" s="6">
        <v>46077</v>
      </c>
      <c r="F5" s="13"/>
      <c r="G5" s="13"/>
      <c r="H5" s="3"/>
      <c r="I5" s="3"/>
      <c r="J5" s="3"/>
      <c r="K5" s="2" t="s">
        <v>40</v>
      </c>
      <c r="L5" s="3" t="s">
        <v>41</v>
      </c>
      <c r="M5" s="3" t="s">
        <v>42</v>
      </c>
      <c r="N5" s="3" t="s">
        <v>43</v>
      </c>
      <c r="O5" s="43" t="s">
        <v>72</v>
      </c>
      <c r="P5" s="100"/>
      <c r="Q5" s="125" t="s">
        <v>45</v>
      </c>
      <c r="R5" s="19" t="s">
        <v>73</v>
      </c>
      <c r="S5" s="18" t="s">
        <v>74</v>
      </c>
      <c r="T5" s="144" t="s">
        <v>68</v>
      </c>
      <c r="U5" s="8" t="e">
        <f>VLOOKUP('IMPO TERR'!T5,#REF!,2,0)</f>
        <v>#REF!</v>
      </c>
      <c r="V5" s="235" t="s">
        <v>75</v>
      </c>
      <c r="W5" s="72" t="s">
        <v>76</v>
      </c>
      <c r="X5" s="47">
        <v>46086.792349537034</v>
      </c>
      <c r="Y5" s="51">
        <v>46087</v>
      </c>
      <c r="Z5" s="132">
        <v>46079</v>
      </c>
      <c r="AA5" s="146">
        <v>4090180001</v>
      </c>
      <c r="AB5" s="25">
        <v>46087</v>
      </c>
      <c r="AC5" s="38">
        <v>46087.774537037039</v>
      </c>
      <c r="AD5" s="36">
        <v>46087.825578703705</v>
      </c>
      <c r="AE5" s="86"/>
      <c r="AF5" s="234">
        <v>26010000</v>
      </c>
      <c r="AG5" s="9">
        <v>857.95</v>
      </c>
      <c r="AH5" s="30"/>
    </row>
    <row r="6" spans="1:34" ht="24.75" customHeight="1">
      <c r="A6" s="227" t="s">
        <v>77</v>
      </c>
      <c r="B6" s="227">
        <v>180023</v>
      </c>
      <c r="C6" s="230" t="s">
        <v>35</v>
      </c>
      <c r="D6" s="3" t="s">
        <v>52</v>
      </c>
      <c r="E6" s="24">
        <v>46078</v>
      </c>
      <c r="F6" s="12"/>
      <c r="G6" s="12"/>
      <c r="H6" s="1"/>
      <c r="I6" s="1"/>
      <c r="J6" s="3"/>
      <c r="K6" s="2" t="s">
        <v>40</v>
      </c>
      <c r="L6" s="3" t="s">
        <v>41</v>
      </c>
      <c r="M6" s="3" t="s">
        <v>42</v>
      </c>
      <c r="N6" s="3" t="s">
        <v>43</v>
      </c>
      <c r="O6" s="43" t="s">
        <v>78</v>
      </c>
      <c r="P6" s="100">
        <v>34269</v>
      </c>
      <c r="Q6" s="125" t="s">
        <v>45</v>
      </c>
      <c r="R6" s="19" t="s">
        <v>79</v>
      </c>
      <c r="S6" s="18" t="s">
        <v>80</v>
      </c>
      <c r="T6" s="144" t="s">
        <v>68</v>
      </c>
      <c r="U6" s="8" t="e">
        <f>VLOOKUP('IMPO TERR'!T6,#REF!,2,0)</f>
        <v>#REF!</v>
      </c>
      <c r="V6" s="156" t="s">
        <v>81</v>
      </c>
      <c r="W6" s="72" t="s">
        <v>82</v>
      </c>
      <c r="X6" s="47">
        <v>46084.790868055556</v>
      </c>
      <c r="Y6" s="46">
        <v>46085</v>
      </c>
      <c r="Z6" s="132">
        <v>46080</v>
      </c>
      <c r="AA6" s="146">
        <v>4090180023</v>
      </c>
      <c r="AB6" s="25">
        <v>46085</v>
      </c>
      <c r="AC6" s="50">
        <v>46084.790868055556</v>
      </c>
      <c r="AD6" s="36">
        <v>46085.734293981484</v>
      </c>
      <c r="AE6" s="86"/>
      <c r="AF6" s="236">
        <v>25520000</v>
      </c>
      <c r="AG6" s="9">
        <v>857.95</v>
      </c>
      <c r="AH6" s="31"/>
    </row>
    <row r="7" spans="1:34" ht="24.75" customHeight="1">
      <c r="A7" s="227" t="s">
        <v>83</v>
      </c>
      <c r="B7" s="227">
        <v>180040</v>
      </c>
      <c r="C7" s="230" t="s">
        <v>35</v>
      </c>
      <c r="D7" s="3" t="s">
        <v>52</v>
      </c>
      <c r="E7" s="6">
        <v>46078</v>
      </c>
      <c r="F7" s="13"/>
      <c r="G7" s="13"/>
      <c r="H7" s="3"/>
      <c r="I7" s="3"/>
      <c r="J7" s="3"/>
      <c r="K7" s="2" t="s">
        <v>40</v>
      </c>
      <c r="L7" s="3" t="s">
        <v>55</v>
      </c>
      <c r="M7" s="3" t="s">
        <v>42</v>
      </c>
      <c r="N7" s="3" t="s">
        <v>43</v>
      </c>
      <c r="O7" s="43" t="s">
        <v>84</v>
      </c>
      <c r="P7" s="100"/>
      <c r="Q7" s="125" t="s">
        <v>85</v>
      </c>
      <c r="R7" s="19" t="s">
        <v>86</v>
      </c>
      <c r="S7" s="18" t="s">
        <v>87</v>
      </c>
      <c r="T7" s="144" t="s">
        <v>88</v>
      </c>
      <c r="U7" s="8" t="e">
        <f>VLOOKUP('IMPO TERR'!T7,#REF!,2,0)</f>
        <v>#REF!</v>
      </c>
      <c r="V7" s="89" t="s">
        <v>89</v>
      </c>
      <c r="W7" s="70" t="s">
        <v>90</v>
      </c>
      <c r="X7" s="47">
        <v>46082.751284722224</v>
      </c>
      <c r="Y7" s="46">
        <v>46083</v>
      </c>
      <c r="Z7" s="132">
        <v>46084</v>
      </c>
      <c r="AA7" s="146">
        <v>4090180040</v>
      </c>
      <c r="AB7" s="25">
        <v>46084</v>
      </c>
      <c r="AC7" s="38">
        <v>46085.669062499997</v>
      </c>
      <c r="AD7" s="36">
        <v>46087.305219907408</v>
      </c>
      <c r="AE7" s="86"/>
      <c r="AF7" s="237">
        <v>28670000</v>
      </c>
      <c r="AG7" s="9">
        <v>857.58</v>
      </c>
      <c r="AH7" s="30"/>
    </row>
    <row r="8" spans="1:34" ht="24.75" customHeight="1">
      <c r="A8" s="227" t="s">
        <v>91</v>
      </c>
      <c r="B8" s="227">
        <v>180056</v>
      </c>
      <c r="C8" s="230" t="s">
        <v>35</v>
      </c>
      <c r="D8" s="3" t="s">
        <v>52</v>
      </c>
      <c r="E8" s="6">
        <v>46079</v>
      </c>
      <c r="F8" s="13"/>
      <c r="G8" s="13"/>
      <c r="H8" s="3"/>
      <c r="I8" s="3"/>
      <c r="J8" s="3"/>
      <c r="K8" s="2" t="s">
        <v>40</v>
      </c>
      <c r="L8" s="3" t="s">
        <v>41</v>
      </c>
      <c r="M8" s="3" t="s">
        <v>42</v>
      </c>
      <c r="N8" s="3" t="s">
        <v>43</v>
      </c>
      <c r="O8" s="43" t="s">
        <v>92</v>
      </c>
      <c r="P8" s="100"/>
      <c r="Q8" s="125" t="s">
        <v>45</v>
      </c>
      <c r="R8" s="19" t="s">
        <v>93</v>
      </c>
      <c r="S8" s="18" t="s">
        <v>94</v>
      </c>
      <c r="T8" s="144" t="s">
        <v>68</v>
      </c>
      <c r="U8" s="8" t="e">
        <f>VLOOKUP('IMPO TERR'!T8,#REF!,2,0)</f>
        <v>#REF!</v>
      </c>
      <c r="V8" s="235" t="s">
        <v>95</v>
      </c>
      <c r="W8" s="158"/>
      <c r="X8" s="90">
        <v>46086.865740740737</v>
      </c>
      <c r="Y8" s="45">
        <v>46087</v>
      </c>
      <c r="Z8" s="132">
        <v>46083</v>
      </c>
      <c r="AA8" s="146">
        <v>4090180056</v>
      </c>
      <c r="AB8" s="25">
        <v>46087</v>
      </c>
      <c r="AC8" s="38">
        <v>46087.778796296298</v>
      </c>
      <c r="AD8" s="36">
        <v>46087.824224537035</v>
      </c>
      <c r="AE8" s="86"/>
      <c r="AF8" s="234">
        <v>25880000</v>
      </c>
      <c r="AG8" s="9">
        <v>857.58</v>
      </c>
      <c r="AH8" s="30"/>
    </row>
    <row r="9" spans="1:34" ht="24.75" customHeight="1">
      <c r="A9" s="227" t="s">
        <v>96</v>
      </c>
      <c r="B9" s="227">
        <v>180057</v>
      </c>
      <c r="C9" s="230" t="s">
        <v>35</v>
      </c>
      <c r="D9" s="3" t="s">
        <v>52</v>
      </c>
      <c r="E9" s="24">
        <v>46079</v>
      </c>
      <c r="F9" s="67" t="s">
        <v>97</v>
      </c>
      <c r="G9" s="67" t="s">
        <v>97</v>
      </c>
      <c r="H9" s="1"/>
      <c r="I9" s="1"/>
      <c r="J9" s="3"/>
      <c r="K9" s="2" t="s">
        <v>40</v>
      </c>
      <c r="L9" s="3" t="s">
        <v>41</v>
      </c>
      <c r="M9" s="3" t="s">
        <v>42</v>
      </c>
      <c r="N9" s="3" t="s">
        <v>43</v>
      </c>
      <c r="O9" s="43" t="s">
        <v>98</v>
      </c>
      <c r="P9" s="100">
        <v>32539</v>
      </c>
      <c r="Q9" s="125" t="s">
        <v>45</v>
      </c>
      <c r="R9" s="19" t="s">
        <v>99</v>
      </c>
      <c r="S9" s="18" t="s">
        <v>100</v>
      </c>
      <c r="T9" s="144" t="s">
        <v>68</v>
      </c>
      <c r="U9" s="8" t="e">
        <f>VLOOKUP('IMPO TERR'!T9,#REF!,2,0)</f>
        <v>#REF!</v>
      </c>
      <c r="V9" s="157" t="s">
        <v>101</v>
      </c>
      <c r="W9" s="238" t="s">
        <v>102</v>
      </c>
      <c r="X9" s="20">
        <v>46082.639456018522</v>
      </c>
      <c r="Y9" s="46">
        <v>46083</v>
      </c>
      <c r="Z9" s="132">
        <v>46084</v>
      </c>
      <c r="AA9" s="146">
        <v>4090180057</v>
      </c>
      <c r="AB9" s="25">
        <v>46084</v>
      </c>
      <c r="AC9" s="38">
        <v>46085.595659722225</v>
      </c>
      <c r="AD9" s="36">
        <v>46085.680081018516</v>
      </c>
      <c r="AE9" s="87"/>
      <c r="AF9" s="236">
        <v>25770000</v>
      </c>
      <c r="AG9" s="9">
        <v>857.58</v>
      </c>
      <c r="AH9" s="31"/>
    </row>
    <row r="10" spans="1:34" ht="24.75" customHeight="1">
      <c r="A10" s="227" t="s">
        <v>103</v>
      </c>
      <c r="B10" s="227">
        <v>180059</v>
      </c>
      <c r="C10" s="230" t="s">
        <v>35</v>
      </c>
      <c r="D10" s="3" t="s">
        <v>52</v>
      </c>
      <c r="E10" s="6">
        <v>46079</v>
      </c>
      <c r="F10" s="13"/>
      <c r="G10" s="13"/>
      <c r="H10" s="3"/>
      <c r="I10" s="3"/>
      <c r="J10" s="3"/>
      <c r="K10" s="2" t="s">
        <v>54</v>
      </c>
      <c r="L10" s="3" t="s">
        <v>41</v>
      </c>
      <c r="M10" s="3" t="s">
        <v>42</v>
      </c>
      <c r="N10" s="3" t="s">
        <v>43</v>
      </c>
      <c r="O10" s="43" t="s">
        <v>104</v>
      </c>
      <c r="P10" s="100"/>
      <c r="Q10" s="125" t="s">
        <v>105</v>
      </c>
      <c r="R10" s="33" t="s">
        <v>106</v>
      </c>
      <c r="S10" s="3" t="s">
        <v>107</v>
      </c>
      <c r="T10" s="144" t="s">
        <v>68</v>
      </c>
      <c r="U10" s="8" t="e">
        <f>VLOOKUP('IMPO TERR'!T10,#REF!,2,0)</f>
        <v>#REF!</v>
      </c>
      <c r="V10" s="71"/>
      <c r="W10" s="159"/>
      <c r="X10" s="20">
        <v>46087.029641203706</v>
      </c>
      <c r="Y10" s="45">
        <v>46087</v>
      </c>
      <c r="Z10" s="132">
        <v>46083</v>
      </c>
      <c r="AA10" s="146">
        <v>4090180059</v>
      </c>
      <c r="AB10" s="25">
        <v>46087</v>
      </c>
      <c r="AC10" s="50">
        <v>46088.48065972222</v>
      </c>
      <c r="AD10" s="20">
        <v>46088.604351851849</v>
      </c>
      <c r="AE10" s="86"/>
      <c r="AF10" s="239">
        <v>25720000</v>
      </c>
      <c r="AG10" s="9">
        <v>857.58</v>
      </c>
      <c r="AH10" s="30"/>
    </row>
    <row r="11" spans="1:34" ht="24.75" customHeight="1">
      <c r="A11" s="227" t="s">
        <v>108</v>
      </c>
      <c r="B11" s="227">
        <v>180066</v>
      </c>
      <c r="C11" s="230" t="s">
        <v>35</v>
      </c>
      <c r="D11" s="4" t="s">
        <v>36</v>
      </c>
      <c r="E11" s="56">
        <v>46079</v>
      </c>
      <c r="F11" s="13"/>
      <c r="G11" s="13"/>
      <c r="H11" s="7"/>
      <c r="I11" s="3"/>
      <c r="J11" s="3"/>
      <c r="K11" s="2" t="s">
        <v>40</v>
      </c>
      <c r="L11" s="3" t="s">
        <v>41</v>
      </c>
      <c r="M11" s="3" t="s">
        <v>42</v>
      </c>
      <c r="N11" s="3" t="s">
        <v>43</v>
      </c>
      <c r="O11" s="43" t="s">
        <v>109</v>
      </c>
      <c r="P11" s="100"/>
      <c r="Q11" s="125" t="s">
        <v>110</v>
      </c>
      <c r="R11" s="140" t="s">
        <v>111</v>
      </c>
      <c r="S11" s="21" t="s">
        <v>112</v>
      </c>
      <c r="T11" s="144" t="s">
        <v>88</v>
      </c>
      <c r="U11" s="8" t="e">
        <f>VLOOKUP('IMPO TERR'!T11,#REF!,2,0)</f>
        <v>#REF!</v>
      </c>
      <c r="V11" s="69" t="s">
        <v>113</v>
      </c>
      <c r="W11" s="70"/>
      <c r="X11" s="20">
        <v>46089.869884259257</v>
      </c>
      <c r="Y11" s="46">
        <v>46090</v>
      </c>
      <c r="Z11" s="132">
        <v>46085</v>
      </c>
      <c r="AA11" s="146">
        <v>4090180066</v>
      </c>
      <c r="AB11" s="25">
        <v>46090</v>
      </c>
      <c r="AC11" s="45">
        <v>46091</v>
      </c>
      <c r="AD11" s="46">
        <v>46092</v>
      </c>
      <c r="AE11" s="86">
        <v>141542</v>
      </c>
      <c r="AF11" s="54">
        <v>25180000</v>
      </c>
      <c r="AG11" s="9">
        <v>857.58</v>
      </c>
      <c r="AH11" s="30"/>
    </row>
    <row r="12" spans="1:34" ht="24.75" customHeight="1">
      <c r="A12" s="227" t="s">
        <v>114</v>
      </c>
      <c r="B12" s="227">
        <v>180067</v>
      </c>
      <c r="C12" s="230" t="s">
        <v>35</v>
      </c>
      <c r="D12" s="4" t="s">
        <v>115</v>
      </c>
      <c r="E12" s="56">
        <v>46079</v>
      </c>
      <c r="F12" s="67" t="s">
        <v>97</v>
      </c>
      <c r="G12" s="67" t="s">
        <v>97</v>
      </c>
      <c r="H12" s="7"/>
      <c r="I12" s="3"/>
      <c r="J12" s="3"/>
      <c r="K12" s="2" t="s">
        <v>54</v>
      </c>
      <c r="L12" s="3" t="s">
        <v>41</v>
      </c>
      <c r="M12" s="3" t="s">
        <v>42</v>
      </c>
      <c r="N12" s="3" t="s">
        <v>43</v>
      </c>
      <c r="O12" s="43" t="s">
        <v>116</v>
      </c>
      <c r="P12" s="100"/>
      <c r="Q12" s="125"/>
      <c r="R12" s="27" t="s">
        <v>117</v>
      </c>
      <c r="S12" s="7" t="s">
        <v>118</v>
      </c>
      <c r="T12" s="144" t="s">
        <v>68</v>
      </c>
      <c r="U12" s="8" t="e">
        <f>VLOOKUP('IMPO TERR'!T12,#REF!,2,0)</f>
        <v>#REF!</v>
      </c>
      <c r="V12" s="73" t="s">
        <v>119</v>
      </c>
      <c r="W12" s="74"/>
      <c r="X12" s="20">
        <v>46089.755486111113</v>
      </c>
      <c r="Y12" s="45" t="s">
        <v>120</v>
      </c>
      <c r="Z12" s="132">
        <v>46083</v>
      </c>
      <c r="AA12" s="146">
        <v>4090180067</v>
      </c>
      <c r="AB12" s="25">
        <v>46090</v>
      </c>
      <c r="AC12" s="38">
        <v>46090.659386574072</v>
      </c>
      <c r="AD12" s="42">
        <v>46090</v>
      </c>
      <c r="AE12" s="86">
        <v>141496</v>
      </c>
      <c r="AF12" s="240">
        <v>24360000</v>
      </c>
      <c r="AG12" s="9">
        <v>857.58</v>
      </c>
      <c r="AH12" s="30"/>
    </row>
    <row r="13" spans="1:34" ht="24.75" customHeight="1">
      <c r="A13" s="227" t="s">
        <v>121</v>
      </c>
      <c r="B13" s="227">
        <v>180070</v>
      </c>
      <c r="C13" s="230" t="s">
        <v>35</v>
      </c>
      <c r="D13" s="3" t="s">
        <v>52</v>
      </c>
      <c r="E13" s="56">
        <v>46079</v>
      </c>
      <c r="F13" s="13"/>
      <c r="G13" s="13"/>
      <c r="H13" s="7"/>
      <c r="I13" s="3"/>
      <c r="J13" s="3"/>
      <c r="K13" s="2" t="s">
        <v>40</v>
      </c>
      <c r="L13" s="3" t="s">
        <v>55</v>
      </c>
      <c r="M13" s="3" t="s">
        <v>42</v>
      </c>
      <c r="N13" s="3" t="s">
        <v>43</v>
      </c>
      <c r="O13" s="43" t="s">
        <v>122</v>
      </c>
      <c r="P13" s="100"/>
      <c r="Q13" s="125" t="s">
        <v>85</v>
      </c>
      <c r="R13" s="19" t="s">
        <v>123</v>
      </c>
      <c r="S13" s="18" t="s">
        <v>124</v>
      </c>
      <c r="T13" s="144" t="s">
        <v>68</v>
      </c>
      <c r="U13" s="8" t="e">
        <f>VLOOKUP('IMPO TERR'!T13,#REF!,2,0)</f>
        <v>#REF!</v>
      </c>
      <c r="V13" s="73"/>
      <c r="W13" s="74"/>
      <c r="X13" s="20">
        <v>46083.876631944448</v>
      </c>
      <c r="Y13" s="51">
        <v>46084</v>
      </c>
      <c r="Z13" s="132">
        <v>46085</v>
      </c>
      <c r="AA13" s="146">
        <v>4090180070</v>
      </c>
      <c r="AB13" s="25">
        <v>46085</v>
      </c>
      <c r="AC13" s="50">
        <v>46085.770775462966</v>
      </c>
      <c r="AD13" s="36">
        <v>46087.751863425925</v>
      </c>
      <c r="AE13" s="86"/>
      <c r="AF13" s="241">
        <v>27110000</v>
      </c>
      <c r="AG13" s="9">
        <v>857.58</v>
      </c>
      <c r="AH13" s="30"/>
    </row>
    <row r="14" spans="1:34" ht="24.75" customHeight="1">
      <c r="A14" s="227" t="s">
        <v>125</v>
      </c>
      <c r="B14" s="227">
        <v>180072</v>
      </c>
      <c r="C14" s="230" t="s">
        <v>35</v>
      </c>
      <c r="D14" s="3" t="s">
        <v>52</v>
      </c>
      <c r="E14" s="56">
        <v>46079</v>
      </c>
      <c r="F14" s="13"/>
      <c r="G14" s="13"/>
      <c r="H14" s="7"/>
      <c r="I14" s="3"/>
      <c r="J14" s="3"/>
      <c r="K14" s="2" t="s">
        <v>40</v>
      </c>
      <c r="L14" s="3" t="s">
        <v>55</v>
      </c>
      <c r="M14" s="3" t="s">
        <v>42</v>
      </c>
      <c r="N14" s="3" t="s">
        <v>43</v>
      </c>
      <c r="O14" s="43" t="s">
        <v>126</v>
      </c>
      <c r="P14" s="100"/>
      <c r="Q14" s="125" t="s">
        <v>127</v>
      </c>
      <c r="R14" s="33" t="s">
        <v>128</v>
      </c>
      <c r="S14" s="3" t="s">
        <v>129</v>
      </c>
      <c r="T14" s="144" t="s">
        <v>68</v>
      </c>
      <c r="U14" s="8" t="e">
        <f>VLOOKUP('IMPO TERR'!T14,#REF!,2,0)</f>
        <v>#REF!</v>
      </c>
      <c r="V14" s="73"/>
      <c r="W14" s="74"/>
      <c r="X14" s="47">
        <v>46084.793206018519</v>
      </c>
      <c r="Y14" s="46">
        <v>46085</v>
      </c>
      <c r="Z14" s="132">
        <v>46085</v>
      </c>
      <c r="AA14" s="146">
        <v>4090180072</v>
      </c>
      <c r="AB14" s="25">
        <v>46085</v>
      </c>
      <c r="AC14" s="50">
        <v>46085.747789351852</v>
      </c>
      <c r="AD14" s="42">
        <v>46091</v>
      </c>
      <c r="AE14" s="86"/>
      <c r="AF14" s="236">
        <v>26210000</v>
      </c>
      <c r="AG14" s="9">
        <v>857.58</v>
      </c>
      <c r="AH14" s="30"/>
    </row>
    <row r="15" spans="1:34" ht="24.75" customHeight="1">
      <c r="A15" s="227" t="s">
        <v>130</v>
      </c>
      <c r="B15" s="227">
        <v>180073</v>
      </c>
      <c r="C15" s="230" t="s">
        <v>35</v>
      </c>
      <c r="D15" s="3" t="s">
        <v>52</v>
      </c>
      <c r="E15" s="56">
        <v>46079</v>
      </c>
      <c r="F15" s="13"/>
      <c r="G15" s="13"/>
      <c r="H15" s="7"/>
      <c r="I15" s="3"/>
      <c r="J15" s="3"/>
      <c r="K15" s="2" t="s">
        <v>40</v>
      </c>
      <c r="L15" s="3" t="s">
        <v>55</v>
      </c>
      <c r="M15" s="3" t="s">
        <v>42</v>
      </c>
      <c r="N15" s="3" t="s">
        <v>43</v>
      </c>
      <c r="O15" s="43" t="s">
        <v>131</v>
      </c>
      <c r="P15" s="100">
        <v>2026</v>
      </c>
      <c r="Q15" s="125" t="s">
        <v>132</v>
      </c>
      <c r="R15" s="33" t="s">
        <v>133</v>
      </c>
      <c r="S15" s="7" t="s">
        <v>134</v>
      </c>
      <c r="T15" s="144" t="s">
        <v>68</v>
      </c>
      <c r="U15" s="8" t="e">
        <f>VLOOKUP('IMPO TERR'!T15,#REF!,2,0)</f>
        <v>#REF!</v>
      </c>
      <c r="V15" s="73"/>
      <c r="W15" s="74"/>
      <c r="X15" s="20">
        <v>46084.767557870371</v>
      </c>
      <c r="Y15" s="45">
        <v>46085</v>
      </c>
      <c r="Z15" s="132">
        <v>46083</v>
      </c>
      <c r="AA15" s="146">
        <v>4090180073</v>
      </c>
      <c r="AB15" s="25">
        <v>46085</v>
      </c>
      <c r="AC15" s="38">
        <v>46085.597418981481</v>
      </c>
      <c r="AD15" s="36">
        <v>46087.810104166667</v>
      </c>
      <c r="AE15" s="86"/>
      <c r="AF15" s="237">
        <v>25670000</v>
      </c>
      <c r="AG15" s="9">
        <v>857.58</v>
      </c>
      <c r="AH15" s="30"/>
    </row>
    <row r="16" spans="1:34" ht="24.75" customHeight="1">
      <c r="A16" s="227" t="s">
        <v>135</v>
      </c>
      <c r="B16" s="227">
        <v>180074</v>
      </c>
      <c r="C16" s="230" t="s">
        <v>35</v>
      </c>
      <c r="D16" s="3" t="s">
        <v>52</v>
      </c>
      <c r="E16" s="56">
        <v>46079</v>
      </c>
      <c r="F16" s="67" t="s">
        <v>136</v>
      </c>
      <c r="G16" s="67" t="s">
        <v>136</v>
      </c>
      <c r="H16" s="7"/>
      <c r="I16" s="3"/>
      <c r="J16" s="3"/>
      <c r="K16" s="2" t="s">
        <v>40</v>
      </c>
      <c r="L16" s="3" t="s">
        <v>41</v>
      </c>
      <c r="M16" s="3" t="s">
        <v>42</v>
      </c>
      <c r="N16" s="3" t="s">
        <v>43</v>
      </c>
      <c r="O16" s="43" t="s">
        <v>137</v>
      </c>
      <c r="P16" s="100"/>
      <c r="Q16" t="s">
        <v>45</v>
      </c>
      <c r="R16" s="33" t="s">
        <v>138</v>
      </c>
      <c r="S16" s="3" t="s">
        <v>139</v>
      </c>
      <c r="T16" s="144" t="s">
        <v>68</v>
      </c>
      <c r="U16" s="8" t="e">
        <f>VLOOKUP('IMPO TERR'!T16,#REF!,2,0)</f>
        <v>#REF!</v>
      </c>
      <c r="V16" s="73"/>
      <c r="W16" s="74"/>
      <c r="X16" s="20">
        <v>46087.570914351854</v>
      </c>
      <c r="Y16" s="46">
        <v>46088</v>
      </c>
      <c r="Z16" s="132">
        <v>46084</v>
      </c>
      <c r="AA16" s="146">
        <v>4090180074</v>
      </c>
      <c r="AB16" s="25">
        <v>46087</v>
      </c>
      <c r="AC16" s="50">
        <v>46088.563298611109</v>
      </c>
      <c r="AD16" s="36">
        <v>46088.638321759259</v>
      </c>
      <c r="AE16" s="86"/>
      <c r="AF16" s="236">
        <v>24850000</v>
      </c>
      <c r="AG16" s="9">
        <v>857.58</v>
      </c>
      <c r="AH16" s="30"/>
    </row>
    <row r="17" spans="1:34" ht="24.75" customHeight="1">
      <c r="A17" s="227" t="s">
        <v>140</v>
      </c>
      <c r="B17" s="227">
        <v>180075</v>
      </c>
      <c r="C17" s="230" t="s">
        <v>35</v>
      </c>
      <c r="D17" s="4" t="s">
        <v>36</v>
      </c>
      <c r="E17" s="56">
        <v>46079</v>
      </c>
      <c r="F17" s="13"/>
      <c r="G17" s="13"/>
      <c r="H17" s="7"/>
      <c r="I17" s="3"/>
      <c r="J17" s="3"/>
      <c r="K17" s="2" t="s">
        <v>40</v>
      </c>
      <c r="L17" s="3" t="s">
        <v>41</v>
      </c>
      <c r="M17" s="3" t="s">
        <v>42</v>
      </c>
      <c r="N17" s="3" t="s">
        <v>43</v>
      </c>
      <c r="O17" s="43" t="s">
        <v>141</v>
      </c>
      <c r="P17" s="100"/>
      <c r="Q17" s="125"/>
      <c r="R17" s="33" t="s">
        <v>142</v>
      </c>
      <c r="S17" s="3" t="s">
        <v>142</v>
      </c>
      <c r="T17" s="144" t="s">
        <v>68</v>
      </c>
      <c r="U17" s="8" t="e">
        <f>VLOOKUP('IMPO TERR'!T17,#REF!,2,0)</f>
        <v>#REF!</v>
      </c>
      <c r="V17" s="73" t="s">
        <v>143</v>
      </c>
      <c r="W17" s="74"/>
      <c r="X17" s="20">
        <v>46087.64466435185</v>
      </c>
      <c r="Y17" s="46">
        <v>46087</v>
      </c>
      <c r="Z17" s="132">
        <v>46083</v>
      </c>
      <c r="AA17" s="146">
        <v>4090180075</v>
      </c>
      <c r="AB17" s="25">
        <v>46087</v>
      </c>
      <c r="AC17" s="50">
        <v>46090.48064814815</v>
      </c>
      <c r="AD17" s="20">
        <v>46090.546446759261</v>
      </c>
      <c r="AE17" s="86"/>
      <c r="AF17" s="239">
        <v>23250000</v>
      </c>
      <c r="AG17" s="9">
        <v>857.58</v>
      </c>
      <c r="AH17" s="30"/>
    </row>
    <row r="18" spans="1:34" ht="24.75" customHeight="1">
      <c r="A18" s="227" t="s">
        <v>144</v>
      </c>
      <c r="B18" s="227">
        <v>180109</v>
      </c>
      <c r="C18" s="230" t="s">
        <v>35</v>
      </c>
      <c r="D18" s="3" t="s">
        <v>52</v>
      </c>
      <c r="E18" s="56">
        <v>46080</v>
      </c>
      <c r="F18" s="13"/>
      <c r="G18" s="13"/>
      <c r="H18" s="7"/>
      <c r="I18" s="3"/>
      <c r="J18" s="3"/>
      <c r="K18" s="2" t="s">
        <v>40</v>
      </c>
      <c r="L18" s="3" t="s">
        <v>55</v>
      </c>
      <c r="M18" s="3" t="s">
        <v>42</v>
      </c>
      <c r="N18" s="3" t="s">
        <v>43</v>
      </c>
      <c r="O18" s="43" t="s">
        <v>145</v>
      </c>
      <c r="P18" s="100">
        <v>2026</v>
      </c>
      <c r="Q18" s="125" t="s">
        <v>132</v>
      </c>
      <c r="R18" s="33" t="s">
        <v>146</v>
      </c>
      <c r="S18" s="3" t="s">
        <v>147</v>
      </c>
      <c r="T18" s="144" t="s">
        <v>148</v>
      </c>
      <c r="U18" s="8" t="e">
        <f>VLOOKUP('IMPO TERR'!T18,#REF!,2,0)</f>
        <v>#REF!</v>
      </c>
      <c r="V18" s="73"/>
      <c r="W18" s="74"/>
      <c r="X18" s="20">
        <v>46087.402025462965</v>
      </c>
      <c r="Y18" s="45">
        <v>46087</v>
      </c>
      <c r="Z18" s="132">
        <v>46084</v>
      </c>
      <c r="AA18" s="146">
        <v>4090180109</v>
      </c>
      <c r="AB18" s="25">
        <v>46087</v>
      </c>
      <c r="AC18" s="38">
        <v>46087.777962962966</v>
      </c>
      <c r="AD18" s="42">
        <v>46091</v>
      </c>
      <c r="AE18" s="86"/>
      <c r="AF18" s="241">
        <v>28760000</v>
      </c>
      <c r="AG18" s="9">
        <v>857.58</v>
      </c>
      <c r="AH18" s="30"/>
    </row>
    <row r="19" spans="1:34" ht="24.75" customHeight="1">
      <c r="A19" s="227" t="s">
        <v>149</v>
      </c>
      <c r="B19" s="227">
        <v>180110</v>
      </c>
      <c r="C19" s="230" t="s">
        <v>35</v>
      </c>
      <c r="D19" s="3" t="s">
        <v>52</v>
      </c>
      <c r="E19" s="56">
        <v>46080</v>
      </c>
      <c r="F19" s="13"/>
      <c r="G19" s="13"/>
      <c r="H19" s="7"/>
      <c r="I19" s="3"/>
      <c r="J19" s="3"/>
      <c r="K19" s="2" t="s">
        <v>40</v>
      </c>
      <c r="L19" s="3" t="s">
        <v>41</v>
      </c>
      <c r="M19" s="3" t="s">
        <v>42</v>
      </c>
      <c r="N19" s="3" t="s">
        <v>43</v>
      </c>
      <c r="O19" s="43" t="s">
        <v>150</v>
      </c>
      <c r="P19" s="100"/>
      <c r="Q19" s="125" t="s">
        <v>45</v>
      </c>
      <c r="R19" s="19" t="s">
        <v>151</v>
      </c>
      <c r="S19" s="18" t="s">
        <v>152</v>
      </c>
      <c r="T19" s="144" t="s">
        <v>68</v>
      </c>
      <c r="U19" s="8" t="e">
        <f>VLOOKUP('IMPO TERR'!T19,#REF!,2,0)</f>
        <v>#REF!</v>
      </c>
      <c r="V19" s="73"/>
      <c r="W19" s="74"/>
      <c r="X19" s="47">
        <v>46086.751331018517</v>
      </c>
      <c r="Y19" s="46">
        <v>46087</v>
      </c>
      <c r="Z19" s="132">
        <v>46085</v>
      </c>
      <c r="AA19" s="146">
        <v>4090180110</v>
      </c>
      <c r="AB19" s="25">
        <v>46087</v>
      </c>
      <c r="AC19" s="38">
        <v>46087.745219907411</v>
      </c>
      <c r="AD19" s="36">
        <v>46087.807812500003</v>
      </c>
      <c r="AE19" s="86"/>
      <c r="AF19" s="234">
        <v>24290000</v>
      </c>
      <c r="AG19" s="9">
        <v>857.58</v>
      </c>
      <c r="AH19" s="30"/>
    </row>
    <row r="20" spans="1:34" ht="24.75" customHeight="1">
      <c r="A20" s="98" t="s">
        <v>153</v>
      </c>
      <c r="B20" s="98">
        <v>180112</v>
      </c>
      <c r="C20" s="230" t="s">
        <v>35</v>
      </c>
      <c r="D20" s="1" t="s">
        <v>52</v>
      </c>
      <c r="E20" s="24">
        <v>46080</v>
      </c>
      <c r="F20" s="12"/>
      <c r="G20" s="12"/>
      <c r="H20" s="1"/>
      <c r="I20" s="1"/>
      <c r="J20" s="1"/>
      <c r="K20" s="2" t="s">
        <v>40</v>
      </c>
      <c r="L20" s="1" t="s">
        <v>41</v>
      </c>
      <c r="M20" s="3" t="s">
        <v>42</v>
      </c>
      <c r="N20" s="3" t="s">
        <v>43</v>
      </c>
      <c r="O20" s="43" t="s">
        <v>154</v>
      </c>
      <c r="P20" s="100"/>
      <c r="Q20" s="125" t="s">
        <v>45</v>
      </c>
      <c r="R20" s="19" t="s">
        <v>155</v>
      </c>
      <c r="S20" s="18" t="s">
        <v>156</v>
      </c>
      <c r="T20" s="144" t="s">
        <v>88</v>
      </c>
      <c r="U20" s="8" t="e">
        <f>VLOOKUP('IMPO TERR'!T20,#REF!,2,0)</f>
        <v>#REF!</v>
      </c>
      <c r="W20" s="70"/>
      <c r="X20" s="242">
        <v>46087.459421296298</v>
      </c>
      <c r="Y20" s="46">
        <v>46087</v>
      </c>
      <c r="Z20" s="132">
        <v>46085</v>
      </c>
      <c r="AA20" s="146">
        <v>4090180112</v>
      </c>
      <c r="AB20" s="25">
        <v>46087</v>
      </c>
      <c r="AC20" s="52">
        <v>46087.787546296298</v>
      </c>
      <c r="AD20" s="37">
        <v>46088.511770833335</v>
      </c>
      <c r="AE20" s="243"/>
      <c r="AF20" s="236">
        <v>25920000</v>
      </c>
      <c r="AG20" s="9">
        <v>857.58</v>
      </c>
      <c r="AH20" s="31"/>
    </row>
    <row r="21" spans="1:34" ht="24.75" customHeight="1">
      <c r="A21" s="98" t="s">
        <v>157</v>
      </c>
      <c r="B21" s="98">
        <v>180114</v>
      </c>
      <c r="C21" s="230" t="s">
        <v>35</v>
      </c>
      <c r="D21" s="1" t="s">
        <v>52</v>
      </c>
      <c r="E21" s="24">
        <v>46080</v>
      </c>
      <c r="F21" s="12"/>
      <c r="G21" s="12"/>
      <c r="H21" s="1"/>
      <c r="I21" s="1"/>
      <c r="J21" s="1"/>
      <c r="K21" s="2" t="s">
        <v>54</v>
      </c>
      <c r="L21" s="1" t="s">
        <v>41</v>
      </c>
      <c r="M21" s="3" t="s">
        <v>42</v>
      </c>
      <c r="N21" s="3" t="s">
        <v>43</v>
      </c>
      <c r="O21" s="43" t="s">
        <v>158</v>
      </c>
      <c r="P21" s="100"/>
      <c r="Q21" s="125" t="s">
        <v>159</v>
      </c>
      <c r="R21" s="33" t="s">
        <v>160</v>
      </c>
      <c r="S21" s="3" t="s">
        <v>161</v>
      </c>
      <c r="T21" s="144" t="s">
        <v>148</v>
      </c>
      <c r="U21" s="8" t="e">
        <f>VLOOKUP('IMPO TERR'!T21,#REF!,2,0)</f>
        <v>#REF!</v>
      </c>
      <c r="W21" s="70"/>
      <c r="X21" s="242">
        <v>46087.438958333332</v>
      </c>
      <c r="Y21" s="46">
        <v>46087</v>
      </c>
      <c r="Z21" s="132">
        <v>46085</v>
      </c>
      <c r="AA21" s="146">
        <v>4090180114</v>
      </c>
      <c r="AB21" s="25">
        <v>46087</v>
      </c>
      <c r="AC21" s="52">
        <v>46087.776701388888</v>
      </c>
      <c r="AD21" s="37">
        <v>46088.412118055552</v>
      </c>
      <c r="AE21" s="243"/>
      <c r="AF21" s="239">
        <v>25840000</v>
      </c>
      <c r="AG21" s="9">
        <v>857.58</v>
      </c>
      <c r="AH21" s="31"/>
    </row>
    <row r="22" spans="1:34" ht="24.75" customHeight="1">
      <c r="A22" s="98" t="s">
        <v>162</v>
      </c>
      <c r="B22" s="98">
        <v>180115</v>
      </c>
      <c r="C22" s="230" t="s">
        <v>35</v>
      </c>
      <c r="D22" s="4" t="s">
        <v>36</v>
      </c>
      <c r="E22" s="24">
        <v>46080</v>
      </c>
      <c r="F22" s="12"/>
      <c r="G22" s="12"/>
      <c r="H22" s="1"/>
      <c r="I22" s="1"/>
      <c r="J22" s="1"/>
      <c r="K22" s="2" t="s">
        <v>40</v>
      </c>
      <c r="L22" s="1" t="s">
        <v>55</v>
      </c>
      <c r="M22" s="3" t="s">
        <v>42</v>
      </c>
      <c r="N22" s="3" t="s">
        <v>43</v>
      </c>
      <c r="O22" s="43" t="s">
        <v>163</v>
      </c>
      <c r="P22" s="100">
        <v>2026</v>
      </c>
      <c r="Q22" s="125" t="s">
        <v>132</v>
      </c>
      <c r="R22" s="19" t="s">
        <v>164</v>
      </c>
      <c r="S22" s="244" t="s">
        <v>165</v>
      </c>
      <c r="T22" s="144" t="s">
        <v>68</v>
      </c>
      <c r="U22" s="8" t="e">
        <f>VLOOKUP('IMPO TERR'!T22,#REF!,2,0)</f>
        <v>#REF!</v>
      </c>
      <c r="V22" s="69" t="s">
        <v>166</v>
      </c>
      <c r="W22" s="70"/>
      <c r="X22" s="242">
        <v>46088.768761574072</v>
      </c>
      <c r="Y22" s="19" t="s">
        <v>167</v>
      </c>
      <c r="Z22" s="132">
        <v>46084</v>
      </c>
      <c r="AA22" s="146">
        <v>4090180115</v>
      </c>
      <c r="AB22" s="25">
        <v>46090</v>
      </c>
      <c r="AC22" s="50">
        <v>46090.528437499997</v>
      </c>
      <c r="AD22" s="245">
        <v>46092</v>
      </c>
      <c r="AE22" s="243">
        <v>141491</v>
      </c>
      <c r="AF22" s="240">
        <v>25470000</v>
      </c>
      <c r="AG22" s="9">
        <v>857.58</v>
      </c>
      <c r="AH22" s="31"/>
    </row>
    <row r="23" spans="1:34" ht="24.75" customHeight="1">
      <c r="A23" s="98" t="s">
        <v>168</v>
      </c>
      <c r="B23" s="98">
        <v>180133</v>
      </c>
      <c r="C23" s="230" t="s">
        <v>35</v>
      </c>
      <c r="D23" s="44" t="s">
        <v>36</v>
      </c>
      <c r="E23" s="24">
        <v>46083</v>
      </c>
      <c r="F23" s="12"/>
      <c r="G23" s="12" t="s">
        <v>169</v>
      </c>
      <c r="H23" s="1"/>
      <c r="I23" s="1"/>
      <c r="J23" s="1"/>
      <c r="K23" s="2" t="s">
        <v>54</v>
      </c>
      <c r="L23" s="1" t="s">
        <v>41</v>
      </c>
      <c r="M23" s="3" t="s">
        <v>42</v>
      </c>
      <c r="N23" s="3" t="s">
        <v>43</v>
      </c>
      <c r="O23" s="43" t="s">
        <v>170</v>
      </c>
      <c r="P23" s="100"/>
      <c r="Q23" s="125" t="s">
        <v>171</v>
      </c>
      <c r="R23" s="15" t="s">
        <v>172</v>
      </c>
      <c r="S23" s="1" t="s">
        <v>173</v>
      </c>
      <c r="T23" s="144" t="s">
        <v>88</v>
      </c>
      <c r="U23" s="160" t="s">
        <v>174</v>
      </c>
      <c r="V23" s="69" t="s">
        <v>175</v>
      </c>
      <c r="W23" s="70"/>
      <c r="X23" s="246">
        <v>46089.863599537035</v>
      </c>
      <c r="Y23" s="247">
        <v>46090</v>
      </c>
      <c r="Z23" s="132">
        <v>46085</v>
      </c>
      <c r="AA23" s="146">
        <v>4090180133</v>
      </c>
      <c r="AB23" s="25">
        <v>46090</v>
      </c>
      <c r="AC23" s="45">
        <v>46090</v>
      </c>
      <c r="AD23" s="245">
        <v>46090</v>
      </c>
      <c r="AE23" s="243">
        <v>141489</v>
      </c>
      <c r="AF23" s="241">
        <v>16870000</v>
      </c>
      <c r="AG23" s="9">
        <v>857.58</v>
      </c>
      <c r="AH23" s="31"/>
    </row>
    <row r="24" spans="1:34" ht="24.75" customHeight="1">
      <c r="A24" s="98" t="s">
        <v>176</v>
      </c>
      <c r="B24" s="98">
        <v>180136</v>
      </c>
      <c r="C24" s="230" t="s">
        <v>35</v>
      </c>
      <c r="D24" s="1" t="s">
        <v>52</v>
      </c>
      <c r="E24" s="24">
        <v>46083</v>
      </c>
      <c r="F24" s="12"/>
      <c r="G24" s="12"/>
      <c r="H24" s="1"/>
      <c r="I24" s="1"/>
      <c r="J24" s="1"/>
      <c r="K24" s="2" t="s">
        <v>54</v>
      </c>
      <c r="L24" s="1" t="s">
        <v>41</v>
      </c>
      <c r="M24" s="3" t="s">
        <v>42</v>
      </c>
      <c r="N24" s="3" t="s">
        <v>43</v>
      </c>
      <c r="O24" s="43" t="s">
        <v>177</v>
      </c>
      <c r="P24" s="100"/>
      <c r="Q24" s="125" t="s">
        <v>178</v>
      </c>
      <c r="R24" s="19" t="s">
        <v>179</v>
      </c>
      <c r="S24" s="18" t="s">
        <v>180</v>
      </c>
      <c r="T24" s="144" t="s">
        <v>88</v>
      </c>
      <c r="U24" s="8" t="e">
        <f>VLOOKUP('IMPO TERR'!T24,#REF!,2,0)</f>
        <v>#REF!</v>
      </c>
      <c r="W24" s="70"/>
      <c r="X24" s="242">
        <v>46086.937673611108</v>
      </c>
      <c r="Y24" s="46">
        <v>46087</v>
      </c>
      <c r="Z24" s="132">
        <v>46086</v>
      </c>
      <c r="AA24" s="146">
        <v>4090180136</v>
      </c>
      <c r="AB24" s="25">
        <v>46087</v>
      </c>
      <c r="AC24" s="52">
        <v>46087.776747685188</v>
      </c>
      <c r="AD24" s="37">
        <v>46088.445532407408</v>
      </c>
      <c r="AE24" s="243"/>
      <c r="AF24" s="236">
        <v>25980000</v>
      </c>
      <c r="AG24" s="9">
        <v>857.58</v>
      </c>
      <c r="AH24" s="31"/>
    </row>
    <row r="25" spans="1:34" ht="24.75" customHeight="1">
      <c r="A25" s="98" t="s">
        <v>181</v>
      </c>
      <c r="B25" s="98">
        <v>180137</v>
      </c>
      <c r="C25" s="230" t="s">
        <v>35</v>
      </c>
      <c r="D25" s="1" t="s">
        <v>52</v>
      </c>
      <c r="E25" s="24">
        <v>46083</v>
      </c>
      <c r="F25" s="12"/>
      <c r="G25" s="12"/>
      <c r="H25" s="1"/>
      <c r="I25" s="1"/>
      <c r="J25" s="1"/>
      <c r="K25" s="2" t="s">
        <v>40</v>
      </c>
      <c r="L25" s="1" t="s">
        <v>41</v>
      </c>
      <c r="M25" s="3" t="s">
        <v>42</v>
      </c>
      <c r="N25" s="3" t="s">
        <v>43</v>
      </c>
      <c r="O25" s="43" t="s">
        <v>182</v>
      </c>
      <c r="P25" s="100">
        <v>32433</v>
      </c>
      <c r="Q25" s="125" t="s">
        <v>45</v>
      </c>
      <c r="R25" s="33" t="s">
        <v>183</v>
      </c>
      <c r="S25" s="3" t="s">
        <v>184</v>
      </c>
      <c r="T25" s="144" t="s">
        <v>68</v>
      </c>
      <c r="U25" s="8" t="e">
        <f>VLOOKUP('IMPO TERR'!T25,#REF!,2,0)</f>
        <v>#REF!</v>
      </c>
      <c r="W25" s="70"/>
      <c r="X25" s="47">
        <v>46082.574502314812</v>
      </c>
      <c r="Y25" s="19" t="s">
        <v>185</v>
      </c>
      <c r="Z25" s="132">
        <v>46085</v>
      </c>
      <c r="AA25" s="146">
        <v>4090180137</v>
      </c>
      <c r="AB25" s="25">
        <v>46085</v>
      </c>
      <c r="AC25" s="38">
        <v>46085.756076388891</v>
      </c>
      <c r="AD25" s="36">
        <v>46085.835439814815</v>
      </c>
      <c r="AE25" s="86"/>
      <c r="AF25" s="237">
        <v>24410000</v>
      </c>
      <c r="AG25" s="9">
        <v>857.58</v>
      </c>
      <c r="AH25" s="31"/>
    </row>
    <row r="26" spans="1:34" ht="24.75" customHeight="1">
      <c r="A26" s="98" t="s">
        <v>186</v>
      </c>
      <c r="B26" s="98">
        <v>180139</v>
      </c>
      <c r="C26" s="230" t="s">
        <v>35</v>
      </c>
      <c r="D26" s="4" t="s">
        <v>115</v>
      </c>
      <c r="E26" s="24">
        <v>46083</v>
      </c>
      <c r="F26" s="12"/>
      <c r="G26" s="12"/>
      <c r="H26" s="1"/>
      <c r="I26" s="1"/>
      <c r="J26" s="1"/>
      <c r="K26" s="2" t="s">
        <v>40</v>
      </c>
      <c r="L26" s="1" t="s">
        <v>41</v>
      </c>
      <c r="M26" s="3" t="s">
        <v>42</v>
      </c>
      <c r="N26" s="3" t="s">
        <v>43</v>
      </c>
      <c r="O26" s="43" t="s">
        <v>187</v>
      </c>
      <c r="P26" s="100"/>
      <c r="Q26" s="125" t="s">
        <v>45</v>
      </c>
      <c r="R26" s="15" t="s">
        <v>188</v>
      </c>
      <c r="S26" s="1" t="s">
        <v>189</v>
      </c>
      <c r="T26" s="144" t="s">
        <v>68</v>
      </c>
      <c r="U26" s="8" t="e">
        <f>VLOOKUP('IMPO TERR'!T26,#REF!,2,0)</f>
        <v>#REF!</v>
      </c>
      <c r="V26" s="69" t="s">
        <v>190</v>
      </c>
      <c r="W26" s="70"/>
      <c r="X26" s="246">
        <v>46089.475370370368</v>
      </c>
      <c r="Y26" s="45">
        <v>46090</v>
      </c>
      <c r="Z26" s="132">
        <v>46086</v>
      </c>
      <c r="AA26" s="146">
        <v>4090180139</v>
      </c>
      <c r="AB26" s="25">
        <v>46090</v>
      </c>
      <c r="AC26" s="152">
        <v>46090</v>
      </c>
      <c r="AD26" s="245">
        <v>46091</v>
      </c>
      <c r="AE26" s="86">
        <v>141504</v>
      </c>
      <c r="AF26" s="234">
        <v>25980000</v>
      </c>
      <c r="AG26" s="9">
        <v>857.58</v>
      </c>
      <c r="AH26" s="31"/>
    </row>
    <row r="27" spans="1:34" ht="24.75" customHeight="1">
      <c r="A27" s="98" t="s">
        <v>191</v>
      </c>
      <c r="B27" s="98">
        <v>180145</v>
      </c>
      <c r="C27" s="230" t="s">
        <v>35</v>
      </c>
      <c r="D27" s="1" t="s">
        <v>52</v>
      </c>
      <c r="E27" s="24">
        <v>46083</v>
      </c>
      <c r="F27" s="12"/>
      <c r="G27" s="12"/>
      <c r="H27" s="1"/>
      <c r="I27" s="1"/>
      <c r="J27" s="1"/>
      <c r="K27" s="2" t="s">
        <v>40</v>
      </c>
      <c r="L27" s="1" t="s">
        <v>41</v>
      </c>
      <c r="M27" s="3" t="s">
        <v>42</v>
      </c>
      <c r="N27" s="3" t="s">
        <v>43</v>
      </c>
      <c r="O27" s="43" t="s">
        <v>192</v>
      </c>
      <c r="P27" s="100"/>
      <c r="Q27" s="125" t="s">
        <v>45</v>
      </c>
      <c r="R27" s="19" t="s">
        <v>193</v>
      </c>
      <c r="S27" s="18" t="s">
        <v>194</v>
      </c>
      <c r="T27" s="144" t="s">
        <v>68</v>
      </c>
      <c r="U27" s="8" t="e">
        <f>VLOOKUP('IMPO TERR'!T27,#REF!,2,0)</f>
        <v>#REF!</v>
      </c>
      <c r="W27" s="70"/>
      <c r="X27" s="246">
        <v>46087.548402777778</v>
      </c>
      <c r="Y27" s="248">
        <v>46088</v>
      </c>
      <c r="Z27" s="132">
        <v>46086</v>
      </c>
      <c r="AA27" s="146">
        <v>4090180145</v>
      </c>
      <c r="AB27" s="25">
        <v>46088</v>
      </c>
      <c r="AC27" s="52">
        <v>46088.561828703707</v>
      </c>
      <c r="AD27" s="37">
        <v>46088.650856481479</v>
      </c>
      <c r="AE27" s="243"/>
      <c r="AF27" s="236">
        <v>24010000</v>
      </c>
      <c r="AG27" s="9">
        <v>857.58</v>
      </c>
      <c r="AH27" s="31"/>
    </row>
    <row r="28" spans="1:34" ht="24.75" customHeight="1">
      <c r="A28" s="98" t="s">
        <v>195</v>
      </c>
      <c r="B28" s="98">
        <v>180146</v>
      </c>
      <c r="C28" s="230" t="s">
        <v>35</v>
      </c>
      <c r="D28" s="1" t="s">
        <v>52</v>
      </c>
      <c r="E28" s="24">
        <v>46083</v>
      </c>
      <c r="F28" s="12"/>
      <c r="G28" s="12"/>
      <c r="H28" s="1"/>
      <c r="I28" s="1"/>
      <c r="J28" s="1"/>
      <c r="K28" s="2" t="s">
        <v>40</v>
      </c>
      <c r="L28" s="1" t="s">
        <v>196</v>
      </c>
      <c r="M28" s="3" t="s">
        <v>42</v>
      </c>
      <c r="N28" s="3" t="s">
        <v>43</v>
      </c>
      <c r="O28" s="43" t="s">
        <v>197</v>
      </c>
      <c r="P28" s="100"/>
      <c r="Q28" s="125" t="s">
        <v>198</v>
      </c>
      <c r="R28" s="19" t="s">
        <v>199</v>
      </c>
      <c r="S28" s="18" t="s">
        <v>200</v>
      </c>
      <c r="T28" s="144" t="s">
        <v>68</v>
      </c>
      <c r="U28" s="8" t="e">
        <f>VLOOKUP('IMPO TERR'!T28,#REF!,2,0)</f>
        <v>#REF!</v>
      </c>
      <c r="W28" s="70"/>
      <c r="X28" s="47">
        <v>46084.560254629629</v>
      </c>
      <c r="Y28" s="46">
        <v>46085</v>
      </c>
      <c r="Z28" s="132">
        <v>46086</v>
      </c>
      <c r="AA28" s="146">
        <v>4090180146</v>
      </c>
      <c r="AB28" s="25">
        <v>46086</v>
      </c>
      <c r="AC28" s="52">
        <v>46086.739374999997</v>
      </c>
      <c r="AD28" s="36">
        <v>46086.837060185186</v>
      </c>
      <c r="AE28" s="86"/>
      <c r="AF28" s="249"/>
      <c r="AG28" s="9">
        <v>857.58</v>
      </c>
      <c r="AH28" s="31"/>
    </row>
    <row r="29" spans="1:34" ht="24.75" customHeight="1">
      <c r="A29" s="98" t="s">
        <v>201</v>
      </c>
      <c r="B29" s="98">
        <v>180147</v>
      </c>
      <c r="C29" s="230" t="s">
        <v>35</v>
      </c>
      <c r="D29" s="1" t="s">
        <v>52</v>
      </c>
      <c r="E29" s="24">
        <v>46083</v>
      </c>
      <c r="F29" s="12"/>
      <c r="G29" s="12"/>
      <c r="H29" s="1"/>
      <c r="I29" s="1"/>
      <c r="J29" s="1"/>
      <c r="K29" s="2" t="s">
        <v>40</v>
      </c>
      <c r="L29" s="1" t="s">
        <v>196</v>
      </c>
      <c r="M29" s="3" t="s">
        <v>42</v>
      </c>
      <c r="N29" s="3" t="s">
        <v>43</v>
      </c>
      <c r="O29" s="43" t="s">
        <v>202</v>
      </c>
      <c r="P29" s="100"/>
      <c r="Q29" s="125" t="s">
        <v>203</v>
      </c>
      <c r="R29" s="33" t="s">
        <v>204</v>
      </c>
      <c r="S29" s="3" t="s">
        <v>205</v>
      </c>
      <c r="T29" s="144" t="s">
        <v>68</v>
      </c>
      <c r="U29" s="8" t="e">
        <f>VLOOKUP('IMPO TERR'!T29,#REF!,2,0)</f>
        <v>#REF!</v>
      </c>
      <c r="W29" s="70"/>
      <c r="X29" s="47">
        <v>46084.080914351849</v>
      </c>
      <c r="Y29" s="46">
        <v>46084</v>
      </c>
      <c r="Z29" s="132">
        <v>46085</v>
      </c>
      <c r="AA29" s="146">
        <v>4090180147</v>
      </c>
      <c r="AB29" s="25">
        <v>46085</v>
      </c>
      <c r="AC29" s="68">
        <v>46085.672048611108</v>
      </c>
      <c r="AD29" s="246">
        <v>46088.467731481483</v>
      </c>
      <c r="AE29" s="86"/>
      <c r="AF29" s="243"/>
      <c r="AG29" s="9">
        <v>857.58</v>
      </c>
      <c r="AH29" s="31"/>
    </row>
    <row r="30" spans="1:34" ht="24.75" customHeight="1">
      <c r="A30" s="98" t="s">
        <v>206</v>
      </c>
      <c r="B30" s="98">
        <v>180152</v>
      </c>
      <c r="C30" s="231" t="s">
        <v>35</v>
      </c>
      <c r="D30" s="44" t="s">
        <v>115</v>
      </c>
      <c r="E30" s="24">
        <v>46083</v>
      </c>
      <c r="F30" s="12"/>
      <c r="G30" s="12"/>
      <c r="H30" s="1"/>
      <c r="I30" s="1"/>
      <c r="J30" s="1"/>
      <c r="K30" s="2" t="s">
        <v>40</v>
      </c>
      <c r="L30" s="1" t="s">
        <v>41</v>
      </c>
      <c r="M30" s="3" t="s">
        <v>42</v>
      </c>
      <c r="N30" s="3" t="s">
        <v>43</v>
      </c>
      <c r="O30" s="43" t="s">
        <v>207</v>
      </c>
      <c r="P30" s="100"/>
      <c r="Q30" s="125" t="s">
        <v>45</v>
      </c>
      <c r="R30" s="15" t="s">
        <v>208</v>
      </c>
      <c r="S30" s="244" t="s">
        <v>209</v>
      </c>
      <c r="T30" s="144" t="s">
        <v>68</v>
      </c>
      <c r="U30" s="8" t="e">
        <f>VLOOKUP('IMPO TERR'!T30,#REF!,2,0)</f>
        <v>#REF!</v>
      </c>
      <c r="V30" s="69" t="s">
        <v>210</v>
      </c>
      <c r="W30" s="70" t="s">
        <v>211</v>
      </c>
      <c r="X30" s="250">
        <v>46091</v>
      </c>
      <c r="Y30" s="250">
        <v>46092</v>
      </c>
      <c r="Z30" s="132">
        <v>46086</v>
      </c>
      <c r="AA30" s="146">
        <v>4090180152</v>
      </c>
      <c r="AB30" s="25">
        <v>46091</v>
      </c>
      <c r="AC30" s="130">
        <v>46092</v>
      </c>
      <c r="AD30" s="251">
        <v>46092</v>
      </c>
      <c r="AE30" s="243">
        <v>141548</v>
      </c>
      <c r="AF30" s="243"/>
      <c r="AG30" s="9">
        <v>857.58</v>
      </c>
      <c r="AH30" s="31"/>
    </row>
    <row r="31" spans="1:34" ht="24.75" customHeight="1">
      <c r="A31" s="98" t="s">
        <v>212</v>
      </c>
      <c r="B31" s="98">
        <v>180153</v>
      </c>
      <c r="C31" s="230" t="s">
        <v>35</v>
      </c>
      <c r="D31" s="1" t="s">
        <v>52</v>
      </c>
      <c r="E31" s="24">
        <v>46083</v>
      </c>
      <c r="F31" s="12"/>
      <c r="G31" s="12"/>
      <c r="H31" s="1"/>
      <c r="I31" s="1"/>
      <c r="J31" s="1"/>
      <c r="K31" s="2" t="s">
        <v>54</v>
      </c>
      <c r="L31" s="1" t="s">
        <v>41</v>
      </c>
      <c r="M31" s="3" t="s">
        <v>42</v>
      </c>
      <c r="N31" s="3" t="s">
        <v>43</v>
      </c>
      <c r="O31" s="43" t="s">
        <v>213</v>
      </c>
      <c r="P31" s="100"/>
      <c r="Q31" s="125" t="s">
        <v>45</v>
      </c>
      <c r="R31" s="15" t="s">
        <v>214</v>
      </c>
      <c r="S31" s="1" t="s">
        <v>215</v>
      </c>
      <c r="T31" s="144" t="s">
        <v>88</v>
      </c>
      <c r="U31" s="8" t="e">
        <f>VLOOKUP('IMPO TERR'!T31,#REF!,2,0)</f>
        <v>#REF!</v>
      </c>
      <c r="W31" s="70"/>
      <c r="X31" s="242">
        <v>46087.730578703704</v>
      </c>
      <c r="Y31" s="245">
        <v>46088</v>
      </c>
      <c r="Z31" s="132">
        <v>46085</v>
      </c>
      <c r="AA31" s="146">
        <v>4090180153</v>
      </c>
      <c r="AB31" s="25">
        <v>46088</v>
      </c>
      <c r="AC31" s="252">
        <v>46088.573564814818</v>
      </c>
      <c r="AD31" s="253">
        <v>46088.648101851853</v>
      </c>
      <c r="AE31" s="243"/>
      <c r="AF31" s="243"/>
      <c r="AG31" s="9">
        <v>857.58</v>
      </c>
      <c r="AH31" s="31"/>
    </row>
    <row r="32" spans="1:34" ht="24.75" customHeight="1">
      <c r="A32" s="98" t="s">
        <v>216</v>
      </c>
      <c r="B32" s="98">
        <v>180154</v>
      </c>
      <c r="C32" s="230" t="s">
        <v>35</v>
      </c>
      <c r="D32" s="4" t="s">
        <v>115</v>
      </c>
      <c r="E32" s="24">
        <v>46083</v>
      </c>
      <c r="F32" s="12"/>
      <c r="G32" s="12"/>
      <c r="H32" s="1"/>
      <c r="I32" s="1"/>
      <c r="J32" s="1"/>
      <c r="K32" s="2" t="s">
        <v>54</v>
      </c>
      <c r="L32" s="1" t="s">
        <v>41</v>
      </c>
      <c r="M32" s="3" t="s">
        <v>42</v>
      </c>
      <c r="N32" s="3" t="s">
        <v>43</v>
      </c>
      <c r="O32" s="43" t="s">
        <v>217</v>
      </c>
      <c r="P32" s="100"/>
      <c r="Q32" s="125" t="s">
        <v>45</v>
      </c>
      <c r="R32" s="235" t="s">
        <v>218</v>
      </c>
      <c r="S32" s="244" t="s">
        <v>219</v>
      </c>
      <c r="T32" s="144" t="s">
        <v>88</v>
      </c>
      <c r="U32" s="8" t="e">
        <f>VLOOKUP('IMPO TERR'!T32,#REF!,2,0)</f>
        <v>#REF!</v>
      </c>
      <c r="V32" s="75" t="s">
        <v>220</v>
      </c>
      <c r="W32" s="70"/>
      <c r="X32" s="47">
        <v>46089.969363425924</v>
      </c>
      <c r="Y32" s="46">
        <v>46090</v>
      </c>
      <c r="Z32" s="132">
        <v>46086</v>
      </c>
      <c r="AA32" s="146">
        <v>4090180154</v>
      </c>
      <c r="AB32" s="25">
        <v>46090</v>
      </c>
      <c r="AC32" s="45">
        <v>46090</v>
      </c>
      <c r="AD32" s="46">
        <v>46090</v>
      </c>
      <c r="AE32" s="243">
        <v>141505</v>
      </c>
      <c r="AF32" s="243"/>
      <c r="AG32" s="9">
        <v>857.58</v>
      </c>
      <c r="AH32" s="31"/>
    </row>
    <row r="33" spans="1:34" ht="24.75" customHeight="1">
      <c r="A33" s="98" t="s">
        <v>221</v>
      </c>
      <c r="B33" s="98">
        <v>180178</v>
      </c>
      <c r="C33" s="230" t="s">
        <v>35</v>
      </c>
      <c r="D33" s="4" t="s">
        <v>115</v>
      </c>
      <c r="E33" s="24">
        <v>46084</v>
      </c>
      <c r="F33" s="12"/>
      <c r="G33" s="12"/>
      <c r="H33" s="1"/>
      <c r="I33" s="1"/>
      <c r="J33" s="1"/>
      <c r="K33" s="2" t="s">
        <v>40</v>
      </c>
      <c r="L33" s="1" t="s">
        <v>41</v>
      </c>
      <c r="M33" s="3" t="s">
        <v>42</v>
      </c>
      <c r="N33" s="3" t="s">
        <v>43</v>
      </c>
      <c r="O33" s="43" t="s">
        <v>222</v>
      </c>
      <c r="P33" s="100"/>
      <c r="Q33" s="125" t="s">
        <v>45</v>
      </c>
      <c r="R33" s="235" t="s">
        <v>223</v>
      </c>
      <c r="S33" s="244" t="s">
        <v>224</v>
      </c>
      <c r="T33" s="144" t="s">
        <v>68</v>
      </c>
      <c r="U33" s="8" t="e">
        <f>VLOOKUP('IMPO TERR'!T33,#REF!,2,0)</f>
        <v>#REF!</v>
      </c>
      <c r="V33" s="69" t="s">
        <v>225</v>
      </c>
      <c r="W33" s="70" t="s">
        <v>226</v>
      </c>
      <c r="X33" s="45">
        <v>46091</v>
      </c>
      <c r="Y33" s="254">
        <v>46092</v>
      </c>
      <c r="Z33" s="132">
        <v>46087</v>
      </c>
      <c r="AA33" s="146">
        <v>4090180178</v>
      </c>
      <c r="AB33" s="25">
        <v>46091</v>
      </c>
      <c r="AC33" s="130">
        <v>46092</v>
      </c>
      <c r="AD33" s="255">
        <v>46092</v>
      </c>
      <c r="AE33" s="243">
        <v>141553</v>
      </c>
      <c r="AF33" s="243"/>
      <c r="AG33" s="9">
        <v>857.58</v>
      </c>
      <c r="AH33" s="31"/>
    </row>
    <row r="34" spans="1:34" ht="24.75" customHeight="1">
      <c r="A34" s="98" t="s">
        <v>227</v>
      </c>
      <c r="B34" s="98">
        <v>180180</v>
      </c>
      <c r="C34" s="230" t="s">
        <v>35</v>
      </c>
      <c r="D34" s="4" t="s">
        <v>36</v>
      </c>
      <c r="E34" s="24">
        <v>46084</v>
      </c>
      <c r="F34" s="12"/>
      <c r="G34" s="12"/>
      <c r="H34" s="1"/>
      <c r="I34" s="1"/>
      <c r="J34" s="1"/>
      <c r="K34" s="2" t="s">
        <v>40</v>
      </c>
      <c r="L34" s="1" t="s">
        <v>41</v>
      </c>
      <c r="M34" s="3" t="s">
        <v>42</v>
      </c>
      <c r="N34" s="3" t="s">
        <v>43</v>
      </c>
      <c r="O34" s="43" t="s">
        <v>228</v>
      </c>
      <c r="P34" s="100"/>
      <c r="Q34" s="125" t="s">
        <v>45</v>
      </c>
      <c r="R34" s="235" t="s">
        <v>229</v>
      </c>
      <c r="S34" s="244" t="s">
        <v>230</v>
      </c>
      <c r="T34" s="144" t="s">
        <v>68</v>
      </c>
      <c r="U34" s="8" t="e">
        <f>VLOOKUP('IMPO TERR'!T34,#REF!,2,0)</f>
        <v>#REF!</v>
      </c>
      <c r="V34" s="76" t="s">
        <v>231</v>
      </c>
      <c r="W34" s="70"/>
      <c r="X34" s="62">
        <v>46090.494444444441</v>
      </c>
      <c r="Y34" s="51">
        <v>46091</v>
      </c>
      <c r="Z34" s="132">
        <v>46086</v>
      </c>
      <c r="AA34" s="146">
        <v>4090180180</v>
      </c>
      <c r="AB34" s="25">
        <v>46090</v>
      </c>
      <c r="AC34" s="60">
        <v>46091</v>
      </c>
      <c r="AD34" s="248">
        <v>46091</v>
      </c>
      <c r="AE34" s="243">
        <v>141522</v>
      </c>
      <c r="AF34" s="243"/>
      <c r="AG34" s="9">
        <v>857.58</v>
      </c>
      <c r="AH34" s="31"/>
    </row>
    <row r="35" spans="1:34" ht="24.75" customHeight="1">
      <c r="A35" s="98" t="s">
        <v>232</v>
      </c>
      <c r="B35" s="98">
        <v>180181</v>
      </c>
      <c r="C35" s="230" t="s">
        <v>35</v>
      </c>
      <c r="D35" s="44" t="s">
        <v>36</v>
      </c>
      <c r="E35" s="24">
        <v>46084</v>
      </c>
      <c r="F35" s="12"/>
      <c r="G35" s="12"/>
      <c r="H35" s="1"/>
      <c r="I35" s="1"/>
      <c r="J35" s="1"/>
      <c r="K35" s="2" t="s">
        <v>40</v>
      </c>
      <c r="L35" s="1" t="s">
        <v>41</v>
      </c>
      <c r="M35" s="3" t="s">
        <v>42</v>
      </c>
      <c r="N35" s="3" t="s">
        <v>43</v>
      </c>
      <c r="O35" s="43" t="s">
        <v>233</v>
      </c>
      <c r="P35" s="100"/>
      <c r="Q35" s="125" t="s">
        <v>45</v>
      </c>
      <c r="R35" s="15" t="s">
        <v>234</v>
      </c>
      <c r="S35" s="1" t="s">
        <v>235</v>
      </c>
      <c r="T35" s="144" t="s">
        <v>68</v>
      </c>
      <c r="U35" s="8" t="e">
        <f>VLOOKUP('IMPO TERR'!T35,#REF!,2,0)</f>
        <v>#REF!</v>
      </c>
      <c r="V35" s="77" t="s">
        <v>236</v>
      </c>
      <c r="W35" s="70"/>
      <c r="X35" s="245">
        <v>46090</v>
      </c>
      <c r="Y35" s="46">
        <v>46091</v>
      </c>
      <c r="Z35" s="132">
        <v>46086</v>
      </c>
      <c r="AA35" s="146">
        <v>4090180181</v>
      </c>
      <c r="AB35" s="25">
        <v>46091</v>
      </c>
      <c r="AC35" s="256">
        <v>46091</v>
      </c>
      <c r="AD35" s="245">
        <v>46091</v>
      </c>
      <c r="AE35" s="243">
        <v>141526</v>
      </c>
      <c r="AF35" s="243"/>
      <c r="AG35" s="9">
        <v>857.58</v>
      </c>
      <c r="AH35" s="31"/>
    </row>
    <row r="36" spans="1:34" ht="24.75" customHeight="1">
      <c r="A36" s="98" t="s">
        <v>237</v>
      </c>
      <c r="B36" s="98">
        <v>180183</v>
      </c>
      <c r="C36" s="230" t="s">
        <v>35</v>
      </c>
      <c r="D36" s="4" t="s">
        <v>36</v>
      </c>
      <c r="E36" s="24">
        <v>46084</v>
      </c>
      <c r="F36" s="12"/>
      <c r="G36" s="12"/>
      <c r="H36" s="1"/>
      <c r="I36" s="1"/>
      <c r="J36" s="1"/>
      <c r="K36" s="2" t="s">
        <v>40</v>
      </c>
      <c r="L36" s="1" t="s">
        <v>41</v>
      </c>
      <c r="M36" s="3" t="s">
        <v>42</v>
      </c>
      <c r="N36" s="3" t="s">
        <v>43</v>
      </c>
      <c r="O36" s="43" t="s">
        <v>238</v>
      </c>
      <c r="P36" s="100">
        <v>40365</v>
      </c>
      <c r="Q36" s="125" t="s">
        <v>45</v>
      </c>
      <c r="R36" s="15" t="s">
        <v>239</v>
      </c>
      <c r="S36" s="1" t="s">
        <v>240</v>
      </c>
      <c r="T36" s="144" t="s">
        <v>68</v>
      </c>
      <c r="U36" s="8" t="e">
        <f>VLOOKUP('IMPO TERR'!T36,#REF!,2,0)</f>
        <v>#REF!</v>
      </c>
      <c r="V36" s="69" t="s">
        <v>241</v>
      </c>
      <c r="W36" s="70" t="s">
        <v>242</v>
      </c>
      <c r="X36" s="257">
        <v>46094</v>
      </c>
      <c r="Y36" s="257">
        <v>46095</v>
      </c>
      <c r="Z36" s="132">
        <v>46086</v>
      </c>
      <c r="AA36" s="146">
        <v>4090180183</v>
      </c>
      <c r="AC36" s="251">
        <v>46095</v>
      </c>
      <c r="AD36" s="247">
        <v>46095</v>
      </c>
      <c r="AE36" s="243">
        <v>141601</v>
      </c>
      <c r="AF36" s="243"/>
      <c r="AG36" s="9">
        <v>857.58</v>
      </c>
      <c r="AH36" s="31"/>
    </row>
    <row r="37" spans="1:34" ht="24.75" customHeight="1">
      <c r="A37" s="98" t="s">
        <v>243</v>
      </c>
      <c r="B37" s="98">
        <v>180184</v>
      </c>
      <c r="C37" s="230" t="s">
        <v>35</v>
      </c>
      <c r="D37" s="4" t="s">
        <v>36</v>
      </c>
      <c r="E37" s="24">
        <v>46084</v>
      </c>
      <c r="F37" s="12"/>
      <c r="G37" s="12"/>
      <c r="H37" s="1"/>
      <c r="I37" s="1"/>
      <c r="J37" s="1"/>
      <c r="K37" s="2" t="s">
        <v>40</v>
      </c>
      <c r="L37" s="1" t="s">
        <v>55</v>
      </c>
      <c r="M37" s="3" t="s">
        <v>42</v>
      </c>
      <c r="N37" s="3" t="s">
        <v>43</v>
      </c>
      <c r="O37" s="43" t="s">
        <v>244</v>
      </c>
      <c r="P37" s="100"/>
      <c r="Q37" s="125" t="s">
        <v>57</v>
      </c>
      <c r="R37" s="15" t="s">
        <v>245</v>
      </c>
      <c r="S37" s="1" t="s">
        <v>246</v>
      </c>
      <c r="T37" s="144" t="s">
        <v>68</v>
      </c>
      <c r="U37" s="8" t="e">
        <f>VLOOKUP('IMPO TERR'!T37,#REF!,2,0)</f>
        <v>#REF!</v>
      </c>
      <c r="V37" s="69" t="s">
        <v>247</v>
      </c>
      <c r="W37" s="70"/>
      <c r="X37" s="20">
        <v>46088.67019675926</v>
      </c>
      <c r="Y37" s="46">
        <v>46089</v>
      </c>
      <c r="Z37" s="132">
        <v>46087</v>
      </c>
      <c r="AA37" s="146">
        <v>4090180184</v>
      </c>
      <c r="AB37" s="25">
        <v>46090</v>
      </c>
      <c r="AC37" s="258">
        <v>46090.530243055553</v>
      </c>
      <c r="AD37" s="46">
        <v>46092</v>
      </c>
      <c r="AE37" s="243">
        <v>141488</v>
      </c>
      <c r="AF37" s="243"/>
      <c r="AG37" s="9">
        <v>857.58</v>
      </c>
      <c r="AH37" s="31"/>
    </row>
    <row r="38" spans="1:34" ht="24.75" customHeight="1">
      <c r="A38" s="98" t="s">
        <v>248</v>
      </c>
      <c r="B38" s="98">
        <v>180186</v>
      </c>
      <c r="C38" s="230" t="s">
        <v>35</v>
      </c>
      <c r="D38" s="1" t="s">
        <v>52</v>
      </c>
      <c r="E38" s="24">
        <v>46084</v>
      </c>
      <c r="F38" s="12"/>
      <c r="G38" s="12"/>
      <c r="H38" s="1"/>
      <c r="I38" s="1"/>
      <c r="J38" s="1"/>
      <c r="K38" s="2" t="s">
        <v>40</v>
      </c>
      <c r="L38" s="1" t="s">
        <v>196</v>
      </c>
      <c r="M38" s="3" t="s">
        <v>42</v>
      </c>
      <c r="N38" s="3" t="s">
        <v>43</v>
      </c>
      <c r="O38" s="43" t="s">
        <v>249</v>
      </c>
      <c r="P38" s="100"/>
      <c r="Q38" s="125" t="s">
        <v>203</v>
      </c>
      <c r="R38" s="19" t="s">
        <v>250</v>
      </c>
      <c r="S38" s="40" t="s">
        <v>251</v>
      </c>
      <c r="T38" s="144" t="s">
        <v>252</v>
      </c>
      <c r="U38" s="8" t="e">
        <f>VLOOKUP('IMPO TERR'!T38,#REF!,2,0)</f>
        <v>#REF!</v>
      </c>
      <c r="W38" s="70"/>
      <c r="X38" s="20">
        <v>46086.158715277779</v>
      </c>
      <c r="Y38" s="46">
        <v>46087</v>
      </c>
      <c r="Z38" s="132">
        <v>46087</v>
      </c>
      <c r="AA38" s="146">
        <v>4090180186</v>
      </c>
      <c r="AB38" s="25">
        <v>46087</v>
      </c>
      <c r="AC38" s="153">
        <v>46087.774513888886</v>
      </c>
      <c r="AD38" s="48">
        <v>46091</v>
      </c>
      <c r="AE38" s="86"/>
      <c r="AF38" s="243"/>
      <c r="AG38" s="9">
        <v>857.58</v>
      </c>
      <c r="AH38" s="31"/>
    </row>
    <row r="39" spans="1:34" ht="24.75" customHeight="1">
      <c r="A39" s="98" t="s">
        <v>253</v>
      </c>
      <c r="B39" s="98">
        <v>180188</v>
      </c>
      <c r="C39" s="230" t="s">
        <v>35</v>
      </c>
      <c r="D39" s="4" t="s">
        <v>36</v>
      </c>
      <c r="E39" s="24">
        <v>46084</v>
      </c>
      <c r="F39" s="12"/>
      <c r="G39" s="12"/>
      <c r="H39" s="1"/>
      <c r="I39" s="1"/>
      <c r="J39" s="1"/>
      <c r="K39" s="2" t="s">
        <v>54</v>
      </c>
      <c r="L39" s="1" t="s">
        <v>41</v>
      </c>
      <c r="M39" s="3" t="s">
        <v>42</v>
      </c>
      <c r="N39" s="3" t="s">
        <v>43</v>
      </c>
      <c r="O39" s="43" t="s">
        <v>254</v>
      </c>
      <c r="P39" s="100"/>
      <c r="Q39" s="125" t="s">
        <v>105</v>
      </c>
      <c r="R39" s="15" t="s">
        <v>255</v>
      </c>
      <c r="S39" s="1" t="s">
        <v>256</v>
      </c>
      <c r="T39" s="144" t="s">
        <v>68</v>
      </c>
      <c r="U39" s="8" t="e">
        <f>VLOOKUP('IMPO TERR'!T39,#REF!,2,0)</f>
        <v>#REF!</v>
      </c>
      <c r="V39" s="69" t="s">
        <v>257</v>
      </c>
      <c r="W39" s="70"/>
      <c r="X39" s="245">
        <v>46090</v>
      </c>
      <c r="Y39" s="245">
        <v>46091</v>
      </c>
      <c r="Z39" s="133">
        <v>46085</v>
      </c>
      <c r="AA39" s="147">
        <v>4090180188</v>
      </c>
      <c r="AB39" s="95">
        <v>46091</v>
      </c>
      <c r="AC39" s="259">
        <v>46091</v>
      </c>
      <c r="AD39" s="46">
        <v>46092</v>
      </c>
      <c r="AE39" s="243">
        <v>141540</v>
      </c>
      <c r="AF39" s="243"/>
      <c r="AG39" s="9">
        <v>857.58</v>
      </c>
      <c r="AH39" s="31"/>
    </row>
    <row r="40" spans="1:34" ht="24.75" customHeight="1">
      <c r="A40" s="98" t="s">
        <v>258</v>
      </c>
      <c r="B40" s="98">
        <v>180190</v>
      </c>
      <c r="C40" s="230" t="s">
        <v>35</v>
      </c>
      <c r="D40" s="4" t="s">
        <v>36</v>
      </c>
      <c r="E40" s="24">
        <v>46084</v>
      </c>
      <c r="F40" s="12"/>
      <c r="G40" s="12"/>
      <c r="H40" s="1"/>
      <c r="I40" s="1"/>
      <c r="J40" s="1"/>
      <c r="K40" s="2" t="s">
        <v>40</v>
      </c>
      <c r="L40" s="1" t="s">
        <v>41</v>
      </c>
      <c r="M40" s="3" t="s">
        <v>42</v>
      </c>
      <c r="N40" s="3" t="s">
        <v>43</v>
      </c>
      <c r="O40" s="43" t="s">
        <v>259</v>
      </c>
      <c r="P40" s="100">
        <v>40933</v>
      </c>
      <c r="Q40" s="125" t="s">
        <v>45</v>
      </c>
      <c r="R40" s="15" t="s">
        <v>260</v>
      </c>
      <c r="S40" s="1" t="s">
        <v>261</v>
      </c>
      <c r="T40" s="144" t="s">
        <v>68</v>
      </c>
      <c r="U40" s="8" t="e">
        <f>VLOOKUP('IMPO TERR'!T40,#REF!,2,0)</f>
        <v>#REF!</v>
      </c>
      <c r="V40" s="69" t="s">
        <v>262</v>
      </c>
      <c r="W40" s="260" t="s">
        <v>263</v>
      </c>
      <c r="X40" s="245">
        <v>46096</v>
      </c>
      <c r="Y40" s="245">
        <v>46097</v>
      </c>
      <c r="Z40" s="134">
        <v>46086</v>
      </c>
      <c r="AA40" s="148">
        <v>4090180190</v>
      </c>
      <c r="AB40" s="222">
        <v>46097</v>
      </c>
      <c r="AC40" s="46">
        <v>46098</v>
      </c>
      <c r="AD40" s="255">
        <v>46098</v>
      </c>
      <c r="AE40" s="243">
        <v>141644</v>
      </c>
      <c r="AF40" s="243"/>
      <c r="AG40" s="9">
        <v>857.58</v>
      </c>
      <c r="AH40" s="31"/>
    </row>
    <row r="41" spans="1:34" ht="24.75" customHeight="1">
      <c r="A41" s="98" t="s">
        <v>264</v>
      </c>
      <c r="B41" s="98">
        <v>180192</v>
      </c>
      <c r="C41" s="230" t="s">
        <v>35</v>
      </c>
      <c r="D41" s="4" t="s">
        <v>115</v>
      </c>
      <c r="E41" s="24">
        <v>46084</v>
      </c>
      <c r="F41" s="12"/>
      <c r="G41" s="12"/>
      <c r="H41" s="1"/>
      <c r="I41" s="1"/>
      <c r="J41" s="1"/>
      <c r="K41" s="2" t="s">
        <v>54</v>
      </c>
      <c r="L41" s="1" t="s">
        <v>41</v>
      </c>
      <c r="M41" s="3" t="s">
        <v>42</v>
      </c>
      <c r="N41" s="3" t="s">
        <v>43</v>
      </c>
      <c r="O41" s="43" t="s">
        <v>265</v>
      </c>
      <c r="P41" s="100"/>
      <c r="Q41" s="125" t="s">
        <v>266</v>
      </c>
      <c r="R41" s="235" t="s">
        <v>267</v>
      </c>
      <c r="S41" s="244" t="s">
        <v>268</v>
      </c>
      <c r="T41" s="144" t="s">
        <v>68</v>
      </c>
      <c r="U41" s="8" t="e">
        <f>VLOOKUP('IMPO TERR'!T41,#REF!,2,0)</f>
        <v>#REF!</v>
      </c>
      <c r="V41" s="92" t="s">
        <v>269</v>
      </c>
      <c r="W41" s="193"/>
      <c r="X41" s="50">
        <v>46090.378703703704</v>
      </c>
      <c r="Y41" s="51">
        <v>46091</v>
      </c>
      <c r="Z41" s="132">
        <v>46085</v>
      </c>
      <c r="AA41" s="146">
        <v>4090180192</v>
      </c>
      <c r="AB41" s="25">
        <v>46090</v>
      </c>
      <c r="AC41" s="45">
        <v>46091</v>
      </c>
      <c r="AD41" s="245">
        <v>46091</v>
      </c>
      <c r="AE41" s="243">
        <v>141523</v>
      </c>
      <c r="AF41" s="243"/>
      <c r="AG41" s="9">
        <v>857.58</v>
      </c>
      <c r="AH41" s="31"/>
    </row>
    <row r="42" spans="1:34" ht="24.75" customHeight="1">
      <c r="A42" s="98" t="s">
        <v>270</v>
      </c>
      <c r="B42" s="98">
        <v>180193</v>
      </c>
      <c r="C42" s="230" t="s">
        <v>35</v>
      </c>
      <c r="D42" s="1" t="s">
        <v>52</v>
      </c>
      <c r="E42" s="24">
        <v>46084</v>
      </c>
      <c r="F42" s="12"/>
      <c r="G42" s="12"/>
      <c r="H42" s="1"/>
      <c r="I42" s="1"/>
      <c r="J42" s="1"/>
      <c r="K42" s="2" t="s">
        <v>40</v>
      </c>
      <c r="L42" s="1" t="s">
        <v>55</v>
      </c>
      <c r="M42" s="3" t="s">
        <v>42</v>
      </c>
      <c r="N42" s="3" t="s">
        <v>43</v>
      </c>
      <c r="O42" s="43" t="s">
        <v>271</v>
      </c>
      <c r="P42" s="100"/>
      <c r="Q42" s="125" t="s">
        <v>272</v>
      </c>
      <c r="R42" s="235" t="s">
        <v>273</v>
      </c>
      <c r="S42" s="244" t="s">
        <v>274</v>
      </c>
      <c r="T42" s="144" t="s">
        <v>68</v>
      </c>
      <c r="U42" s="8" t="e">
        <f>VLOOKUP('IMPO TERR'!T42,#REF!,2,0)</f>
        <v>#REF!</v>
      </c>
      <c r="V42" s="92"/>
      <c r="W42" s="69"/>
      <c r="X42" s="261">
        <v>46087.375636574077</v>
      </c>
      <c r="Y42" s="19" t="s">
        <v>275</v>
      </c>
      <c r="Z42" s="132">
        <v>46086</v>
      </c>
      <c r="AA42" s="146">
        <v>4090180193</v>
      </c>
      <c r="AB42" s="25">
        <v>46087</v>
      </c>
      <c r="AC42" s="262">
        <v>46087.775949074072</v>
      </c>
      <c r="AD42" s="245">
        <v>46091</v>
      </c>
      <c r="AE42" s="243"/>
      <c r="AF42" s="243"/>
      <c r="AG42" s="9">
        <v>857.58</v>
      </c>
      <c r="AH42" s="31"/>
    </row>
    <row r="43" spans="1:34" ht="24.75" customHeight="1">
      <c r="A43" s="98" t="s">
        <v>276</v>
      </c>
      <c r="B43" s="98">
        <v>180195</v>
      </c>
      <c r="C43" s="230" t="s">
        <v>35</v>
      </c>
      <c r="D43" s="4" t="s">
        <v>115</v>
      </c>
      <c r="E43" s="24">
        <v>46084</v>
      </c>
      <c r="F43" s="12"/>
      <c r="G43" s="12"/>
      <c r="H43" s="1"/>
      <c r="I43" s="1"/>
      <c r="J43" s="1"/>
      <c r="K43" s="2" t="s">
        <v>54</v>
      </c>
      <c r="L43" s="1" t="s">
        <v>41</v>
      </c>
      <c r="M43" s="3" t="s">
        <v>42</v>
      </c>
      <c r="N43" s="3" t="s">
        <v>43</v>
      </c>
      <c r="O43" s="43" t="s">
        <v>277</v>
      </c>
      <c r="P43" s="100"/>
      <c r="Q43" s="125" t="s">
        <v>105</v>
      </c>
      <c r="R43" s="235" t="s">
        <v>278</v>
      </c>
      <c r="S43" s="244" t="s">
        <v>279</v>
      </c>
      <c r="T43" s="144" t="s">
        <v>88</v>
      </c>
      <c r="U43" s="8" t="e">
        <f>VLOOKUP('IMPO TERR'!T43,#REF!,2,0)</f>
        <v>#REF!</v>
      </c>
      <c r="V43" s="69" t="s">
        <v>280</v>
      </c>
      <c r="W43" s="80"/>
      <c r="X43" s="63">
        <v>46091</v>
      </c>
      <c r="Y43" s="55">
        <v>46091</v>
      </c>
      <c r="Z43" s="134">
        <v>46087</v>
      </c>
      <c r="AA43" s="148">
        <v>4090180195</v>
      </c>
      <c r="AB43" s="25">
        <v>46091</v>
      </c>
      <c r="AC43" s="251">
        <v>46092</v>
      </c>
      <c r="AD43" s="245">
        <v>46092</v>
      </c>
      <c r="AE43" s="243">
        <v>141546</v>
      </c>
      <c r="AF43" s="243"/>
      <c r="AG43" s="9">
        <v>857.58</v>
      </c>
      <c r="AH43" s="31"/>
    </row>
    <row r="44" spans="1:34" ht="24.75" customHeight="1">
      <c r="A44" s="98" t="s">
        <v>281</v>
      </c>
      <c r="B44" s="98">
        <v>180196</v>
      </c>
      <c r="C44" s="230" t="s">
        <v>35</v>
      </c>
      <c r="D44" s="4" t="s">
        <v>115</v>
      </c>
      <c r="E44" s="24">
        <v>46084</v>
      </c>
      <c r="F44" s="12"/>
      <c r="G44" s="12"/>
      <c r="H44" s="1"/>
      <c r="I44" s="1"/>
      <c r="J44" s="1"/>
      <c r="K44" s="2" t="s">
        <v>54</v>
      </c>
      <c r="L44" s="1" t="s">
        <v>41</v>
      </c>
      <c r="M44" s="3" t="s">
        <v>42</v>
      </c>
      <c r="N44" s="3" t="s">
        <v>43</v>
      </c>
      <c r="O44" s="43" t="s">
        <v>282</v>
      </c>
      <c r="P44" s="100"/>
      <c r="Q44" s="125" t="s">
        <v>105</v>
      </c>
      <c r="R44" s="15" t="s">
        <v>283</v>
      </c>
      <c r="S44" s="1" t="s">
        <v>284</v>
      </c>
      <c r="T44" s="144" t="s">
        <v>68</v>
      </c>
      <c r="U44" s="8" t="e">
        <f>VLOOKUP('IMPO TERR'!T44,#REF!,2,0)</f>
        <v>#REF!</v>
      </c>
      <c r="V44" s="69" t="s">
        <v>285</v>
      </c>
      <c r="W44" s="70"/>
      <c r="X44" s="263">
        <v>46089.714236111111</v>
      </c>
      <c r="Y44" s="64">
        <v>46090</v>
      </c>
      <c r="Z44" s="134">
        <v>46087</v>
      </c>
      <c r="AA44" s="148">
        <v>4090180196</v>
      </c>
      <c r="AB44" s="26">
        <v>46090</v>
      </c>
      <c r="AC44" s="45">
        <v>46090</v>
      </c>
      <c r="AD44" s="248">
        <v>46091</v>
      </c>
      <c r="AE44" s="243">
        <v>141509</v>
      </c>
      <c r="AF44" s="243"/>
      <c r="AG44" s="9">
        <v>857.58</v>
      </c>
      <c r="AH44" s="31"/>
    </row>
    <row r="45" spans="1:34" ht="24.75" customHeight="1">
      <c r="A45" s="98" t="s">
        <v>286</v>
      </c>
      <c r="B45" s="98">
        <v>180198</v>
      </c>
      <c r="C45" s="230" t="s">
        <v>35</v>
      </c>
      <c r="D45" s="1" t="s">
        <v>52</v>
      </c>
      <c r="E45" s="24">
        <v>46084</v>
      </c>
      <c r="F45" s="12"/>
      <c r="G45" s="12"/>
      <c r="H45" s="1"/>
      <c r="I45" s="1"/>
      <c r="J45" s="1"/>
      <c r="K45" s="2" t="s">
        <v>40</v>
      </c>
      <c r="L45" s="1" t="s">
        <v>196</v>
      </c>
      <c r="M45" s="3" t="s">
        <v>42</v>
      </c>
      <c r="N45" s="3" t="s">
        <v>43</v>
      </c>
      <c r="O45" s="43" t="s">
        <v>287</v>
      </c>
      <c r="P45" s="100"/>
      <c r="Q45" s="125" t="s">
        <v>203</v>
      </c>
      <c r="R45" s="33" t="s">
        <v>288</v>
      </c>
      <c r="S45" s="3" t="s">
        <v>289</v>
      </c>
      <c r="T45" s="144" t="s">
        <v>68</v>
      </c>
      <c r="U45" s="8" t="e">
        <f>VLOOKUP('IMPO TERR'!T45,#REF!,2,0)</f>
        <v>#REF!</v>
      </c>
      <c r="W45" s="70"/>
      <c r="X45" s="20">
        <v>46086.15730324074</v>
      </c>
      <c r="Y45" s="45">
        <v>46087</v>
      </c>
      <c r="Z45" s="134">
        <v>46085</v>
      </c>
      <c r="AA45" s="148">
        <v>4090180198</v>
      </c>
      <c r="AB45" s="26">
        <v>46086</v>
      </c>
      <c r="AC45" s="258">
        <v>46087.596365740741</v>
      </c>
      <c r="AD45" s="46">
        <v>46091</v>
      </c>
      <c r="AE45" s="86"/>
      <c r="AF45" s="243"/>
      <c r="AG45" s="9">
        <v>857.58</v>
      </c>
      <c r="AH45" s="31"/>
    </row>
    <row r="46" spans="1:34" ht="24.75" customHeight="1">
      <c r="A46" s="98" t="s">
        <v>290</v>
      </c>
      <c r="B46" s="98">
        <v>180199</v>
      </c>
      <c r="C46" s="230" t="s">
        <v>35</v>
      </c>
      <c r="D46" s="4" t="s">
        <v>115</v>
      </c>
      <c r="E46" s="24">
        <v>46084</v>
      </c>
      <c r="F46" s="12"/>
      <c r="G46" s="12"/>
      <c r="H46" s="1"/>
      <c r="I46" s="1"/>
      <c r="J46" s="1"/>
      <c r="K46" s="2" t="s">
        <v>40</v>
      </c>
      <c r="L46" s="1" t="s">
        <v>55</v>
      </c>
      <c r="M46" s="3" t="s">
        <v>42</v>
      </c>
      <c r="N46" s="3" t="s">
        <v>43</v>
      </c>
      <c r="O46" s="43" t="s">
        <v>291</v>
      </c>
      <c r="P46" s="100"/>
      <c r="Q46" s="125" t="s">
        <v>85</v>
      </c>
      <c r="R46" s="15" t="s">
        <v>292</v>
      </c>
      <c r="S46" s="1" t="s">
        <v>293</v>
      </c>
      <c r="T46" s="144" t="s">
        <v>88</v>
      </c>
      <c r="U46" s="8" t="e">
        <f>VLOOKUP('IMPO TERR'!T46,#REF!,2,0)</f>
        <v>#REF!</v>
      </c>
      <c r="V46" s="69" t="s">
        <v>294</v>
      </c>
      <c r="W46" s="78"/>
      <c r="X46" s="246">
        <v>46089.79310185185</v>
      </c>
      <c r="Y46" s="245">
        <v>46090</v>
      </c>
      <c r="Z46" s="134">
        <v>46087</v>
      </c>
      <c r="AA46" s="148">
        <v>4090180199</v>
      </c>
      <c r="AB46" s="26">
        <v>46090</v>
      </c>
      <c r="AC46" s="256">
        <v>46090</v>
      </c>
      <c r="AD46" s="46">
        <v>46091</v>
      </c>
      <c r="AE46" s="243">
        <v>141511</v>
      </c>
      <c r="AF46" s="243"/>
      <c r="AG46" s="9">
        <v>857.58</v>
      </c>
      <c r="AH46" s="31"/>
    </row>
    <row r="47" spans="1:34" ht="24.75" customHeight="1">
      <c r="A47" s="98" t="s">
        <v>295</v>
      </c>
      <c r="B47" s="98">
        <v>180201</v>
      </c>
      <c r="C47" s="230" t="s">
        <v>35</v>
      </c>
      <c r="D47" s="1" t="s">
        <v>52</v>
      </c>
      <c r="E47" s="24">
        <v>46084</v>
      </c>
      <c r="F47" s="12"/>
      <c r="G47" s="12"/>
      <c r="H47" s="1"/>
      <c r="I47" s="1"/>
      <c r="J47" s="1"/>
      <c r="K47" s="2" t="s">
        <v>40</v>
      </c>
      <c r="L47" s="1" t="s">
        <v>196</v>
      </c>
      <c r="M47" s="3" t="s">
        <v>42</v>
      </c>
      <c r="N47" s="3" t="s">
        <v>43</v>
      </c>
      <c r="O47" s="43" t="s">
        <v>296</v>
      </c>
      <c r="P47" s="100"/>
      <c r="Q47" s="125" t="s">
        <v>198</v>
      </c>
      <c r="R47" s="33" t="s">
        <v>297</v>
      </c>
      <c r="S47" s="3" t="s">
        <v>298</v>
      </c>
      <c r="T47" s="144" t="s">
        <v>299</v>
      </c>
      <c r="U47" s="8" t="e">
        <f>VLOOKUP('IMPO TERR'!T47,#REF!,2,0)</f>
        <v>#REF!</v>
      </c>
      <c r="V47" s="92" t="s">
        <v>300</v>
      </c>
      <c r="W47" s="238" t="s">
        <v>301</v>
      </c>
      <c r="X47" s="20">
        <v>46085.890706018516</v>
      </c>
      <c r="Y47" s="45">
        <v>46086</v>
      </c>
      <c r="Z47" s="132">
        <v>46085</v>
      </c>
      <c r="AA47" s="146">
        <v>4090180201</v>
      </c>
      <c r="AB47" s="25">
        <v>46086</v>
      </c>
      <c r="AC47" s="262">
        <v>46086.737673611111</v>
      </c>
      <c r="AD47" s="61">
        <v>46086.831087962964</v>
      </c>
      <c r="AE47" s="243"/>
      <c r="AF47" s="243"/>
      <c r="AG47" s="9">
        <v>857.58</v>
      </c>
      <c r="AH47" s="31"/>
    </row>
    <row r="48" spans="1:34" ht="24.75" customHeight="1">
      <c r="A48" s="98" t="s">
        <v>302</v>
      </c>
      <c r="B48" s="98">
        <v>180202</v>
      </c>
      <c r="C48" s="230" t="s">
        <v>35</v>
      </c>
      <c r="D48" s="4" t="s">
        <v>115</v>
      </c>
      <c r="E48" s="24">
        <v>46084</v>
      </c>
      <c r="F48" s="12"/>
      <c r="G48" s="12"/>
      <c r="H48" s="1"/>
      <c r="I48" s="1"/>
      <c r="J48" s="1"/>
      <c r="K48" s="2" t="s">
        <v>40</v>
      </c>
      <c r="L48" s="1" t="s">
        <v>55</v>
      </c>
      <c r="M48" s="3" t="s">
        <v>42</v>
      </c>
      <c r="N48" s="3" t="s">
        <v>43</v>
      </c>
      <c r="O48" s="43" t="s">
        <v>303</v>
      </c>
      <c r="P48" s="100">
        <v>2026</v>
      </c>
      <c r="Q48" s="125" t="s">
        <v>132</v>
      </c>
      <c r="R48" s="19" t="s">
        <v>304</v>
      </c>
      <c r="S48" s="1" t="s">
        <v>305</v>
      </c>
      <c r="T48" s="144" t="s">
        <v>306</v>
      </c>
      <c r="U48" s="8" t="e">
        <f>VLOOKUP('IMPO TERR'!T48,#REF!,2,0)</f>
        <v>#REF!</v>
      </c>
      <c r="V48" s="75" t="s">
        <v>307</v>
      </c>
      <c r="W48" s="108"/>
      <c r="X48" s="246">
        <v>46088.621296296296</v>
      </c>
      <c r="Y48" s="245">
        <v>46089</v>
      </c>
      <c r="Z48" s="134">
        <v>46087</v>
      </c>
      <c r="AA48" s="148">
        <v>4090180202</v>
      </c>
      <c r="AB48" s="26">
        <v>46090</v>
      </c>
      <c r="AC48" s="251">
        <v>46090</v>
      </c>
      <c r="AD48" s="245">
        <v>46092</v>
      </c>
      <c r="AE48" s="243">
        <v>141494</v>
      </c>
      <c r="AF48" s="243"/>
      <c r="AG48" s="9">
        <v>857.58</v>
      </c>
      <c r="AH48" s="31"/>
    </row>
    <row r="49" spans="1:34" ht="24.75" customHeight="1">
      <c r="A49" s="98" t="s">
        <v>308</v>
      </c>
      <c r="B49" s="98">
        <v>180213</v>
      </c>
      <c r="C49" s="230" t="s">
        <v>35</v>
      </c>
      <c r="D49" s="1" t="s">
        <v>52</v>
      </c>
      <c r="E49" s="24">
        <v>46084</v>
      </c>
      <c r="F49" s="14"/>
      <c r="G49" s="14"/>
      <c r="H49" s="10"/>
      <c r="I49" s="10"/>
      <c r="J49" s="10"/>
      <c r="K49" s="2" t="s">
        <v>40</v>
      </c>
      <c r="L49" s="1" t="s">
        <v>196</v>
      </c>
      <c r="M49" s="3" t="s">
        <v>42</v>
      </c>
      <c r="N49" s="3" t="s">
        <v>43</v>
      </c>
      <c r="O49" s="43" t="s">
        <v>309</v>
      </c>
      <c r="P49" s="100"/>
      <c r="Q49" s="125" t="s">
        <v>310</v>
      </c>
      <c r="R49" s="33" t="s">
        <v>311</v>
      </c>
      <c r="S49" s="3" t="s">
        <v>312</v>
      </c>
      <c r="T49" s="144" t="s">
        <v>68</v>
      </c>
      <c r="U49" s="8" t="e">
        <f>VLOOKUP('IMPO TERR'!T49,#REF!,2,0)</f>
        <v>#REF!</v>
      </c>
      <c r="V49" s="235" t="s">
        <v>313</v>
      </c>
      <c r="W49" s="70" t="s">
        <v>314</v>
      </c>
      <c r="X49" s="20">
        <v>46085.809814814813</v>
      </c>
      <c r="Y49" s="45">
        <v>46086</v>
      </c>
      <c r="Z49" s="134">
        <v>46087</v>
      </c>
      <c r="AA49" s="148">
        <v>4090180213</v>
      </c>
      <c r="AB49" s="26">
        <v>46087</v>
      </c>
      <c r="AC49" s="262">
        <v>46087.775717592594</v>
      </c>
      <c r="AD49" s="245">
        <v>46090</v>
      </c>
      <c r="AE49" s="86"/>
      <c r="AF49" s="243"/>
      <c r="AG49" s="9">
        <v>857.58</v>
      </c>
      <c r="AH49" s="32"/>
    </row>
    <row r="50" spans="1:34" ht="24.75" customHeight="1">
      <c r="A50" s="98" t="s">
        <v>315</v>
      </c>
      <c r="B50" s="98">
        <v>180226</v>
      </c>
      <c r="C50" s="230" t="s">
        <v>35</v>
      </c>
      <c r="D50" s="4" t="s">
        <v>115</v>
      </c>
      <c r="E50" s="24">
        <v>46085</v>
      </c>
      <c r="F50" s="12"/>
      <c r="G50" s="12"/>
      <c r="H50" s="1"/>
      <c r="I50" s="1"/>
      <c r="J50" s="1"/>
      <c r="K50" s="2" t="s">
        <v>40</v>
      </c>
      <c r="L50" s="1" t="s">
        <v>41</v>
      </c>
      <c r="M50" s="3" t="s">
        <v>42</v>
      </c>
      <c r="N50" s="1" t="s">
        <v>43</v>
      </c>
      <c r="O50" s="43" t="s">
        <v>316</v>
      </c>
      <c r="P50" s="100"/>
      <c r="Q50" s="125" t="s">
        <v>45</v>
      </c>
      <c r="R50" s="15" t="s">
        <v>317</v>
      </c>
      <c r="S50" s="1" t="s">
        <v>318</v>
      </c>
      <c r="T50" s="144" t="s">
        <v>68</v>
      </c>
      <c r="U50" s="8" t="e">
        <f>VLOOKUP('IMPO TERR'!T50,#REF!,2,0)</f>
        <v>#REF!</v>
      </c>
      <c r="V50" s="77" t="s">
        <v>319</v>
      </c>
      <c r="W50" s="80" t="s">
        <v>320</v>
      </c>
      <c r="X50" s="20">
        <v>46089.799814814818</v>
      </c>
      <c r="Y50" s="46">
        <v>46090</v>
      </c>
      <c r="Z50" s="134">
        <v>46087</v>
      </c>
      <c r="AA50" s="148">
        <v>4090180226</v>
      </c>
      <c r="AB50" s="26">
        <v>46090</v>
      </c>
      <c r="AC50" s="251">
        <v>46090</v>
      </c>
      <c r="AD50" s="245">
        <v>46090</v>
      </c>
      <c r="AE50" s="243">
        <v>141500</v>
      </c>
      <c r="AF50" s="243"/>
      <c r="AG50" s="9">
        <v>857.58</v>
      </c>
      <c r="AH50" s="31"/>
    </row>
    <row r="51" spans="1:34" ht="24.75" customHeight="1">
      <c r="A51" s="98" t="s">
        <v>321</v>
      </c>
      <c r="B51" s="98">
        <v>180228</v>
      </c>
      <c r="C51" s="230" t="s">
        <v>35</v>
      </c>
      <c r="D51" s="4" t="s">
        <v>36</v>
      </c>
      <c r="E51" s="24">
        <v>46085</v>
      </c>
      <c r="F51" s="14"/>
      <c r="G51" s="14"/>
      <c r="H51" s="10"/>
      <c r="I51" s="10"/>
      <c r="J51" s="10"/>
      <c r="K51" s="2" t="s">
        <v>54</v>
      </c>
      <c r="L51" s="1" t="s">
        <v>41</v>
      </c>
      <c r="M51" s="3" t="s">
        <v>42</v>
      </c>
      <c r="N51" s="1" t="s">
        <v>43</v>
      </c>
      <c r="O51" s="43" t="s">
        <v>322</v>
      </c>
      <c r="P51" s="100"/>
      <c r="Q51" s="125" t="s">
        <v>110</v>
      </c>
      <c r="R51" s="15" t="s">
        <v>323</v>
      </c>
      <c r="S51" s="1" t="s">
        <v>324</v>
      </c>
      <c r="T51" s="144" t="s">
        <v>68</v>
      </c>
      <c r="U51" s="8" t="e">
        <f>VLOOKUP('IMPO TERR'!T51,#REF!,2,0)</f>
        <v>#REF!</v>
      </c>
      <c r="V51" s="69" t="s">
        <v>325</v>
      </c>
      <c r="W51" s="78" t="s">
        <v>326</v>
      </c>
      <c r="X51" s="246">
        <v>46089.287129629629</v>
      </c>
      <c r="Y51" s="245">
        <v>46090</v>
      </c>
      <c r="Z51" s="132">
        <v>46087</v>
      </c>
      <c r="AA51" s="146">
        <v>4090180228</v>
      </c>
      <c r="AB51" s="26">
        <v>46090</v>
      </c>
      <c r="AC51" s="45">
        <v>46090</v>
      </c>
      <c r="AD51" s="248">
        <v>46091</v>
      </c>
      <c r="AE51" s="243">
        <v>141508</v>
      </c>
      <c r="AF51" s="243"/>
      <c r="AG51" s="9">
        <v>857.58</v>
      </c>
      <c r="AH51" s="32"/>
    </row>
    <row r="52" spans="1:34" ht="24.75" customHeight="1">
      <c r="A52" s="98" t="s">
        <v>327</v>
      </c>
      <c r="B52" s="98">
        <v>180230</v>
      </c>
      <c r="C52" s="230" t="s">
        <v>35</v>
      </c>
      <c r="D52" s="4" t="s">
        <v>36</v>
      </c>
      <c r="E52" s="24">
        <v>46085</v>
      </c>
      <c r="F52" s="14"/>
      <c r="G52" s="14"/>
      <c r="H52" s="10"/>
      <c r="I52" s="10"/>
      <c r="J52" s="10"/>
      <c r="K52" s="2" t="s">
        <v>40</v>
      </c>
      <c r="L52" s="1" t="s">
        <v>41</v>
      </c>
      <c r="M52" s="3" t="s">
        <v>42</v>
      </c>
      <c r="N52" s="1" t="s">
        <v>43</v>
      </c>
      <c r="O52" s="43" t="s">
        <v>328</v>
      </c>
      <c r="P52" s="100">
        <v>40352</v>
      </c>
      <c r="Q52" s="125" t="s">
        <v>329</v>
      </c>
      <c r="R52" s="15" t="s">
        <v>330</v>
      </c>
      <c r="S52" s="1" t="s">
        <v>331</v>
      </c>
      <c r="T52" s="144" t="s">
        <v>88</v>
      </c>
      <c r="U52" s="8" t="e">
        <f>VLOOKUP('IMPO TERR'!T51,#REF!,2,0)</f>
        <v>#REF!</v>
      </c>
      <c r="V52" s="69" t="s">
        <v>332</v>
      </c>
      <c r="W52" s="78" t="s">
        <v>333</v>
      </c>
      <c r="X52" s="245">
        <v>46094</v>
      </c>
      <c r="Y52" s="248">
        <v>46095</v>
      </c>
      <c r="Z52" s="41">
        <v>46090</v>
      </c>
      <c r="AA52" s="148">
        <v>4090180230</v>
      </c>
      <c r="AB52" s="29"/>
      <c r="AC52" s="256">
        <v>46097</v>
      </c>
      <c r="AD52" s="46">
        <v>46097</v>
      </c>
      <c r="AE52" s="264">
        <v>41609</v>
      </c>
      <c r="AF52" s="243"/>
      <c r="AG52" s="9">
        <v>857.58</v>
      </c>
      <c r="AH52" s="32"/>
    </row>
    <row r="53" spans="1:34" ht="24.75" customHeight="1">
      <c r="A53" s="98" t="s">
        <v>334</v>
      </c>
      <c r="B53" s="98">
        <v>180242</v>
      </c>
      <c r="C53" s="230" t="s">
        <v>35</v>
      </c>
      <c r="D53" s="44" t="s">
        <v>36</v>
      </c>
      <c r="E53" s="24">
        <v>46086</v>
      </c>
      <c r="F53" s="14"/>
      <c r="G53" s="14" t="s">
        <v>335</v>
      </c>
      <c r="H53" s="10"/>
      <c r="I53" s="10"/>
      <c r="J53" s="10"/>
      <c r="K53" s="2" t="s">
        <v>54</v>
      </c>
      <c r="L53" s="1" t="s">
        <v>41</v>
      </c>
      <c r="M53" s="3" t="s">
        <v>42</v>
      </c>
      <c r="N53" s="1" t="s">
        <v>43</v>
      </c>
      <c r="O53" s="43" t="s">
        <v>336</v>
      </c>
      <c r="P53" s="100"/>
      <c r="Q53" s="125" t="s">
        <v>171</v>
      </c>
      <c r="R53" s="15" t="s">
        <v>337</v>
      </c>
      <c r="S53" s="1" t="s">
        <v>338</v>
      </c>
      <c r="T53" s="144" t="s">
        <v>88</v>
      </c>
      <c r="U53" s="8" t="s">
        <v>339</v>
      </c>
      <c r="V53" s="69" t="s">
        <v>340</v>
      </c>
      <c r="W53" s="78" t="s">
        <v>341</v>
      </c>
      <c r="X53" s="242">
        <v>46089.864548611113</v>
      </c>
      <c r="Y53" s="46">
        <v>46090</v>
      </c>
      <c r="Z53" s="134">
        <v>46087</v>
      </c>
      <c r="AA53" s="148">
        <v>4090180242</v>
      </c>
      <c r="AB53" s="26">
        <v>46090</v>
      </c>
      <c r="AC53" s="251">
        <v>46090</v>
      </c>
      <c r="AD53" s="254">
        <v>46090</v>
      </c>
      <c r="AE53" s="235">
        <v>141490</v>
      </c>
      <c r="AF53" s="243"/>
      <c r="AG53" s="9">
        <v>857.58</v>
      </c>
      <c r="AH53" s="32"/>
    </row>
    <row r="54" spans="1:34" ht="24.75" customHeight="1">
      <c r="A54" s="98" t="s">
        <v>342</v>
      </c>
      <c r="B54" s="98">
        <v>180249</v>
      </c>
      <c r="C54" s="230" t="s">
        <v>35</v>
      </c>
      <c r="D54" s="4" t="s">
        <v>36</v>
      </c>
      <c r="E54" s="24">
        <v>46086</v>
      </c>
      <c r="F54" s="12"/>
      <c r="G54" s="12"/>
      <c r="H54" s="1"/>
      <c r="I54" s="1"/>
      <c r="J54" s="1"/>
      <c r="K54" s="2" t="s">
        <v>54</v>
      </c>
      <c r="L54" s="1" t="s">
        <v>41</v>
      </c>
      <c r="M54" s="3" t="s">
        <v>42</v>
      </c>
      <c r="N54" s="1" t="s">
        <v>43</v>
      </c>
      <c r="O54" s="8" t="s">
        <v>343</v>
      </c>
      <c r="P54" s="100"/>
      <c r="Q54" s="125" t="s">
        <v>45</v>
      </c>
      <c r="R54" s="235" t="s">
        <v>344</v>
      </c>
      <c r="S54" s="1" t="s">
        <v>345</v>
      </c>
      <c r="T54" s="144" t="s">
        <v>88</v>
      </c>
      <c r="U54" s="8" t="e">
        <f>VLOOKUP('IMPO TERR'!T54,#REF!,2,0)</f>
        <v>#REF!</v>
      </c>
      <c r="V54" s="69" t="s">
        <v>346</v>
      </c>
      <c r="W54" s="70" t="s">
        <v>347</v>
      </c>
      <c r="X54" s="47">
        <v>46090.026643518519</v>
      </c>
      <c r="Y54" s="46">
        <v>46090</v>
      </c>
      <c r="Z54" s="134">
        <v>46087</v>
      </c>
      <c r="AA54" s="148">
        <v>4090180249</v>
      </c>
      <c r="AB54" s="26">
        <v>46090</v>
      </c>
      <c r="AC54" s="256">
        <v>46090</v>
      </c>
      <c r="AD54" s="46">
        <v>46090</v>
      </c>
      <c r="AE54" s="249">
        <v>141498</v>
      </c>
      <c r="AF54" s="243"/>
      <c r="AG54" s="9">
        <v>857.58</v>
      </c>
      <c r="AH54" s="31"/>
    </row>
    <row r="55" spans="1:34" ht="24.75" customHeight="1">
      <c r="A55" s="98" t="s">
        <v>348</v>
      </c>
      <c r="B55" s="98">
        <v>180257</v>
      </c>
      <c r="C55" s="230" t="s">
        <v>35</v>
      </c>
      <c r="D55" s="44" t="s">
        <v>36</v>
      </c>
      <c r="E55" s="24">
        <v>46086</v>
      </c>
      <c r="F55" s="12"/>
      <c r="G55" s="12" t="s">
        <v>349</v>
      </c>
      <c r="H55" s="1"/>
      <c r="I55" s="1"/>
      <c r="J55" s="1"/>
      <c r="K55" s="2" t="s">
        <v>40</v>
      </c>
      <c r="L55" s="1" t="s">
        <v>196</v>
      </c>
      <c r="M55" s="3" t="s">
        <v>42</v>
      </c>
      <c r="N55" s="1" t="s">
        <v>43</v>
      </c>
      <c r="O55" s="102" t="s">
        <v>350</v>
      </c>
      <c r="P55" s="100"/>
      <c r="Q55" s="125" t="s">
        <v>351</v>
      </c>
      <c r="R55" s="235" t="s">
        <v>352</v>
      </c>
      <c r="S55" s="244" t="s">
        <v>353</v>
      </c>
      <c r="T55" s="144" t="s">
        <v>299</v>
      </c>
      <c r="U55" s="8" t="e">
        <f>VLOOKUP('IMPO TERR'!T55,#REF!,2,0)</f>
        <v>#REF!</v>
      </c>
      <c r="V55" s="69" t="s">
        <v>354</v>
      </c>
      <c r="W55" s="70" t="s">
        <v>355</v>
      </c>
      <c r="X55" s="242">
        <v>46087.834062499998</v>
      </c>
      <c r="Y55" s="46">
        <v>46088</v>
      </c>
      <c r="Z55" s="134">
        <v>46087</v>
      </c>
      <c r="AA55" s="148">
        <v>4090180257</v>
      </c>
      <c r="AB55" s="26">
        <v>46090</v>
      </c>
      <c r="AC55" s="45">
        <v>46091</v>
      </c>
      <c r="AD55" s="257">
        <v>46092</v>
      </c>
      <c r="AE55" s="243">
        <v>141516</v>
      </c>
      <c r="AF55" s="243"/>
      <c r="AG55" s="9"/>
      <c r="AH55" s="31"/>
    </row>
    <row r="56" spans="1:34" ht="24.75" customHeight="1">
      <c r="A56" s="98" t="s">
        <v>356</v>
      </c>
      <c r="B56" s="98">
        <v>180261</v>
      </c>
      <c r="C56" s="230" t="s">
        <v>35</v>
      </c>
      <c r="D56" s="44" t="s">
        <v>36</v>
      </c>
      <c r="E56" s="24">
        <v>46086</v>
      </c>
      <c r="F56" s="12"/>
      <c r="G56" s="12"/>
      <c r="H56" s="1"/>
      <c r="I56" s="1"/>
      <c r="J56" s="8"/>
      <c r="K56" s="2" t="s">
        <v>40</v>
      </c>
      <c r="L56" s="1" t="s">
        <v>55</v>
      </c>
      <c r="M56" s="3" t="s">
        <v>42</v>
      </c>
      <c r="N56" s="1" t="s">
        <v>43</v>
      </c>
      <c r="O56" s="244" t="s">
        <v>357</v>
      </c>
      <c r="P56" s="101">
        <v>2026</v>
      </c>
      <c r="Q56" t="s">
        <v>132</v>
      </c>
      <c r="R56" s="235" t="s">
        <v>358</v>
      </c>
      <c r="S56" s="244" t="s">
        <v>359</v>
      </c>
      <c r="T56" s="144" t="s">
        <v>148</v>
      </c>
      <c r="U56" s="8" t="e">
        <f>VLOOKUP('IMPO TERR'!T56,#REF!,2,0)</f>
        <v>#REF!</v>
      </c>
      <c r="V56" s="69" t="s">
        <v>360</v>
      </c>
      <c r="W56" s="70"/>
      <c r="X56" s="245">
        <v>46091</v>
      </c>
      <c r="Y56" s="265">
        <v>46092</v>
      </c>
      <c r="Z56" s="24">
        <v>46090</v>
      </c>
      <c r="AA56" s="146">
        <v>4090180261</v>
      </c>
      <c r="AB56" s="25">
        <v>46092</v>
      </c>
      <c r="AC56" s="130">
        <v>46092</v>
      </c>
      <c r="AD56" s="251">
        <v>46094</v>
      </c>
      <c r="AE56" s="243">
        <v>141554</v>
      </c>
      <c r="AF56" s="240">
        <v>28770000</v>
      </c>
      <c r="AG56" s="9"/>
      <c r="AH56" s="31"/>
    </row>
    <row r="57" spans="1:34" ht="24.75" customHeight="1">
      <c r="A57" s="98" t="s">
        <v>361</v>
      </c>
      <c r="B57" s="98">
        <v>180263</v>
      </c>
      <c r="C57" s="230" t="s">
        <v>35</v>
      </c>
      <c r="D57" s="4" t="s">
        <v>36</v>
      </c>
      <c r="E57" s="24">
        <v>46086</v>
      </c>
      <c r="F57" s="12"/>
      <c r="G57" s="12"/>
      <c r="H57" s="1"/>
      <c r="I57" s="1"/>
      <c r="J57" s="1"/>
      <c r="K57" s="2" t="s">
        <v>40</v>
      </c>
      <c r="L57" s="1" t="s">
        <v>55</v>
      </c>
      <c r="M57" s="3" t="s">
        <v>42</v>
      </c>
      <c r="N57" s="1" t="s">
        <v>43</v>
      </c>
      <c r="O57" s="266" t="s">
        <v>362</v>
      </c>
      <c r="P57" s="100"/>
      <c r="Q57" s="125" t="s">
        <v>57</v>
      </c>
      <c r="R57" s="235" t="s">
        <v>363</v>
      </c>
      <c r="S57" s="244" t="s">
        <v>364</v>
      </c>
      <c r="T57" s="144" t="s">
        <v>299</v>
      </c>
      <c r="U57" s="8" t="e">
        <f>VLOOKUP('IMPO TERR'!T57,#REF!,2,0)</f>
        <v>#REF!</v>
      </c>
      <c r="V57" s="69" t="s">
        <v>365</v>
      </c>
      <c r="W57" s="70" t="s">
        <v>366</v>
      </c>
      <c r="X57" s="248">
        <v>46091</v>
      </c>
      <c r="Y57" s="245">
        <v>46091</v>
      </c>
      <c r="Z57" s="132">
        <v>46088</v>
      </c>
      <c r="AA57" s="146">
        <v>4090180263</v>
      </c>
      <c r="AB57" s="25">
        <v>46091</v>
      </c>
      <c r="AC57" s="255">
        <v>46091</v>
      </c>
      <c r="AD57" s="245">
        <v>46092</v>
      </c>
      <c r="AE57" s="243">
        <v>141533</v>
      </c>
      <c r="AF57" s="243"/>
      <c r="AG57" s="9"/>
      <c r="AH57" s="31"/>
    </row>
    <row r="58" spans="1:34" ht="24.75" customHeight="1">
      <c r="A58" s="98" t="s">
        <v>367</v>
      </c>
      <c r="B58" s="98">
        <v>180265</v>
      </c>
      <c r="C58" s="230" t="s">
        <v>35</v>
      </c>
      <c r="D58" s="44" t="s">
        <v>36</v>
      </c>
      <c r="E58" s="24">
        <v>46086</v>
      </c>
      <c r="F58" s="12"/>
      <c r="G58" s="12"/>
      <c r="H58" s="1"/>
      <c r="I58" s="1"/>
      <c r="J58" s="1"/>
      <c r="K58" s="2" t="s">
        <v>40</v>
      </c>
      <c r="L58" s="1" t="s">
        <v>55</v>
      </c>
      <c r="M58" s="3" t="s">
        <v>42</v>
      </c>
      <c r="N58" s="1" t="s">
        <v>43</v>
      </c>
      <c r="O58" s="8" t="s">
        <v>368</v>
      </c>
      <c r="P58" s="100">
        <v>2026</v>
      </c>
      <c r="Q58" s="125" t="s">
        <v>132</v>
      </c>
      <c r="R58" s="19" t="s">
        <v>369</v>
      </c>
      <c r="S58" s="244" t="s">
        <v>370</v>
      </c>
      <c r="T58" s="144" t="s">
        <v>371</v>
      </c>
      <c r="U58" s="8" t="e">
        <f>VLOOKUP('IMPO TERR'!T58,#REF!,2,0)</f>
        <v>#REF!</v>
      </c>
      <c r="V58" s="69" t="s">
        <v>372</v>
      </c>
      <c r="W58" s="78"/>
      <c r="X58" s="46">
        <v>46091</v>
      </c>
      <c r="Y58" s="251">
        <v>46092</v>
      </c>
      <c r="Z58" s="6">
        <v>46090</v>
      </c>
      <c r="AA58" s="146">
        <v>4090180265</v>
      </c>
      <c r="AB58" s="25">
        <v>46092</v>
      </c>
      <c r="AC58" s="45">
        <v>46092</v>
      </c>
      <c r="AD58" s="245">
        <v>46093</v>
      </c>
      <c r="AE58" s="243">
        <v>141550</v>
      </c>
      <c r="AF58" s="243"/>
      <c r="AG58" s="9"/>
      <c r="AH58" s="31"/>
    </row>
    <row r="59" spans="1:34" ht="24.75" customHeight="1">
      <c r="A59" s="98" t="s">
        <v>373</v>
      </c>
      <c r="B59" s="98">
        <v>180284</v>
      </c>
      <c r="C59" s="230" t="s">
        <v>35</v>
      </c>
      <c r="D59" s="4" t="s">
        <v>36</v>
      </c>
      <c r="E59" s="24">
        <v>46087</v>
      </c>
      <c r="F59" s="12"/>
      <c r="G59" s="12"/>
      <c r="H59" s="1"/>
      <c r="I59" s="1"/>
      <c r="J59" s="1"/>
      <c r="K59" s="2" t="s">
        <v>40</v>
      </c>
      <c r="L59" s="1" t="s">
        <v>55</v>
      </c>
      <c r="M59" s="3" t="s">
        <v>42</v>
      </c>
      <c r="N59" s="1" t="s">
        <v>43</v>
      </c>
      <c r="O59" s="267" t="s">
        <v>374</v>
      </c>
      <c r="P59" s="100">
        <v>2026</v>
      </c>
      <c r="Q59" s="143" t="s">
        <v>132</v>
      </c>
      <c r="R59" s="235" t="s">
        <v>375</v>
      </c>
      <c r="S59" s="244" t="s">
        <v>376</v>
      </c>
      <c r="T59" s="144" t="s">
        <v>68</v>
      </c>
      <c r="U59" s="8" t="e">
        <f>VLOOKUP('IMPO TERR'!T59,#REF!,2,0)</f>
        <v>#REF!</v>
      </c>
      <c r="V59" s="69" t="s">
        <v>377</v>
      </c>
      <c r="W59" s="70"/>
      <c r="X59" s="45">
        <v>46091</v>
      </c>
      <c r="Y59" s="248">
        <v>46092</v>
      </c>
      <c r="Z59" s="65">
        <v>46091</v>
      </c>
      <c r="AA59" s="146">
        <v>4090180284</v>
      </c>
      <c r="AB59" s="25">
        <v>46092</v>
      </c>
      <c r="AC59" s="268">
        <v>46092</v>
      </c>
      <c r="AD59" s="245">
        <v>46093</v>
      </c>
      <c r="AE59" s="243">
        <v>141551</v>
      </c>
      <c r="AF59" s="264"/>
      <c r="AG59" s="9"/>
      <c r="AH59" s="31"/>
    </row>
    <row r="60" spans="1:34" ht="24.75" customHeight="1">
      <c r="A60" s="98" t="s">
        <v>378</v>
      </c>
      <c r="B60" s="98">
        <v>180286</v>
      </c>
      <c r="C60" s="230" t="s">
        <v>35</v>
      </c>
      <c r="D60" s="4" t="s">
        <v>36</v>
      </c>
      <c r="E60" s="24">
        <v>46087</v>
      </c>
      <c r="F60" s="12"/>
      <c r="G60" s="12"/>
      <c r="H60" s="1"/>
      <c r="I60" s="1"/>
      <c r="J60" s="1"/>
      <c r="K60" s="2" t="s">
        <v>54</v>
      </c>
      <c r="L60" s="1" t="s">
        <v>41</v>
      </c>
      <c r="M60" s="3" t="s">
        <v>42</v>
      </c>
      <c r="N60" s="1" t="s">
        <v>43</v>
      </c>
      <c r="O60" s="267" t="s">
        <v>379</v>
      </c>
      <c r="P60" s="100"/>
      <c r="Q60" s="125" t="s">
        <v>45</v>
      </c>
      <c r="R60" s="235" t="s">
        <v>380</v>
      </c>
      <c r="S60" s="244" t="s">
        <v>381</v>
      </c>
      <c r="T60" s="144" t="s">
        <v>60</v>
      </c>
      <c r="U60" s="8" t="e">
        <f>VLOOKUP('IMPO TERR'!T60,#REF!,2,0)</f>
        <v>#REF!</v>
      </c>
      <c r="V60" s="69" t="s">
        <v>382</v>
      </c>
      <c r="W60" s="79" t="s">
        <v>383</v>
      </c>
      <c r="X60" s="104">
        <v>46093</v>
      </c>
      <c r="Y60" s="46">
        <v>46094</v>
      </c>
      <c r="Z60" s="58">
        <v>46092</v>
      </c>
      <c r="AA60" s="149">
        <v>4090180286</v>
      </c>
      <c r="AC60" s="130">
        <v>46094</v>
      </c>
      <c r="AD60" s="251">
        <v>46094</v>
      </c>
      <c r="AE60" s="243">
        <v>141587</v>
      </c>
      <c r="AF60" s="236">
        <v>16820000</v>
      </c>
      <c r="AG60" s="9"/>
      <c r="AH60" s="31"/>
    </row>
    <row r="61" spans="1:34" ht="24.75" customHeight="1">
      <c r="A61" s="98" t="s">
        <v>384</v>
      </c>
      <c r="B61" s="98">
        <v>180288</v>
      </c>
      <c r="C61" s="230" t="s">
        <v>385</v>
      </c>
      <c r="D61" s="1" t="s">
        <v>52</v>
      </c>
      <c r="E61" s="24">
        <v>46087</v>
      </c>
      <c r="F61" s="12"/>
      <c r="G61" s="12"/>
      <c r="H61" s="1"/>
      <c r="I61" s="1"/>
      <c r="J61" s="1"/>
      <c r="K61" s="2" t="s">
        <v>40</v>
      </c>
      <c r="L61" s="1" t="s">
        <v>41</v>
      </c>
      <c r="M61" s="3" t="s">
        <v>42</v>
      </c>
      <c r="N61" s="1" t="s">
        <v>43</v>
      </c>
      <c r="O61" s="267" t="s">
        <v>386</v>
      </c>
      <c r="P61" s="100"/>
      <c r="Q61" s="125" t="s">
        <v>45</v>
      </c>
      <c r="R61" s="235" t="s">
        <v>387</v>
      </c>
      <c r="S61" s="244" t="s">
        <v>388</v>
      </c>
      <c r="T61" s="144" t="s">
        <v>68</v>
      </c>
      <c r="U61" s="8" t="e">
        <f>VLOOKUP('IMPO TERR'!T61,#REF!,2,0)</f>
        <v>#REF!</v>
      </c>
      <c r="V61" s="69" t="s">
        <v>389</v>
      </c>
      <c r="W61" s="78" t="s">
        <v>390</v>
      </c>
      <c r="X61" s="269"/>
      <c r="Y61" s="257"/>
      <c r="Z61" s="24">
        <v>46091</v>
      </c>
      <c r="AA61" s="149">
        <v>4090180288</v>
      </c>
      <c r="AC61" s="249"/>
      <c r="AD61" s="235"/>
      <c r="AE61" s="243"/>
      <c r="AF61" s="270"/>
      <c r="AG61" s="9"/>
      <c r="AH61" s="31"/>
    </row>
    <row r="62" spans="1:34" ht="24.75" customHeight="1">
      <c r="A62" s="98" t="s">
        <v>391</v>
      </c>
      <c r="B62" s="98">
        <v>180289</v>
      </c>
      <c r="C62" s="230" t="s">
        <v>392</v>
      </c>
      <c r="D62" s="1" t="s">
        <v>52</v>
      </c>
      <c r="E62" s="24">
        <v>46087</v>
      </c>
      <c r="F62" s="12"/>
      <c r="G62" s="12" t="s">
        <v>393</v>
      </c>
      <c r="H62" s="1"/>
      <c r="I62" s="1"/>
      <c r="J62" s="1"/>
      <c r="K62" s="2" t="s">
        <v>54</v>
      </c>
      <c r="L62" s="1" t="s">
        <v>41</v>
      </c>
      <c r="M62" s="3" t="s">
        <v>42</v>
      </c>
      <c r="N62" s="1" t="s">
        <v>43</v>
      </c>
      <c r="O62" s="267" t="s">
        <v>394</v>
      </c>
      <c r="P62" s="100">
        <v>40322</v>
      </c>
      <c r="Q62" s="125" t="s">
        <v>178</v>
      </c>
      <c r="R62" s="235" t="s">
        <v>395</v>
      </c>
      <c r="S62" s="244" t="s">
        <v>396</v>
      </c>
      <c r="T62" s="144" t="s">
        <v>68</v>
      </c>
      <c r="U62" s="8" t="e">
        <f>VLOOKUP('IMPO TERR'!T62,#REF!,2,0)</f>
        <v>#REF!</v>
      </c>
      <c r="V62" s="69" t="s">
        <v>397</v>
      </c>
      <c r="W62" s="70" t="s">
        <v>398</v>
      </c>
      <c r="X62" s="46">
        <v>46094</v>
      </c>
      <c r="Y62" s="251">
        <v>46095</v>
      </c>
      <c r="Z62" s="58">
        <v>46091</v>
      </c>
      <c r="AA62" s="149">
        <v>4090180289</v>
      </c>
      <c r="AC62" s="264" t="s">
        <v>399</v>
      </c>
      <c r="AD62" s="235" t="s">
        <v>52</v>
      </c>
      <c r="AE62" s="243"/>
      <c r="AF62" s="236">
        <v>21190000</v>
      </c>
      <c r="AG62" s="9"/>
      <c r="AH62" s="31"/>
    </row>
    <row r="63" spans="1:34" ht="24.75" customHeight="1">
      <c r="A63" s="98" t="s">
        <v>400</v>
      </c>
      <c r="B63" s="98">
        <v>180290</v>
      </c>
      <c r="C63" s="230" t="s">
        <v>392</v>
      </c>
      <c r="D63" s="44" t="s">
        <v>36</v>
      </c>
      <c r="E63" s="24">
        <v>46088</v>
      </c>
      <c r="F63" s="12"/>
      <c r="G63" s="12"/>
      <c r="H63" s="1"/>
      <c r="I63" s="1"/>
      <c r="J63" s="1"/>
      <c r="K63" s="2" t="s">
        <v>40</v>
      </c>
      <c r="L63" s="1" t="s">
        <v>41</v>
      </c>
      <c r="M63" s="3" t="s">
        <v>42</v>
      </c>
      <c r="N63" s="1" t="s">
        <v>43</v>
      </c>
      <c r="O63" s="267" t="s">
        <v>401</v>
      </c>
      <c r="P63" s="100">
        <v>42111</v>
      </c>
      <c r="Q63" s="125" t="s">
        <v>105</v>
      </c>
      <c r="R63" s="235" t="s">
        <v>402</v>
      </c>
      <c r="S63" s="244" t="s">
        <v>403</v>
      </c>
      <c r="T63" s="144" t="s">
        <v>88</v>
      </c>
      <c r="U63" s="8" t="s">
        <v>404</v>
      </c>
      <c r="V63" s="69" t="s">
        <v>405</v>
      </c>
      <c r="W63" s="80" t="s">
        <v>406</v>
      </c>
      <c r="X63" s="257">
        <v>46097</v>
      </c>
      <c r="Y63" s="245">
        <v>46098</v>
      </c>
      <c r="Z63" s="24">
        <v>46090</v>
      </c>
      <c r="AA63" s="149">
        <v>4090180290</v>
      </c>
      <c r="AB63" s="8"/>
      <c r="AC63" s="46">
        <v>46098</v>
      </c>
      <c r="AD63" s="243" t="s">
        <v>52</v>
      </c>
      <c r="AE63" s="243"/>
      <c r="AF63" s="239">
        <v>27800000</v>
      </c>
      <c r="AG63" s="9"/>
      <c r="AH63" s="31"/>
    </row>
    <row r="64" spans="1:34" ht="24.75" customHeight="1">
      <c r="A64" s="98" t="s">
        <v>407</v>
      </c>
      <c r="B64" s="98">
        <v>180291</v>
      </c>
      <c r="C64" s="230" t="s">
        <v>35</v>
      </c>
      <c r="D64" s="4" t="s">
        <v>36</v>
      </c>
      <c r="E64" s="24">
        <v>46088</v>
      </c>
      <c r="F64" s="12"/>
      <c r="G64" s="12"/>
      <c r="H64" s="1"/>
      <c r="I64" s="1"/>
      <c r="J64" s="1"/>
      <c r="K64" s="2" t="s">
        <v>54</v>
      </c>
      <c r="L64" s="1" t="s">
        <v>41</v>
      </c>
      <c r="M64" s="3" t="s">
        <v>42</v>
      </c>
      <c r="N64" s="1" t="s">
        <v>43</v>
      </c>
      <c r="O64" s="267" t="s">
        <v>408</v>
      </c>
      <c r="P64" s="100">
        <v>40320</v>
      </c>
      <c r="Q64" s="125" t="s">
        <v>45</v>
      </c>
      <c r="R64" s="235" t="s">
        <v>409</v>
      </c>
      <c r="S64" s="244" t="s">
        <v>410</v>
      </c>
      <c r="T64" s="144" t="s">
        <v>68</v>
      </c>
      <c r="U64" s="8" t="e">
        <f>VLOOKUP('IMPO TERR'!T64,#REF!,2,0)</f>
        <v>#REF!</v>
      </c>
      <c r="V64" s="69" t="s">
        <v>411</v>
      </c>
      <c r="W64" s="79" t="s">
        <v>412</v>
      </c>
      <c r="X64" s="245">
        <v>46094</v>
      </c>
      <c r="Y64" s="248">
        <v>46095</v>
      </c>
      <c r="Z64" s="24">
        <v>46091</v>
      </c>
      <c r="AA64" s="149">
        <v>4090180291</v>
      </c>
      <c r="AC64" s="255">
        <v>46095</v>
      </c>
      <c r="AD64" s="245">
        <v>46095</v>
      </c>
      <c r="AE64" s="243">
        <v>141598</v>
      </c>
      <c r="AF64" s="241">
        <v>20440000</v>
      </c>
      <c r="AG64" s="9"/>
      <c r="AH64" s="31"/>
    </row>
    <row r="65" spans="1:34" ht="24.75" customHeight="1">
      <c r="A65" s="98" t="s">
        <v>413</v>
      </c>
      <c r="B65" s="98">
        <v>180292</v>
      </c>
      <c r="C65" s="230" t="s">
        <v>35</v>
      </c>
      <c r="D65" s="4" t="s">
        <v>36</v>
      </c>
      <c r="E65" s="24">
        <v>46088</v>
      </c>
      <c r="F65" s="12"/>
      <c r="G65" s="12"/>
      <c r="H65" s="1"/>
      <c r="I65" s="1"/>
      <c r="J65" s="1"/>
      <c r="K65" s="2" t="s">
        <v>40</v>
      </c>
      <c r="L65" s="1" t="s">
        <v>41</v>
      </c>
      <c r="M65" s="3" t="s">
        <v>42</v>
      </c>
      <c r="N65" s="1" t="s">
        <v>43</v>
      </c>
      <c r="O65" s="267" t="s">
        <v>414</v>
      </c>
      <c r="P65" s="100">
        <v>41046</v>
      </c>
      <c r="Q65" s="125" t="s">
        <v>45</v>
      </c>
      <c r="R65" s="235" t="s">
        <v>415</v>
      </c>
      <c r="S65" s="244" t="s">
        <v>415</v>
      </c>
      <c r="T65" s="144" t="s">
        <v>68</v>
      </c>
      <c r="U65" s="8" t="e">
        <f>VLOOKUP('IMPO TERR'!T65,#REF!,2,0)</f>
        <v>#REF!</v>
      </c>
      <c r="V65" s="69" t="s">
        <v>416</v>
      </c>
      <c r="W65" s="70" t="s">
        <v>417</v>
      </c>
      <c r="X65" s="250">
        <v>46096</v>
      </c>
      <c r="Y65" s="46">
        <v>46097</v>
      </c>
      <c r="Z65" s="171">
        <v>46090</v>
      </c>
      <c r="AA65" s="149">
        <v>4090180292</v>
      </c>
      <c r="AB65" s="25">
        <v>46097</v>
      </c>
      <c r="AC65" s="251">
        <v>46097</v>
      </c>
      <c r="AD65" s="245">
        <v>46098</v>
      </c>
      <c r="AE65" s="243">
        <v>141638</v>
      </c>
      <c r="AF65" s="236">
        <v>26080000</v>
      </c>
      <c r="AG65" s="9"/>
      <c r="AH65" s="31"/>
    </row>
    <row r="66" spans="1:34" ht="24.75" customHeight="1">
      <c r="A66" s="98" t="s">
        <v>418</v>
      </c>
      <c r="B66" s="98">
        <v>180293</v>
      </c>
      <c r="C66" s="230" t="s">
        <v>35</v>
      </c>
      <c r="D66" s="4" t="s">
        <v>115</v>
      </c>
      <c r="E66" s="24">
        <v>46088</v>
      </c>
      <c r="F66" s="12"/>
      <c r="G66" s="12"/>
      <c r="H66" s="1"/>
      <c r="I66" s="1"/>
      <c r="J66" s="1"/>
      <c r="K66" s="2" t="s">
        <v>40</v>
      </c>
      <c r="L66" s="1" t="s">
        <v>41</v>
      </c>
      <c r="M66" s="3" t="s">
        <v>42</v>
      </c>
      <c r="N66" s="1" t="s">
        <v>43</v>
      </c>
      <c r="O66" s="267" t="s">
        <v>419</v>
      </c>
      <c r="P66" s="100">
        <v>41312</v>
      </c>
      <c r="Q66" s="128" t="s">
        <v>45</v>
      </c>
      <c r="R66" s="235" t="s">
        <v>420</v>
      </c>
      <c r="S66" s="244" t="s">
        <v>421</v>
      </c>
      <c r="T66" s="144" t="s">
        <v>68</v>
      </c>
      <c r="U66" s="102" t="e">
        <f>VLOOKUP('IMPO TERR'!T66,#REF!,2,0)</f>
        <v>#REF!</v>
      </c>
      <c r="V66" s="69" t="s">
        <v>422</v>
      </c>
      <c r="W66" s="78" t="s">
        <v>423</v>
      </c>
      <c r="X66" s="248">
        <v>46096</v>
      </c>
      <c r="Y66" s="257">
        <v>46097</v>
      </c>
      <c r="Z66" s="59">
        <v>46091</v>
      </c>
      <c r="AA66" s="146">
        <v>4090180293</v>
      </c>
      <c r="AB66" s="25">
        <v>46097</v>
      </c>
      <c r="AC66" s="251">
        <v>46098</v>
      </c>
      <c r="AD66" s="245">
        <v>46098</v>
      </c>
      <c r="AE66" s="243">
        <v>141650</v>
      </c>
      <c r="AF66" s="271">
        <v>24400000</v>
      </c>
      <c r="AG66" s="9"/>
      <c r="AH66" s="31"/>
    </row>
    <row r="67" spans="1:34" ht="24.75" customHeight="1">
      <c r="A67" s="98" t="s">
        <v>424</v>
      </c>
      <c r="B67" s="98">
        <v>180311</v>
      </c>
      <c r="C67" s="230" t="s">
        <v>35</v>
      </c>
      <c r="D67" s="44" t="s">
        <v>36</v>
      </c>
      <c r="E67" s="24">
        <v>46090</v>
      </c>
      <c r="F67" s="12"/>
      <c r="G67" s="12"/>
      <c r="H67" s="1"/>
      <c r="I67" s="1"/>
      <c r="J67" s="1"/>
      <c r="K67" s="2" t="s">
        <v>54</v>
      </c>
      <c r="L67" s="1" t="s">
        <v>41</v>
      </c>
      <c r="M67" s="3" t="s">
        <v>42</v>
      </c>
      <c r="N67" s="1" t="s">
        <v>43</v>
      </c>
      <c r="O67" s="267" t="s">
        <v>425</v>
      </c>
      <c r="P67" s="100">
        <v>40314</v>
      </c>
      <c r="Q67" s="125"/>
      <c r="R67" s="235" t="s">
        <v>426</v>
      </c>
      <c r="S67" s="244" t="s">
        <v>427</v>
      </c>
      <c r="T67" s="144" t="s">
        <v>88</v>
      </c>
      <c r="U67" s="244" t="s">
        <v>174</v>
      </c>
      <c r="V67" s="138" t="s">
        <v>428</v>
      </c>
      <c r="W67" s="70">
        <v>24625000</v>
      </c>
      <c r="X67" s="46">
        <v>46094</v>
      </c>
      <c r="Y67" s="251">
        <v>46095</v>
      </c>
      <c r="Z67" s="24">
        <v>46092</v>
      </c>
      <c r="AA67" s="149">
        <v>4090180311</v>
      </c>
      <c r="AC67" s="251">
        <v>46095</v>
      </c>
      <c r="AD67" s="245">
        <v>46095</v>
      </c>
      <c r="AE67" s="243">
        <v>141604</v>
      </c>
      <c r="AF67" s="239">
        <v>17540000</v>
      </c>
      <c r="AG67" s="9"/>
      <c r="AH67" s="31"/>
    </row>
    <row r="68" spans="1:34" ht="24.75" customHeight="1">
      <c r="A68" s="98" t="s">
        <v>429</v>
      </c>
      <c r="B68" s="98">
        <v>180312</v>
      </c>
      <c r="C68" s="230" t="s">
        <v>35</v>
      </c>
      <c r="D68" s="4" t="s">
        <v>115</v>
      </c>
      <c r="E68" s="24">
        <v>46090</v>
      </c>
      <c r="F68" s="12"/>
      <c r="G68" s="12"/>
      <c r="H68" s="1"/>
      <c r="I68" s="1"/>
      <c r="J68" s="1"/>
      <c r="K68" s="2" t="s">
        <v>40</v>
      </c>
      <c r="L68" s="1" t="s">
        <v>41</v>
      </c>
      <c r="M68" s="3" t="s">
        <v>42</v>
      </c>
      <c r="N68" s="1" t="s">
        <v>43</v>
      </c>
      <c r="O68" s="267" t="s">
        <v>430</v>
      </c>
      <c r="P68" s="100">
        <v>40978</v>
      </c>
      <c r="Q68" s="125" t="s">
        <v>45</v>
      </c>
      <c r="R68" s="235" t="s">
        <v>431</v>
      </c>
      <c r="S68" s="244" t="s">
        <v>432</v>
      </c>
      <c r="T68" s="144" t="s">
        <v>68</v>
      </c>
      <c r="U68" s="170" t="e">
        <f>VLOOKUP('IMPO TERR'!T68,#REF!,2,0)</f>
        <v>#REF!</v>
      </c>
      <c r="V68" s="69" t="s">
        <v>433</v>
      </c>
      <c r="W68" s="80" t="s">
        <v>434</v>
      </c>
      <c r="X68" s="257">
        <v>46096</v>
      </c>
      <c r="Y68" s="248">
        <v>46097</v>
      </c>
      <c r="Z68" s="135">
        <v>46091</v>
      </c>
      <c r="AA68" s="146">
        <v>4090180312</v>
      </c>
      <c r="AB68" s="25">
        <v>46097</v>
      </c>
      <c r="AC68" s="251">
        <v>46098</v>
      </c>
      <c r="AD68" s="245">
        <v>46098</v>
      </c>
      <c r="AE68" s="243">
        <v>141647</v>
      </c>
      <c r="AF68" s="240">
        <v>24110000</v>
      </c>
      <c r="AG68" s="9"/>
      <c r="AH68" s="31"/>
    </row>
    <row r="69" spans="1:34" ht="24.75" customHeight="1">
      <c r="A69" s="98" t="s">
        <v>435</v>
      </c>
      <c r="B69" s="98">
        <v>180313</v>
      </c>
      <c r="C69" s="230" t="s">
        <v>35</v>
      </c>
      <c r="D69" s="4" t="s">
        <v>36</v>
      </c>
      <c r="E69" s="24">
        <v>46090</v>
      </c>
      <c r="F69" s="12"/>
      <c r="G69" s="12"/>
      <c r="H69" s="1"/>
      <c r="I69" s="1"/>
      <c r="J69" s="1"/>
      <c r="K69" s="2" t="s">
        <v>54</v>
      </c>
      <c r="L69" s="1" t="s">
        <v>41</v>
      </c>
      <c r="M69" s="3" t="s">
        <v>42</v>
      </c>
      <c r="N69" s="1" t="s">
        <v>43</v>
      </c>
      <c r="O69" s="267" t="s">
        <v>436</v>
      </c>
      <c r="P69" s="100">
        <v>40485</v>
      </c>
      <c r="Q69" s="125"/>
      <c r="R69" s="235" t="s">
        <v>437</v>
      </c>
      <c r="S69" s="244" t="s">
        <v>438</v>
      </c>
      <c r="T69" s="12" t="s">
        <v>60</v>
      </c>
      <c r="U69" s="8" t="e">
        <f>VLOOKUP('IMPO TERR'!T69,#REF!,2,0)</f>
        <v>#REF!</v>
      </c>
      <c r="V69" s="69" t="s">
        <v>439</v>
      </c>
      <c r="W69" s="80" t="s">
        <v>440</v>
      </c>
      <c r="X69" s="272">
        <v>46094</v>
      </c>
      <c r="Y69" s="46">
        <v>46095</v>
      </c>
      <c r="Z69" s="59">
        <v>46093</v>
      </c>
      <c r="AA69" s="146">
        <v>4090180313</v>
      </c>
      <c r="AC69" s="251">
        <v>46095</v>
      </c>
      <c r="AD69" s="245">
        <v>46095</v>
      </c>
      <c r="AE69" s="243">
        <v>141610</v>
      </c>
      <c r="AF69" s="240">
        <v>16870000</v>
      </c>
      <c r="AG69" s="9"/>
      <c r="AH69" s="31"/>
    </row>
    <row r="70" spans="1:34" ht="24.75" customHeight="1">
      <c r="A70" s="98" t="s">
        <v>441</v>
      </c>
      <c r="B70" s="98">
        <v>180314</v>
      </c>
      <c r="C70" s="230" t="s">
        <v>35</v>
      </c>
      <c r="D70" s="4" t="s">
        <v>36</v>
      </c>
      <c r="E70" s="24">
        <v>46090</v>
      </c>
      <c r="F70" s="12"/>
      <c r="G70" s="12" t="s">
        <v>442</v>
      </c>
      <c r="H70" s="1"/>
      <c r="I70" s="1"/>
      <c r="J70" s="1"/>
      <c r="K70" s="2" t="s">
        <v>40</v>
      </c>
      <c r="L70" s="1" t="s">
        <v>41</v>
      </c>
      <c r="M70" s="3" t="s">
        <v>42</v>
      </c>
      <c r="N70" s="1" t="s">
        <v>43</v>
      </c>
      <c r="O70" s="267" t="s">
        <v>443</v>
      </c>
      <c r="P70" s="100">
        <v>37030</v>
      </c>
      <c r="Q70" s="143" t="s">
        <v>45</v>
      </c>
      <c r="R70" s="235" t="s">
        <v>444</v>
      </c>
      <c r="S70" s="244" t="s">
        <v>445</v>
      </c>
      <c r="T70" s="12" t="s">
        <v>68</v>
      </c>
      <c r="U70" s="8" t="e">
        <f>VLOOKUP('IMPO TERR'!T70,#REF!,2,0)</f>
        <v>#REF!</v>
      </c>
      <c r="V70" s="69" t="s">
        <v>446</v>
      </c>
      <c r="W70" s="79" t="s">
        <v>447</v>
      </c>
      <c r="X70" s="46">
        <v>46089</v>
      </c>
      <c r="Y70" s="255">
        <v>46090</v>
      </c>
      <c r="Z70" s="24">
        <v>46093</v>
      </c>
      <c r="AA70" s="146">
        <v>4090180314</v>
      </c>
      <c r="AB70" s="25">
        <v>46094</v>
      </c>
      <c r="AC70" s="104">
        <v>46094</v>
      </c>
      <c r="AD70" s="55">
        <v>46094</v>
      </c>
      <c r="AE70" s="243">
        <v>141596</v>
      </c>
      <c r="AF70" s="240">
        <v>25560000</v>
      </c>
      <c r="AG70" s="9"/>
      <c r="AH70" s="31"/>
    </row>
    <row r="71" spans="1:34" ht="24.75" customHeight="1">
      <c r="A71" s="98" t="s">
        <v>448</v>
      </c>
      <c r="B71" s="98">
        <v>180318</v>
      </c>
      <c r="C71" s="230" t="s">
        <v>392</v>
      </c>
      <c r="D71" s="1" t="s">
        <v>52</v>
      </c>
      <c r="E71" s="24">
        <v>46090</v>
      </c>
      <c r="F71" s="12"/>
      <c r="G71" s="12"/>
      <c r="H71" s="1"/>
      <c r="I71" s="1"/>
      <c r="J71" s="1"/>
      <c r="K71" s="2" t="s">
        <v>40</v>
      </c>
      <c r="L71" s="1" t="s">
        <v>55</v>
      </c>
      <c r="M71" s="3" t="s">
        <v>42</v>
      </c>
      <c r="N71" s="1" t="s">
        <v>43</v>
      </c>
      <c r="O71" s="267" t="s">
        <v>449</v>
      </c>
      <c r="P71" s="100">
        <v>40724</v>
      </c>
      <c r="Q71" s="125" t="s">
        <v>57</v>
      </c>
      <c r="R71" s="235" t="s">
        <v>450</v>
      </c>
      <c r="S71" s="244" t="s">
        <v>451</v>
      </c>
      <c r="T71" s="12" t="s">
        <v>68</v>
      </c>
      <c r="U71" s="8" t="e">
        <f>VLOOKUP('IMPO TERR'!T71,#REF!,2,0)</f>
        <v>#REF!</v>
      </c>
      <c r="V71" s="69" t="s">
        <v>452</v>
      </c>
      <c r="W71" s="70" t="s">
        <v>453</v>
      </c>
      <c r="X71" s="257">
        <v>46095</v>
      </c>
      <c r="Y71" s="245">
        <v>46096</v>
      </c>
      <c r="Z71" s="57">
        <v>46091</v>
      </c>
      <c r="AA71" s="146">
        <v>4090180318</v>
      </c>
      <c r="AB71" s="25">
        <v>46097</v>
      </c>
      <c r="AC71" s="251">
        <v>46097</v>
      </c>
      <c r="AD71" s="235" t="s">
        <v>52</v>
      </c>
      <c r="AE71" s="243">
        <v>141614</v>
      </c>
      <c r="AF71" s="240">
        <v>27060000</v>
      </c>
      <c r="AG71" s="9"/>
      <c r="AH71" s="31"/>
    </row>
    <row r="72" spans="1:34" ht="24.75" customHeight="1">
      <c r="A72" s="98" t="s">
        <v>454</v>
      </c>
      <c r="B72" s="98">
        <v>180319</v>
      </c>
      <c r="C72" s="230" t="s">
        <v>35</v>
      </c>
      <c r="D72" s="4" t="s">
        <v>36</v>
      </c>
      <c r="E72" s="24">
        <v>46090</v>
      </c>
      <c r="F72" s="12"/>
      <c r="G72" s="12"/>
      <c r="H72" s="1"/>
      <c r="I72" s="1"/>
      <c r="K72" s="2" t="s">
        <v>40</v>
      </c>
      <c r="L72" s="1" t="s">
        <v>41</v>
      </c>
      <c r="M72" s="3" t="s">
        <v>42</v>
      </c>
      <c r="N72" s="1" t="s">
        <v>43</v>
      </c>
      <c r="O72" s="267" t="s">
        <v>455</v>
      </c>
      <c r="P72" s="100">
        <v>41073</v>
      </c>
      <c r="Q72" s="126"/>
      <c r="R72" s="235" t="s">
        <v>456</v>
      </c>
      <c r="S72" s="244" t="s">
        <v>457</v>
      </c>
      <c r="T72" s="12" t="s">
        <v>68</v>
      </c>
      <c r="U72" s="8" t="e">
        <f>VLOOKUP('IMPO TERR'!T72,#REF!,2,0)</f>
        <v>#REF!</v>
      </c>
      <c r="V72" s="82" t="s">
        <v>458</v>
      </c>
      <c r="W72" s="84" t="s">
        <v>459</v>
      </c>
      <c r="X72" s="245">
        <v>46096</v>
      </c>
      <c r="Y72" s="245">
        <v>46097</v>
      </c>
      <c r="Z72" s="24">
        <v>46092</v>
      </c>
      <c r="AA72" s="149">
        <v>4090180319</v>
      </c>
      <c r="AB72" s="25">
        <v>46097</v>
      </c>
      <c r="AC72" s="251">
        <v>46098</v>
      </c>
      <c r="AD72" s="248">
        <v>46098</v>
      </c>
      <c r="AE72" s="243">
        <v>141643</v>
      </c>
      <c r="AF72" s="240">
        <v>24760000</v>
      </c>
      <c r="AG72" s="9"/>
      <c r="AH72" s="31"/>
    </row>
    <row r="73" spans="1:34" ht="24.75" customHeight="1">
      <c r="A73" s="98" t="s">
        <v>460</v>
      </c>
      <c r="B73" s="98">
        <v>180320</v>
      </c>
      <c r="C73" s="230" t="s">
        <v>35</v>
      </c>
      <c r="D73" s="1" t="s">
        <v>52</v>
      </c>
      <c r="E73" s="24">
        <v>45360</v>
      </c>
      <c r="F73" s="12"/>
      <c r="G73" s="12"/>
      <c r="H73" s="1"/>
      <c r="I73" s="1"/>
      <c r="J73" s="1"/>
      <c r="K73" s="2" t="s">
        <v>40</v>
      </c>
      <c r="L73" s="1" t="s">
        <v>55</v>
      </c>
      <c r="M73" s="3" t="s">
        <v>42</v>
      </c>
      <c r="N73" s="1" t="s">
        <v>43</v>
      </c>
      <c r="O73" s="267" t="s">
        <v>461</v>
      </c>
      <c r="P73" s="100">
        <v>40725</v>
      </c>
      <c r="Q73" s="125" t="s">
        <v>57</v>
      </c>
      <c r="R73" s="235" t="s">
        <v>462</v>
      </c>
      <c r="S73" s="244" t="s">
        <v>463</v>
      </c>
      <c r="T73" s="12" t="s">
        <v>299</v>
      </c>
      <c r="U73" s="8" t="e">
        <f>VLOOKUP('IMPO TERR'!T73,#REF!,2,0)</f>
        <v>#REF!</v>
      </c>
      <c r="V73" s="82" t="s">
        <v>464</v>
      </c>
      <c r="W73" s="79" t="s">
        <v>465</v>
      </c>
      <c r="X73" s="245">
        <v>46095</v>
      </c>
      <c r="Y73" s="245">
        <v>46096</v>
      </c>
      <c r="Z73" s="59">
        <v>46091</v>
      </c>
      <c r="AA73" s="146">
        <v>4090180320</v>
      </c>
      <c r="AB73" s="25">
        <v>46097</v>
      </c>
      <c r="AC73" s="256">
        <v>46097</v>
      </c>
      <c r="AD73" s="46">
        <v>46098</v>
      </c>
      <c r="AE73" s="243">
        <v>141613</v>
      </c>
      <c r="AF73" s="240">
        <v>34020000</v>
      </c>
      <c r="AG73" s="9"/>
      <c r="AH73" s="31"/>
    </row>
    <row r="74" spans="1:34" ht="24.75" customHeight="1">
      <c r="A74" s="98" t="s">
        <v>466</v>
      </c>
      <c r="B74" s="98">
        <v>180328</v>
      </c>
      <c r="C74" s="230" t="s">
        <v>35</v>
      </c>
      <c r="D74" s="4" t="s">
        <v>36</v>
      </c>
      <c r="E74" s="24">
        <v>46090</v>
      </c>
      <c r="F74" s="12"/>
      <c r="G74" s="12" t="s">
        <v>467</v>
      </c>
      <c r="H74" s="1"/>
      <c r="I74" s="1"/>
      <c r="J74" s="1"/>
      <c r="K74" s="1" t="s">
        <v>54</v>
      </c>
      <c r="L74" s="1" t="s">
        <v>41</v>
      </c>
      <c r="M74" s="3" t="s">
        <v>42</v>
      </c>
      <c r="N74" s="1" t="s">
        <v>43</v>
      </c>
      <c r="O74" s="267" t="s">
        <v>468</v>
      </c>
      <c r="P74" s="100">
        <v>39870</v>
      </c>
      <c r="Q74" s="125" t="s">
        <v>171</v>
      </c>
      <c r="R74" s="235" t="s">
        <v>469</v>
      </c>
      <c r="S74" s="244" t="s">
        <v>470</v>
      </c>
      <c r="T74" s="12" t="s">
        <v>60</v>
      </c>
      <c r="U74" s="8" t="e">
        <f>VLOOKUP('IMPO TERR'!T74,#REF!,2,0)</f>
        <v>#REF!</v>
      </c>
      <c r="V74" s="69" t="s">
        <v>471</v>
      </c>
      <c r="W74" s="70"/>
      <c r="X74" s="245">
        <v>46093</v>
      </c>
      <c r="Y74" s="245">
        <v>46094</v>
      </c>
      <c r="Z74" s="24">
        <v>46093</v>
      </c>
      <c r="AA74" s="146">
        <v>4090180328</v>
      </c>
      <c r="AB74" s="25">
        <v>46094</v>
      </c>
      <c r="AC74" s="45">
        <v>46094</v>
      </c>
      <c r="AD74" s="64">
        <v>46095</v>
      </c>
      <c r="AE74" s="243">
        <v>141594</v>
      </c>
      <c r="AF74" s="243" t="s">
        <v>472</v>
      </c>
      <c r="AG74" s="9"/>
      <c r="AH74" s="31"/>
    </row>
    <row r="75" spans="1:34" ht="24.75" customHeight="1">
      <c r="A75" s="98" t="s">
        <v>473</v>
      </c>
      <c r="B75" s="98">
        <v>180329</v>
      </c>
      <c r="C75" s="230" t="s">
        <v>35</v>
      </c>
      <c r="D75" s="4" t="s">
        <v>36</v>
      </c>
      <c r="E75" s="24">
        <v>46090</v>
      </c>
      <c r="F75" s="12"/>
      <c r="G75" s="12"/>
      <c r="H75" s="1"/>
      <c r="I75" s="1"/>
      <c r="J75" s="1"/>
      <c r="K75" s="1" t="s">
        <v>40</v>
      </c>
      <c r="L75" s="1" t="s">
        <v>196</v>
      </c>
      <c r="M75" s="3" t="s">
        <v>42</v>
      </c>
      <c r="N75" s="1" t="s">
        <v>43</v>
      </c>
      <c r="O75" s="267" t="s">
        <v>474</v>
      </c>
      <c r="P75" s="100"/>
      <c r="Q75" s="125" t="s">
        <v>198</v>
      </c>
      <c r="R75" s="15" t="s">
        <v>475</v>
      </c>
      <c r="S75" s="1" t="s">
        <v>476</v>
      </c>
      <c r="T75" s="12" t="s">
        <v>299</v>
      </c>
      <c r="U75" s="8" t="e">
        <f>VLOOKUP('IMPO TERR'!T75,#REF!,2,0)</f>
        <v>#REF!</v>
      </c>
      <c r="V75" s="69" t="s">
        <v>477</v>
      </c>
      <c r="W75" s="70" t="s">
        <v>478</v>
      </c>
      <c r="X75" s="245">
        <v>46091</v>
      </c>
      <c r="Y75" s="245">
        <v>46092</v>
      </c>
      <c r="Z75" s="136">
        <v>46092</v>
      </c>
      <c r="AA75" s="146">
        <v>4090180329</v>
      </c>
      <c r="AB75" s="25">
        <v>46092</v>
      </c>
      <c r="AC75" s="251">
        <v>46092</v>
      </c>
      <c r="AD75" s="247">
        <v>46092</v>
      </c>
      <c r="AE75" s="243">
        <v>141569</v>
      </c>
      <c r="AF75" s="240">
        <v>29110000</v>
      </c>
      <c r="AG75" s="9"/>
      <c r="AH75" s="31"/>
    </row>
    <row r="76" spans="1:34" ht="24.75" customHeight="1">
      <c r="A76" s="98" t="s">
        <v>479</v>
      </c>
      <c r="B76" s="98">
        <v>180331</v>
      </c>
      <c r="C76" s="230" t="s">
        <v>35</v>
      </c>
      <c r="D76" s="4" t="s">
        <v>36</v>
      </c>
      <c r="E76" s="24">
        <v>46090</v>
      </c>
      <c r="F76" s="12"/>
      <c r="G76" s="12" t="s">
        <v>480</v>
      </c>
      <c r="H76" s="1"/>
      <c r="I76" s="1"/>
      <c r="J76" s="1"/>
      <c r="K76" s="1" t="s">
        <v>40</v>
      </c>
      <c r="L76" s="1" t="s">
        <v>196</v>
      </c>
      <c r="M76" s="3" t="s">
        <v>42</v>
      </c>
      <c r="N76" s="1" t="s">
        <v>43</v>
      </c>
      <c r="O76" s="267" t="s">
        <v>481</v>
      </c>
      <c r="P76" s="145" t="s">
        <v>482</v>
      </c>
      <c r="Q76" s="125"/>
      <c r="R76" s="235" t="s">
        <v>483</v>
      </c>
      <c r="S76" s="244" t="s">
        <v>484</v>
      </c>
      <c r="T76" s="12" t="s">
        <v>485</v>
      </c>
      <c r="U76" s="8" t="s">
        <v>486</v>
      </c>
      <c r="V76" s="69" t="s">
        <v>487</v>
      </c>
      <c r="W76" s="70" t="s">
        <v>488</v>
      </c>
      <c r="X76" s="245">
        <v>46093</v>
      </c>
      <c r="Y76" s="55">
        <v>46093</v>
      </c>
      <c r="Z76" s="55">
        <v>46092</v>
      </c>
      <c r="AA76" s="150">
        <v>4090180331</v>
      </c>
      <c r="AB76" s="25">
        <v>46093</v>
      </c>
      <c r="AC76" s="154">
        <v>46093</v>
      </c>
      <c r="AD76" s="51">
        <v>46094</v>
      </c>
      <c r="AE76" s="243">
        <v>141573</v>
      </c>
      <c r="AF76" s="240">
        <v>36780000</v>
      </c>
      <c r="AG76" s="9"/>
      <c r="AH76" s="31"/>
    </row>
    <row r="77" spans="1:34" ht="24.75" customHeight="1">
      <c r="A77" s="98" t="s">
        <v>489</v>
      </c>
      <c r="B77" s="98">
        <v>180332</v>
      </c>
      <c r="C77" s="230" t="s">
        <v>35</v>
      </c>
      <c r="D77" s="4" t="s">
        <v>36</v>
      </c>
      <c r="E77" s="24">
        <v>46304</v>
      </c>
      <c r="F77" s="12"/>
      <c r="G77" s="12"/>
      <c r="H77" s="1"/>
      <c r="I77" s="1"/>
      <c r="J77" s="1"/>
      <c r="K77" s="1" t="s">
        <v>40</v>
      </c>
      <c r="L77" s="1" t="s">
        <v>55</v>
      </c>
      <c r="M77" s="3" t="s">
        <v>42</v>
      </c>
      <c r="N77" s="1" t="s">
        <v>43</v>
      </c>
      <c r="O77" s="267" t="s">
        <v>490</v>
      </c>
      <c r="P77" s="100">
        <v>40352</v>
      </c>
      <c r="Q77" s="125"/>
      <c r="R77" s="235" t="s">
        <v>491</v>
      </c>
      <c r="S77" s="244" t="s">
        <v>492</v>
      </c>
      <c r="T77" s="12" t="s">
        <v>68</v>
      </c>
      <c r="U77" s="8" t="e">
        <f>VLOOKUP('IMPO TERR'!T77,#REF!,2,0)</f>
        <v>#REF!</v>
      </c>
      <c r="V77" s="69" t="s">
        <v>493</v>
      </c>
      <c r="W77" s="70"/>
      <c r="X77" s="250">
        <v>46094</v>
      </c>
      <c r="Y77" s="245">
        <v>46095</v>
      </c>
      <c r="Z77" s="24">
        <v>46092</v>
      </c>
      <c r="AA77" s="146">
        <v>4090180332</v>
      </c>
      <c r="AC77" s="256">
        <v>46095</v>
      </c>
      <c r="AD77" s="51">
        <v>46097</v>
      </c>
      <c r="AE77" s="243">
        <v>141606</v>
      </c>
      <c r="AF77" s="240">
        <v>9010000</v>
      </c>
      <c r="AG77" s="9"/>
      <c r="AH77" s="31"/>
    </row>
    <row r="78" spans="1:34" ht="24.75" customHeight="1">
      <c r="A78" s="98" t="s">
        <v>494</v>
      </c>
      <c r="B78" s="98">
        <v>180333</v>
      </c>
      <c r="C78" s="230" t="s">
        <v>35</v>
      </c>
      <c r="D78" s="4" t="s">
        <v>36</v>
      </c>
      <c r="E78" s="24">
        <v>46304</v>
      </c>
      <c r="F78" s="12"/>
      <c r="G78" s="12"/>
      <c r="H78" s="1"/>
      <c r="I78" s="1"/>
      <c r="J78" s="1"/>
      <c r="K78" s="1" t="s">
        <v>40</v>
      </c>
      <c r="L78" s="1" t="s">
        <v>55</v>
      </c>
      <c r="M78" s="3" t="s">
        <v>42</v>
      </c>
      <c r="N78" s="1" t="s">
        <v>43</v>
      </c>
      <c r="O78" s="267" t="s">
        <v>495</v>
      </c>
      <c r="P78" s="100">
        <v>40352</v>
      </c>
      <c r="Q78" s="125"/>
      <c r="R78" s="235" t="s">
        <v>491</v>
      </c>
      <c r="S78" s="244" t="s">
        <v>492</v>
      </c>
      <c r="T78" s="12" t="s">
        <v>68</v>
      </c>
      <c r="U78" s="8" t="e">
        <f>VLOOKUP('IMPO TERR'!T78,#REF!,2,0)</f>
        <v>#REF!</v>
      </c>
      <c r="V78" s="69" t="s">
        <v>493</v>
      </c>
      <c r="W78" s="70"/>
      <c r="X78" s="257">
        <v>46094</v>
      </c>
      <c r="Y78" s="257">
        <v>46095</v>
      </c>
      <c r="Z78" s="135">
        <v>46092</v>
      </c>
      <c r="AA78" s="146">
        <v>4090180333</v>
      </c>
      <c r="AC78" s="273">
        <v>46095</v>
      </c>
      <c r="AD78" s="46">
        <v>46097</v>
      </c>
      <c r="AE78" s="243">
        <v>141606</v>
      </c>
      <c r="AF78" s="240">
        <v>18520000</v>
      </c>
      <c r="AG78" s="9"/>
      <c r="AH78" s="31"/>
    </row>
    <row r="79" spans="1:34" ht="24.75" customHeight="1">
      <c r="A79" s="98" t="s">
        <v>496</v>
      </c>
      <c r="B79" s="98">
        <v>180334</v>
      </c>
      <c r="C79" s="230" t="s">
        <v>35</v>
      </c>
      <c r="D79" s="4" t="s">
        <v>36</v>
      </c>
      <c r="E79" s="24">
        <v>46090</v>
      </c>
      <c r="F79" s="12"/>
      <c r="G79" s="12"/>
      <c r="H79" s="1"/>
      <c r="I79" s="1"/>
      <c r="J79" s="1"/>
      <c r="K79" s="1" t="s">
        <v>40</v>
      </c>
      <c r="L79" s="1" t="s">
        <v>41</v>
      </c>
      <c r="M79" s="3" t="s">
        <v>42</v>
      </c>
      <c r="N79" s="1" t="s">
        <v>43</v>
      </c>
      <c r="O79" s="267" t="s">
        <v>497</v>
      </c>
      <c r="P79" s="100"/>
      <c r="Q79" s="126" t="s">
        <v>45</v>
      </c>
      <c r="R79" s="19" t="s">
        <v>498</v>
      </c>
      <c r="S79" s="244" t="s">
        <v>499</v>
      </c>
      <c r="T79" s="12" t="s">
        <v>68</v>
      </c>
      <c r="U79" s="8" t="e">
        <f>VLOOKUP('IMPO TERR'!T79,#REF!,2,0)</f>
        <v>#REF!</v>
      </c>
      <c r="V79" s="69" t="s">
        <v>500</v>
      </c>
      <c r="W79" s="70" t="s">
        <v>501</v>
      </c>
      <c r="X79" s="45">
        <v>46089</v>
      </c>
      <c r="Y79" s="245">
        <v>46090</v>
      </c>
      <c r="Z79" s="57">
        <v>46092</v>
      </c>
      <c r="AA79" s="146">
        <v>4090180334</v>
      </c>
      <c r="AB79" s="25">
        <v>46092</v>
      </c>
      <c r="AC79" s="251">
        <v>46092</v>
      </c>
      <c r="AD79" s="257">
        <v>46092</v>
      </c>
      <c r="AE79" s="243">
        <v>141566</v>
      </c>
      <c r="AF79" s="240">
        <v>25590000</v>
      </c>
      <c r="AG79" s="9"/>
      <c r="AH79" s="31"/>
    </row>
    <row r="80" spans="1:34" ht="24.75" customHeight="1">
      <c r="A80" s="98" t="s">
        <v>502</v>
      </c>
      <c r="B80" s="98">
        <v>180338</v>
      </c>
      <c r="C80" s="230" t="s">
        <v>35</v>
      </c>
      <c r="D80" s="4" t="s">
        <v>36</v>
      </c>
      <c r="E80" s="24">
        <v>46091</v>
      </c>
      <c r="F80" s="12"/>
      <c r="G80" s="12"/>
      <c r="H80" s="1"/>
      <c r="I80" s="1"/>
      <c r="J80" s="1"/>
      <c r="K80" s="1" t="s">
        <v>40</v>
      </c>
      <c r="L80" s="1" t="s">
        <v>196</v>
      </c>
      <c r="M80" s="3" t="s">
        <v>42</v>
      </c>
      <c r="N80" s="1" t="s">
        <v>43</v>
      </c>
      <c r="O80" s="267" t="s">
        <v>503</v>
      </c>
      <c r="P80" s="100"/>
      <c r="Q80" s="125" t="s">
        <v>198</v>
      </c>
      <c r="R80" s="15" t="s">
        <v>504</v>
      </c>
      <c r="S80" s="18" t="s">
        <v>505</v>
      </c>
      <c r="T80" s="12" t="s">
        <v>68</v>
      </c>
      <c r="U80" s="8" t="e">
        <f>VLOOKUP('IMPO TERR'!T80,#REF!,2,0)</f>
        <v>#REF!</v>
      </c>
      <c r="V80" s="69" t="s">
        <v>506</v>
      </c>
      <c r="W80" s="70" t="s">
        <v>507</v>
      </c>
      <c r="X80" s="245">
        <v>46091</v>
      </c>
      <c r="Y80" s="245">
        <v>46092</v>
      </c>
      <c r="Z80" s="24">
        <v>46091</v>
      </c>
      <c r="AA80" s="149">
        <v>4090180338</v>
      </c>
      <c r="AB80" s="25">
        <v>46091</v>
      </c>
      <c r="AC80" s="251">
        <v>46092</v>
      </c>
      <c r="AD80" s="245">
        <v>46092</v>
      </c>
      <c r="AE80" s="243">
        <v>141565</v>
      </c>
      <c r="AF80" s="240">
        <v>49300000</v>
      </c>
      <c r="AG80" s="9"/>
      <c r="AH80" s="31"/>
    </row>
    <row r="81" spans="1:34" ht="24.75" customHeight="1">
      <c r="A81" s="98" t="s">
        <v>508</v>
      </c>
      <c r="B81" s="98">
        <v>180339</v>
      </c>
      <c r="C81" s="230" t="s">
        <v>392</v>
      </c>
      <c r="D81" s="1" t="s">
        <v>52</v>
      </c>
      <c r="E81" s="24">
        <v>46091</v>
      </c>
      <c r="F81" s="12"/>
      <c r="G81" s="12"/>
      <c r="H81" s="1"/>
      <c r="I81" s="1"/>
      <c r="J81" s="1"/>
      <c r="K81" s="1" t="s">
        <v>54</v>
      </c>
      <c r="L81" s="1" t="s">
        <v>55</v>
      </c>
      <c r="M81" s="3" t="s">
        <v>42</v>
      </c>
      <c r="N81" s="1" t="s">
        <v>43</v>
      </c>
      <c r="O81" s="267" t="s">
        <v>509</v>
      </c>
      <c r="P81" s="100">
        <v>40765</v>
      </c>
      <c r="Q81" s="125"/>
      <c r="R81" s="235" t="s">
        <v>510</v>
      </c>
      <c r="S81" s="244" t="s">
        <v>511</v>
      </c>
      <c r="T81" s="12" t="s">
        <v>88</v>
      </c>
      <c r="U81" s="8" t="e">
        <f>VLOOKUP('IMPO TERR'!T81,#REF!,2,0)</f>
        <v>#REF!</v>
      </c>
      <c r="V81" s="89" t="s">
        <v>512</v>
      </c>
      <c r="W81" s="274" t="s">
        <v>513</v>
      </c>
      <c r="X81" s="245">
        <v>46095</v>
      </c>
      <c r="Y81" s="245">
        <v>46096</v>
      </c>
      <c r="Z81" s="59">
        <v>46092</v>
      </c>
      <c r="AA81" s="146">
        <v>4090180339</v>
      </c>
      <c r="AB81" s="25">
        <v>46097</v>
      </c>
      <c r="AC81" s="251">
        <v>46097</v>
      </c>
      <c r="AD81" s="235" t="s">
        <v>52</v>
      </c>
      <c r="AE81" s="243">
        <v>141636</v>
      </c>
      <c r="AF81" s="240">
        <v>24530000</v>
      </c>
      <c r="AG81" s="9"/>
      <c r="AH81" s="31"/>
    </row>
    <row r="82" spans="1:34" ht="24.75" customHeight="1">
      <c r="A82" s="98" t="s">
        <v>514</v>
      </c>
      <c r="B82" s="98">
        <v>180340</v>
      </c>
      <c r="C82" s="230" t="s">
        <v>35</v>
      </c>
      <c r="D82" s="4" t="s">
        <v>36</v>
      </c>
      <c r="E82" s="24">
        <v>46091</v>
      </c>
      <c r="F82" s="12"/>
      <c r="G82" s="12"/>
      <c r="H82" s="1"/>
      <c r="I82" s="1"/>
      <c r="J82" s="1"/>
      <c r="K82" s="1" t="s">
        <v>40</v>
      </c>
      <c r="L82" s="1" t="s">
        <v>55</v>
      </c>
      <c r="M82" s="3" t="s">
        <v>42</v>
      </c>
      <c r="N82" s="1" t="s">
        <v>43</v>
      </c>
      <c r="O82" s="267" t="s">
        <v>515</v>
      </c>
      <c r="P82" s="100">
        <v>40471</v>
      </c>
      <c r="Q82" s="125"/>
      <c r="R82" s="235" t="s">
        <v>516</v>
      </c>
      <c r="S82" s="244" t="s">
        <v>517</v>
      </c>
      <c r="T82" s="12" t="s">
        <v>68</v>
      </c>
      <c r="U82" s="8" t="e">
        <f>VLOOKUP('IMPO TERR'!T82,#REF!,2,0)</f>
        <v>#REF!</v>
      </c>
      <c r="V82" s="235" t="s">
        <v>518</v>
      </c>
      <c r="W82" s="99" t="s">
        <v>519</v>
      </c>
      <c r="X82" s="245">
        <v>46094</v>
      </c>
      <c r="Y82" s="245">
        <v>46095</v>
      </c>
      <c r="Z82" s="24">
        <v>46092</v>
      </c>
      <c r="AA82" s="146">
        <v>4090180340</v>
      </c>
      <c r="AC82" s="251">
        <v>46095</v>
      </c>
      <c r="AD82" s="245">
        <v>46098</v>
      </c>
      <c r="AE82" s="243">
        <v>141605</v>
      </c>
      <c r="AF82" s="240">
        <v>13560000</v>
      </c>
      <c r="AG82" s="9"/>
      <c r="AH82" s="31"/>
    </row>
    <row r="83" spans="1:34" ht="24.75" customHeight="1">
      <c r="A83" s="98" t="s">
        <v>520</v>
      </c>
      <c r="B83" s="98">
        <v>180341</v>
      </c>
      <c r="C83" s="230" t="s">
        <v>35</v>
      </c>
      <c r="D83" s="4" t="s">
        <v>36</v>
      </c>
      <c r="E83" s="58" t="s">
        <v>521</v>
      </c>
      <c r="F83" s="12"/>
      <c r="G83" s="12"/>
      <c r="H83" s="1"/>
      <c r="I83" s="1"/>
      <c r="J83" s="1"/>
      <c r="K83" s="1" t="s">
        <v>40</v>
      </c>
      <c r="L83" s="1" t="s">
        <v>55</v>
      </c>
      <c r="M83" s="3" t="s">
        <v>42</v>
      </c>
      <c r="N83" s="1" t="s">
        <v>43</v>
      </c>
      <c r="O83" s="267" t="s">
        <v>522</v>
      </c>
      <c r="P83" s="100">
        <v>40471</v>
      </c>
      <c r="R83" s="235" t="s">
        <v>516</v>
      </c>
      <c r="S83" s="161" t="s">
        <v>517</v>
      </c>
      <c r="T83" s="12" t="s">
        <v>68</v>
      </c>
      <c r="U83" s="8" t="e">
        <f>VLOOKUP('IMPO TERR'!T83,#REF!,2,0)</f>
        <v>#REF!</v>
      </c>
      <c r="V83" s="235" t="s">
        <v>518</v>
      </c>
      <c r="W83" s="99" t="s">
        <v>519</v>
      </c>
      <c r="X83" s="245">
        <v>46094</v>
      </c>
      <c r="Y83" s="245">
        <v>46095</v>
      </c>
      <c r="Z83" s="24">
        <v>46092</v>
      </c>
      <c r="AA83" s="146">
        <v>4090180341</v>
      </c>
      <c r="AC83" s="268">
        <v>46095</v>
      </c>
      <c r="AD83" s="245">
        <v>46098</v>
      </c>
      <c r="AE83" s="243">
        <v>141605</v>
      </c>
      <c r="AF83" s="240">
        <v>13640000</v>
      </c>
      <c r="AG83" s="9"/>
      <c r="AH83" s="31"/>
    </row>
    <row r="84" spans="1:34" ht="24.75" customHeight="1">
      <c r="A84" s="98" t="s">
        <v>523</v>
      </c>
      <c r="B84" s="98">
        <v>180356</v>
      </c>
      <c r="C84" s="230" t="s">
        <v>35</v>
      </c>
      <c r="D84" s="44" t="s">
        <v>36</v>
      </c>
      <c r="E84" s="24">
        <v>46091</v>
      </c>
      <c r="F84" s="12"/>
      <c r="G84" s="12"/>
      <c r="H84" s="1"/>
      <c r="I84" s="1"/>
      <c r="J84" s="1"/>
      <c r="K84" s="1" t="s">
        <v>40</v>
      </c>
      <c r="L84" s="1" t="s">
        <v>196</v>
      </c>
      <c r="M84" s="3" t="s">
        <v>42</v>
      </c>
      <c r="N84" s="1" t="s">
        <v>43</v>
      </c>
      <c r="O84" s="267" t="s">
        <v>524</v>
      </c>
      <c r="P84" s="100"/>
      <c r="Q84" s="125" t="s">
        <v>525</v>
      </c>
      <c r="R84" s="235" t="s">
        <v>526</v>
      </c>
      <c r="S84" s="244" t="s">
        <v>527</v>
      </c>
      <c r="T84" s="12" t="s">
        <v>68</v>
      </c>
      <c r="U84" s="8" t="e">
        <f>VLOOKUP('IMPO TERR'!T84,#REF!,2,0)</f>
        <v>#REF!</v>
      </c>
      <c r="V84" s="69" t="s">
        <v>528</v>
      </c>
      <c r="W84" s="79" t="s">
        <v>529</v>
      </c>
      <c r="X84" s="245">
        <v>46093</v>
      </c>
      <c r="Y84" s="104">
        <v>46093</v>
      </c>
      <c r="Z84" s="24">
        <v>46092</v>
      </c>
      <c r="AA84" s="146">
        <v>4090180356</v>
      </c>
      <c r="AB84" s="25">
        <v>46093</v>
      </c>
      <c r="AC84" s="130">
        <v>46094</v>
      </c>
      <c r="AD84" s="251">
        <v>46094</v>
      </c>
      <c r="AE84" s="243">
        <v>141148</v>
      </c>
      <c r="AF84" s="240">
        <v>49180000</v>
      </c>
      <c r="AG84" s="9"/>
      <c r="AH84" s="31"/>
    </row>
    <row r="85" spans="1:34" ht="24.75" customHeight="1">
      <c r="A85" s="98" t="s">
        <v>530</v>
      </c>
      <c r="B85" s="98">
        <v>180357</v>
      </c>
      <c r="C85" s="230" t="s">
        <v>35</v>
      </c>
      <c r="D85" s="4" t="s">
        <v>36</v>
      </c>
      <c r="E85" s="24">
        <v>46091</v>
      </c>
      <c r="F85" s="12"/>
      <c r="G85" s="12"/>
      <c r="H85" s="1"/>
      <c r="I85" s="1"/>
      <c r="J85" s="1"/>
      <c r="K85" s="1" t="s">
        <v>40</v>
      </c>
      <c r="L85" s="1" t="s">
        <v>196</v>
      </c>
      <c r="M85" s="3" t="s">
        <v>42</v>
      </c>
      <c r="N85" s="1" t="s">
        <v>43</v>
      </c>
      <c r="O85" s="267" t="s">
        <v>531</v>
      </c>
      <c r="P85" s="100"/>
      <c r="Q85" s="125" t="s">
        <v>198</v>
      </c>
      <c r="R85" s="235" t="s">
        <v>532</v>
      </c>
      <c r="S85" s="244" t="s">
        <v>533</v>
      </c>
      <c r="T85" s="12" t="s">
        <v>68</v>
      </c>
      <c r="U85" s="8" t="e">
        <f>VLOOKUP('IMPO TERR'!T85,#REF!,2,0)</f>
        <v>#REF!</v>
      </c>
      <c r="V85" s="69" t="s">
        <v>534</v>
      </c>
      <c r="W85" s="84" t="s">
        <v>535</v>
      </c>
      <c r="X85" s="91">
        <v>46092</v>
      </c>
      <c r="Y85" s="105">
        <v>46093</v>
      </c>
      <c r="Z85" s="24">
        <v>46093</v>
      </c>
      <c r="AA85" s="146">
        <v>4090180357</v>
      </c>
      <c r="AB85" s="25">
        <v>46093</v>
      </c>
      <c r="AC85" s="131">
        <v>46093</v>
      </c>
      <c r="AD85" s="256">
        <v>46093</v>
      </c>
      <c r="AE85" s="235">
        <v>141578</v>
      </c>
      <c r="AF85" s="240">
        <v>30550000</v>
      </c>
      <c r="AG85" s="9"/>
      <c r="AH85" s="31"/>
    </row>
    <row r="86" spans="1:34" ht="24.75" customHeight="1">
      <c r="A86" s="98" t="s">
        <v>536</v>
      </c>
      <c r="B86" s="98">
        <v>180358</v>
      </c>
      <c r="C86" s="230"/>
      <c r="D86" s="1" t="s">
        <v>52</v>
      </c>
      <c r="E86" s="24">
        <v>46091</v>
      </c>
      <c r="F86" s="12"/>
      <c r="G86" s="12"/>
      <c r="H86" s="1"/>
      <c r="I86" s="1"/>
      <c r="J86" s="1"/>
      <c r="K86" s="1" t="s">
        <v>54</v>
      </c>
      <c r="L86" s="1" t="s">
        <v>41</v>
      </c>
      <c r="M86" s="3" t="s">
        <v>42</v>
      </c>
      <c r="N86" s="1" t="s">
        <v>43</v>
      </c>
      <c r="O86" s="267" t="s">
        <v>537</v>
      </c>
      <c r="P86" s="100"/>
      <c r="Q86" s="125" t="s">
        <v>171</v>
      </c>
      <c r="R86" s="235" t="s">
        <v>538</v>
      </c>
      <c r="S86" s="244" t="s">
        <v>539</v>
      </c>
      <c r="T86" s="12" t="s">
        <v>88</v>
      </c>
      <c r="U86" s="8" t="e">
        <f>VLOOKUP('IMPO TERR'!T86,#REF!,2,0)</f>
        <v>#REF!</v>
      </c>
      <c r="V86" s="89" t="s">
        <v>540</v>
      </c>
      <c r="W86" s="79" t="s">
        <v>541</v>
      </c>
      <c r="X86" s="235"/>
      <c r="Y86" s="245"/>
      <c r="Z86" s="57">
        <v>46094</v>
      </c>
      <c r="AA86" s="146">
        <v>4090180358</v>
      </c>
      <c r="AC86" s="249"/>
      <c r="AD86" s="235"/>
      <c r="AE86" s="235"/>
      <c r="AF86" s="240">
        <v>14980000</v>
      </c>
      <c r="AG86" s="9"/>
      <c r="AH86" s="31"/>
    </row>
    <row r="87" spans="1:34" ht="24.75" customHeight="1">
      <c r="A87" s="98" t="s">
        <v>542</v>
      </c>
      <c r="B87" s="98">
        <v>180359</v>
      </c>
      <c r="C87" s="230" t="s">
        <v>392</v>
      </c>
      <c r="D87" s="1" t="s">
        <v>52</v>
      </c>
      <c r="E87" s="24">
        <v>46091</v>
      </c>
      <c r="F87" s="12"/>
      <c r="G87" s="12"/>
      <c r="H87" s="1"/>
      <c r="I87" s="1"/>
      <c r="J87" s="1"/>
      <c r="K87" s="1" t="s">
        <v>40</v>
      </c>
      <c r="L87" s="1" t="s">
        <v>41</v>
      </c>
      <c r="M87" s="3" t="s">
        <v>42</v>
      </c>
      <c r="N87" s="1" t="s">
        <v>43</v>
      </c>
      <c r="O87" s="8" t="s">
        <v>543</v>
      </c>
      <c r="P87" s="100">
        <v>41827</v>
      </c>
      <c r="Q87" s="125" t="s">
        <v>45</v>
      </c>
      <c r="R87" s="15" t="s">
        <v>544</v>
      </c>
      <c r="S87" s="1" t="s">
        <v>545</v>
      </c>
      <c r="T87" s="12" t="s">
        <v>68</v>
      </c>
      <c r="U87" s="8" t="e">
        <f>VLOOKUP('IMPO TERR'!T87,#REF!,2,0)</f>
        <v>#REF!</v>
      </c>
      <c r="V87" s="235" t="s">
        <v>546</v>
      </c>
      <c r="W87" s="70" t="s">
        <v>547</v>
      </c>
      <c r="X87" s="245">
        <v>46097</v>
      </c>
      <c r="Y87" s="245">
        <v>46098</v>
      </c>
      <c r="Z87" s="24">
        <v>46093</v>
      </c>
      <c r="AA87" s="149">
        <v>4090180359</v>
      </c>
      <c r="AB87" s="25">
        <v>46097</v>
      </c>
      <c r="AC87" s="243" t="s">
        <v>399</v>
      </c>
      <c r="AD87" s="235" t="s">
        <v>52</v>
      </c>
      <c r="AE87" s="235"/>
      <c r="AF87" s="240">
        <v>25420000</v>
      </c>
      <c r="AG87" s="9"/>
      <c r="AH87" s="31"/>
    </row>
    <row r="88" spans="1:34" ht="24.75" customHeight="1">
      <c r="A88" s="98" t="s">
        <v>548</v>
      </c>
      <c r="B88" s="98">
        <v>180360</v>
      </c>
      <c r="C88" s="230" t="s">
        <v>392</v>
      </c>
      <c r="D88" s="1" t="s">
        <v>52</v>
      </c>
      <c r="E88" s="24">
        <v>46091</v>
      </c>
      <c r="F88" s="12"/>
      <c r="G88" s="12"/>
      <c r="H88" s="1"/>
      <c r="I88" s="1"/>
      <c r="J88" s="1"/>
      <c r="K88" s="1" t="s">
        <v>40</v>
      </c>
      <c r="L88" s="1" t="s">
        <v>55</v>
      </c>
      <c r="M88" s="3" t="s">
        <v>42</v>
      </c>
      <c r="N88" s="1" t="s">
        <v>43</v>
      </c>
      <c r="O88" s="267" t="s">
        <v>549</v>
      </c>
      <c r="P88" s="100">
        <v>41146</v>
      </c>
      <c r="Q88" s="125" t="s">
        <v>57</v>
      </c>
      <c r="R88" s="15" t="s">
        <v>550</v>
      </c>
      <c r="S88" s="1" t="s">
        <v>551</v>
      </c>
      <c r="T88" s="12" t="s">
        <v>306</v>
      </c>
      <c r="U88" s="8" t="e">
        <f>VLOOKUP('IMPO TERR'!T88,#REF!,2,0)</f>
        <v>#REF!</v>
      </c>
      <c r="V88" s="275" t="s">
        <v>552</v>
      </c>
      <c r="W88" s="70" t="s">
        <v>553</v>
      </c>
      <c r="X88" s="245">
        <v>46096</v>
      </c>
      <c r="Y88" s="245">
        <v>46097</v>
      </c>
      <c r="Z88" s="103">
        <v>46093</v>
      </c>
      <c r="AA88" s="150">
        <v>4090180360</v>
      </c>
      <c r="AB88" s="25">
        <v>46097</v>
      </c>
      <c r="AC88" s="251">
        <v>46097</v>
      </c>
      <c r="AD88" s="235" t="s">
        <v>52</v>
      </c>
      <c r="AE88" s="235">
        <v>141622</v>
      </c>
      <c r="AF88" s="240">
        <v>28710000</v>
      </c>
      <c r="AG88" s="9"/>
      <c r="AH88" s="31"/>
    </row>
    <row r="89" spans="1:34" ht="24.75" customHeight="1">
      <c r="A89" s="98" t="s">
        <v>554</v>
      </c>
      <c r="B89" s="98">
        <v>180361</v>
      </c>
      <c r="C89" s="230" t="s">
        <v>392</v>
      </c>
      <c r="D89" s="4" t="s">
        <v>115</v>
      </c>
      <c r="E89" s="24">
        <v>46091</v>
      </c>
      <c r="F89" s="12"/>
      <c r="G89" s="12"/>
      <c r="H89" s="1"/>
      <c r="I89" s="1"/>
      <c r="J89" s="1"/>
      <c r="K89" s="1" t="s">
        <v>40</v>
      </c>
      <c r="L89" s="1" t="s">
        <v>55</v>
      </c>
      <c r="M89" s="3" t="s">
        <v>42</v>
      </c>
      <c r="N89" s="1" t="s">
        <v>43</v>
      </c>
      <c r="O89" s="267" t="s">
        <v>555</v>
      </c>
      <c r="P89" s="100">
        <v>40911</v>
      </c>
      <c r="Q89" s="125" t="s">
        <v>556</v>
      </c>
      <c r="R89" s="235" t="s">
        <v>557</v>
      </c>
      <c r="S89" s="244" t="s">
        <v>558</v>
      </c>
      <c r="T89" s="12" t="s">
        <v>148</v>
      </c>
      <c r="U89" s="8" t="e">
        <f>VLOOKUP('IMPO TERR'!T89,#REF!,2,0)</f>
        <v>#REF!</v>
      </c>
      <c r="V89" s="275" t="s">
        <v>559</v>
      </c>
      <c r="W89" s="70"/>
      <c r="X89" s="245">
        <v>46096</v>
      </c>
      <c r="Y89" s="245">
        <v>46097</v>
      </c>
      <c r="Z89" s="57">
        <v>46084</v>
      </c>
      <c r="AA89" s="150">
        <v>4090180361</v>
      </c>
      <c r="AB89" s="25">
        <v>46097</v>
      </c>
      <c r="AC89" s="251">
        <v>46098</v>
      </c>
      <c r="AD89" s="235" t="s">
        <v>52</v>
      </c>
      <c r="AE89" s="235">
        <v>141639</v>
      </c>
      <c r="AF89" s="240">
        <v>28790000</v>
      </c>
      <c r="AG89" s="9"/>
      <c r="AH89" s="31"/>
    </row>
    <row r="90" spans="1:34" ht="24.75" customHeight="1">
      <c r="A90" s="98" t="s">
        <v>560</v>
      </c>
      <c r="B90" s="98">
        <v>180365</v>
      </c>
      <c r="C90" s="230" t="s">
        <v>35</v>
      </c>
      <c r="D90" s="1" t="s">
        <v>52</v>
      </c>
      <c r="E90" s="24">
        <v>46091</v>
      </c>
      <c r="F90" s="12"/>
      <c r="G90" s="12"/>
      <c r="H90" s="1"/>
      <c r="I90" s="1"/>
      <c r="J90" s="1"/>
      <c r="K90" s="1" t="s">
        <v>40</v>
      </c>
      <c r="L90" s="1" t="s">
        <v>41</v>
      </c>
      <c r="M90" s="1" t="s">
        <v>42</v>
      </c>
      <c r="N90" s="1" t="s">
        <v>43</v>
      </c>
      <c r="O90" s="267" t="s">
        <v>561</v>
      </c>
      <c r="P90" s="100"/>
      <c r="Q90" s="125" t="s">
        <v>45</v>
      </c>
      <c r="R90" s="235" t="s">
        <v>562</v>
      </c>
      <c r="S90" s="244" t="s">
        <v>563</v>
      </c>
      <c r="T90" s="12" t="s">
        <v>68</v>
      </c>
      <c r="U90" s="8" t="e">
        <f>VLOOKUP('IMPO TERR'!T90,#REF!,2,0)</f>
        <v>#REF!</v>
      </c>
      <c r="V90" s="34" t="s">
        <v>564</v>
      </c>
      <c r="W90" s="92" t="s">
        <v>565</v>
      </c>
      <c r="X90" s="235"/>
      <c r="Y90" s="245"/>
      <c r="Z90" s="24">
        <v>46093</v>
      </c>
      <c r="AA90" s="146">
        <v>4090180365</v>
      </c>
      <c r="AC90" s="264"/>
      <c r="AD90" s="235"/>
      <c r="AE90" s="235"/>
      <c r="AF90" s="240">
        <v>24380000</v>
      </c>
      <c r="AG90" s="9"/>
      <c r="AH90" s="31"/>
    </row>
    <row r="91" spans="1:34" ht="24.75" customHeight="1">
      <c r="A91" s="98" t="s">
        <v>566</v>
      </c>
      <c r="B91" s="98">
        <v>180366</v>
      </c>
      <c r="C91" s="230" t="s">
        <v>392</v>
      </c>
      <c r="D91" s="4" t="s">
        <v>36</v>
      </c>
      <c r="E91" s="24">
        <v>46091</v>
      </c>
      <c r="F91" s="12"/>
      <c r="G91" s="12"/>
      <c r="H91" s="1"/>
      <c r="I91" s="1"/>
      <c r="J91" s="1"/>
      <c r="K91" s="1" t="s">
        <v>40</v>
      </c>
      <c r="L91" s="1" t="s">
        <v>55</v>
      </c>
      <c r="M91" s="1" t="s">
        <v>42</v>
      </c>
      <c r="N91" s="1" t="s">
        <v>43</v>
      </c>
      <c r="O91" s="267" t="s">
        <v>567</v>
      </c>
      <c r="P91" s="100">
        <v>40910</v>
      </c>
      <c r="Q91" s="125" t="s">
        <v>556</v>
      </c>
      <c r="R91" s="235" t="s">
        <v>568</v>
      </c>
      <c r="S91" s="244" t="s">
        <v>569</v>
      </c>
      <c r="T91" s="12" t="s">
        <v>299</v>
      </c>
      <c r="U91" s="8" t="e">
        <f>VLOOKUP('IMPO TERR'!T91,#REF!,2,0)</f>
        <v>#REF!</v>
      </c>
      <c r="V91" s="82" t="s">
        <v>570</v>
      </c>
      <c r="W91" s="80" t="s">
        <v>571</v>
      </c>
      <c r="X91" s="245">
        <v>46096</v>
      </c>
      <c r="Y91" s="245">
        <v>46097</v>
      </c>
      <c r="Z91" s="59">
        <v>46093</v>
      </c>
      <c r="AA91" s="146">
        <v>4090180366</v>
      </c>
      <c r="AB91" s="168">
        <v>46097</v>
      </c>
      <c r="AC91" s="46">
        <v>46098</v>
      </c>
      <c r="AD91" s="243" t="s">
        <v>52</v>
      </c>
      <c r="AE91" s="235"/>
      <c r="AF91" s="240">
        <v>34270000</v>
      </c>
      <c r="AG91" s="9"/>
      <c r="AH91" s="31"/>
    </row>
    <row r="92" spans="1:34" ht="24.75" customHeight="1">
      <c r="A92" s="98" t="s">
        <v>572</v>
      </c>
      <c r="B92" s="98">
        <v>180369</v>
      </c>
      <c r="C92" s="230"/>
      <c r="D92" s="1" t="s">
        <v>52</v>
      </c>
      <c r="E92" s="24">
        <v>46091</v>
      </c>
      <c r="F92" s="12"/>
      <c r="G92" s="12"/>
      <c r="H92" s="1"/>
      <c r="I92" s="1"/>
      <c r="J92" s="1"/>
      <c r="K92" s="1" t="s">
        <v>54</v>
      </c>
      <c r="L92" s="1" t="s">
        <v>41</v>
      </c>
      <c r="M92" s="1" t="s">
        <v>42</v>
      </c>
      <c r="N92" s="1" t="s">
        <v>43</v>
      </c>
      <c r="O92" s="267" t="s">
        <v>567</v>
      </c>
      <c r="P92" s="100"/>
      <c r="Q92" s="125" t="s">
        <v>171</v>
      </c>
      <c r="R92" s="235" t="s">
        <v>573</v>
      </c>
      <c r="S92" s="244" t="s">
        <v>574</v>
      </c>
      <c r="T92" s="12" t="s">
        <v>88</v>
      </c>
      <c r="U92" s="8" t="e">
        <f>VLOOKUP('IMPO TERR'!T92,#REF!,2,0)</f>
        <v>#REF!</v>
      </c>
      <c r="V92" s="82" t="s">
        <v>575</v>
      </c>
      <c r="W92" s="84" t="s">
        <v>576</v>
      </c>
      <c r="X92" s="235"/>
      <c r="Y92" s="245"/>
      <c r="Z92" s="24">
        <v>46093</v>
      </c>
      <c r="AA92" s="146">
        <v>4090180369</v>
      </c>
      <c r="AC92" s="249"/>
      <c r="AD92" s="235"/>
      <c r="AE92" s="235"/>
      <c r="AF92" s="240">
        <v>14830000</v>
      </c>
      <c r="AG92" s="9"/>
      <c r="AH92" s="31"/>
    </row>
    <row r="93" spans="1:34" ht="24.75" customHeight="1">
      <c r="A93" s="98" t="s">
        <v>577</v>
      </c>
      <c r="B93" s="98">
        <v>180370</v>
      </c>
      <c r="C93" s="230"/>
      <c r="D93" s="1" t="s">
        <v>52</v>
      </c>
      <c r="E93" s="24">
        <v>46091</v>
      </c>
      <c r="F93" s="12"/>
      <c r="G93" s="12"/>
      <c r="H93" s="1"/>
      <c r="I93" s="1"/>
      <c r="J93" s="1"/>
      <c r="K93" s="1" t="s">
        <v>40</v>
      </c>
      <c r="L93" s="1" t="s">
        <v>41</v>
      </c>
      <c r="M93" s="1" t="s">
        <v>42</v>
      </c>
      <c r="N93" s="1" t="s">
        <v>43</v>
      </c>
      <c r="O93" s="267" t="s">
        <v>578</v>
      </c>
      <c r="P93" s="100"/>
      <c r="Q93" s="125" t="s">
        <v>45</v>
      </c>
      <c r="R93" s="235" t="s">
        <v>579</v>
      </c>
      <c r="S93" s="244" t="s">
        <v>580</v>
      </c>
      <c r="T93" s="12" t="s">
        <v>68</v>
      </c>
      <c r="U93" s="8" t="e">
        <f>VLOOKUP('IMPO TERR'!T93,#REF!,2,0)</f>
        <v>#REF!</v>
      </c>
      <c r="V93" s="89" t="s">
        <v>581</v>
      </c>
      <c r="W93" s="79" t="s">
        <v>582</v>
      </c>
      <c r="X93" s="235"/>
      <c r="Y93" s="245"/>
      <c r="Z93" s="24">
        <v>46094</v>
      </c>
      <c r="AA93" s="146">
        <v>4090180370</v>
      </c>
      <c r="AC93" s="243"/>
      <c r="AD93" s="235"/>
      <c r="AE93" s="235"/>
      <c r="AF93" s="240">
        <v>24220000</v>
      </c>
      <c r="AG93" s="9"/>
      <c r="AH93" s="31"/>
    </row>
    <row r="94" spans="1:34" ht="24.75" customHeight="1">
      <c r="A94" s="98" t="s">
        <v>583</v>
      </c>
      <c r="B94" s="98">
        <v>180385</v>
      </c>
      <c r="C94" s="230"/>
      <c r="D94" s="1" t="s">
        <v>52</v>
      </c>
      <c r="E94" s="24">
        <v>46092</v>
      </c>
      <c r="F94" s="12"/>
      <c r="G94" s="12"/>
      <c r="H94" s="1"/>
      <c r="I94" s="1"/>
      <c r="J94" s="1"/>
      <c r="K94" s="1" t="s">
        <v>40</v>
      </c>
      <c r="L94" s="1" t="s">
        <v>41</v>
      </c>
      <c r="M94" s="1" t="s">
        <v>42</v>
      </c>
      <c r="N94" s="1" t="s">
        <v>43</v>
      </c>
      <c r="O94" s="267" t="s">
        <v>584</v>
      </c>
      <c r="P94" s="100"/>
      <c r="Q94" s="125" t="s">
        <v>45</v>
      </c>
      <c r="R94" s="235" t="s">
        <v>585</v>
      </c>
      <c r="S94" s="276" t="s">
        <v>586</v>
      </c>
      <c r="T94" s="12" t="s">
        <v>68</v>
      </c>
      <c r="U94" s="8" t="e">
        <f>VLOOKUP('IMPO TERR'!T94,#REF!,2,0)</f>
        <v>#REF!</v>
      </c>
      <c r="V94" s="235" t="s">
        <v>587</v>
      </c>
      <c r="W94" s="70" t="s">
        <v>588</v>
      </c>
      <c r="X94" s="235"/>
      <c r="Y94" s="245"/>
      <c r="Z94" s="24">
        <v>46093</v>
      </c>
      <c r="AA94" s="146">
        <v>4090180385</v>
      </c>
      <c r="AC94" s="243"/>
      <c r="AD94" s="235"/>
      <c r="AE94" s="235"/>
      <c r="AF94" s="240">
        <v>24270000</v>
      </c>
      <c r="AG94" s="9"/>
      <c r="AH94" s="31"/>
    </row>
    <row r="95" spans="1:34" ht="24.75" customHeight="1">
      <c r="A95" s="98" t="s">
        <v>589</v>
      </c>
      <c r="B95" s="98">
        <v>180400</v>
      </c>
      <c r="C95" s="230" t="s">
        <v>392</v>
      </c>
      <c r="D95" s="1" t="s">
        <v>52</v>
      </c>
      <c r="E95" s="24">
        <v>46092</v>
      </c>
      <c r="F95" s="12"/>
      <c r="G95" s="12"/>
      <c r="H95" s="1"/>
      <c r="I95" s="1"/>
      <c r="J95" s="1"/>
      <c r="K95" s="1" t="s">
        <v>54</v>
      </c>
      <c r="L95" s="1" t="s">
        <v>41</v>
      </c>
      <c r="M95" s="1" t="s">
        <v>42</v>
      </c>
      <c r="N95" s="1" t="s">
        <v>43</v>
      </c>
      <c r="O95" s="267" t="s">
        <v>590</v>
      </c>
      <c r="P95" s="100">
        <v>42173</v>
      </c>
      <c r="Q95" s="125" t="s">
        <v>45</v>
      </c>
      <c r="R95" s="235" t="s">
        <v>591</v>
      </c>
      <c r="S95" s="244" t="s">
        <v>592</v>
      </c>
      <c r="T95" s="12" t="s">
        <v>68</v>
      </c>
      <c r="U95" s="8" t="e">
        <f>VLOOKUP('IMPO TERR'!T95,#REF!,2,0)</f>
        <v>#REF!</v>
      </c>
      <c r="V95" s="93" t="s">
        <v>593</v>
      </c>
      <c r="W95" s="70">
        <v>57217642</v>
      </c>
      <c r="X95" s="245">
        <v>46097</v>
      </c>
      <c r="Y95" s="245">
        <v>46098</v>
      </c>
      <c r="Z95" s="24">
        <v>46094</v>
      </c>
      <c r="AA95" s="146">
        <v>4090180400</v>
      </c>
      <c r="AC95" s="243" t="s">
        <v>399</v>
      </c>
      <c r="AD95" s="235" t="s">
        <v>52</v>
      </c>
      <c r="AE95" s="235"/>
      <c r="AF95" s="240">
        <v>21200000</v>
      </c>
      <c r="AG95" s="9"/>
      <c r="AH95" s="31"/>
    </row>
    <row r="96" spans="1:34" ht="24.75" customHeight="1">
      <c r="A96" s="98" t="s">
        <v>594</v>
      </c>
      <c r="B96" s="98">
        <v>180401</v>
      </c>
      <c r="C96" s="230" t="s">
        <v>595</v>
      </c>
      <c r="D96" s="1" t="s">
        <v>52</v>
      </c>
      <c r="E96" s="24">
        <v>46092</v>
      </c>
      <c r="F96" s="12"/>
      <c r="G96" s="12"/>
      <c r="H96" s="1"/>
      <c r="I96" s="1"/>
      <c r="J96" s="1"/>
      <c r="K96" s="1" t="s">
        <v>54</v>
      </c>
      <c r="L96" s="1" t="s">
        <v>41</v>
      </c>
      <c r="M96" s="1" t="s">
        <v>42</v>
      </c>
      <c r="N96" s="1" t="s">
        <v>43</v>
      </c>
      <c r="O96" s="267" t="s">
        <v>596</v>
      </c>
      <c r="P96" s="100">
        <v>42786</v>
      </c>
      <c r="Q96" s="128" t="s">
        <v>178</v>
      </c>
      <c r="R96" s="235" t="s">
        <v>597</v>
      </c>
      <c r="S96" s="244" t="s">
        <v>598</v>
      </c>
      <c r="T96" s="12" t="s">
        <v>68</v>
      </c>
      <c r="U96" s="8" t="e">
        <f>VLOOKUP('IMPO TERR'!T96,#REF!,2,0)</f>
        <v>#REF!</v>
      </c>
      <c r="V96" s="82" t="s">
        <v>599</v>
      </c>
      <c r="W96" s="70" t="s">
        <v>600</v>
      </c>
      <c r="X96" s="245">
        <v>46098</v>
      </c>
      <c r="Y96" s="245" t="s">
        <v>52</v>
      </c>
      <c r="Z96" s="24">
        <v>46094</v>
      </c>
      <c r="AA96" s="146">
        <v>4090180401</v>
      </c>
      <c r="AC96" s="243" t="s">
        <v>52</v>
      </c>
      <c r="AD96" s="235" t="s">
        <v>52</v>
      </c>
      <c r="AE96" s="235"/>
      <c r="AF96" s="240">
        <v>21200000</v>
      </c>
      <c r="AG96" s="9"/>
      <c r="AH96" s="31"/>
    </row>
    <row r="97" spans="1:34" ht="24.75" customHeight="1">
      <c r="A97" s="98" t="s">
        <v>601</v>
      </c>
      <c r="B97" s="98">
        <v>180402</v>
      </c>
      <c r="C97" s="230" t="s">
        <v>35</v>
      </c>
      <c r="D97" s="1" t="s">
        <v>52</v>
      </c>
      <c r="E97" s="24">
        <v>46092</v>
      </c>
      <c r="F97" s="12"/>
      <c r="G97" s="12"/>
      <c r="H97" s="1"/>
      <c r="I97" s="1"/>
      <c r="J97" s="1"/>
      <c r="K97" s="1" t="s">
        <v>40</v>
      </c>
      <c r="L97" s="1" t="s">
        <v>41</v>
      </c>
      <c r="M97" s="1" t="s">
        <v>42</v>
      </c>
      <c r="N97" s="1" t="s">
        <v>43</v>
      </c>
      <c r="O97" s="267" t="s">
        <v>602</v>
      </c>
      <c r="P97" s="107"/>
      <c r="Q97" s="127"/>
      <c r="R97" s="235" t="s">
        <v>603</v>
      </c>
      <c r="S97" s="244" t="s">
        <v>604</v>
      </c>
      <c r="T97" s="12" t="s">
        <v>68</v>
      </c>
      <c r="U97" s="8" t="e">
        <f>VLOOKUP('IMPO TERR'!T97,#REF!,2,0)</f>
        <v>#REF!</v>
      </c>
      <c r="V97" s="94" t="s">
        <v>605</v>
      </c>
      <c r="W97" s="70" t="s">
        <v>606</v>
      </c>
      <c r="X97" s="235"/>
      <c r="Y97" s="245"/>
      <c r="Z97" s="24">
        <v>46095</v>
      </c>
      <c r="AA97" s="166">
        <v>4090180402</v>
      </c>
      <c r="AC97" s="243"/>
      <c r="AD97" s="235"/>
      <c r="AE97" s="235"/>
      <c r="AF97" s="240">
        <v>25760000</v>
      </c>
      <c r="AG97" s="9"/>
      <c r="AH97" s="31"/>
    </row>
    <row r="98" spans="1:34" ht="24.75" customHeight="1">
      <c r="A98" s="98" t="s">
        <v>607</v>
      </c>
      <c r="B98" s="98">
        <v>180403</v>
      </c>
      <c r="C98" s="230" t="s">
        <v>392</v>
      </c>
      <c r="D98" s="1" t="s">
        <v>52</v>
      </c>
      <c r="E98" s="24">
        <v>46092</v>
      </c>
      <c r="F98" s="12"/>
      <c r="G98" s="106" t="s">
        <v>608</v>
      </c>
      <c r="H98" s="1"/>
      <c r="I98" s="1"/>
      <c r="J98" s="1"/>
      <c r="K98" s="1" t="s">
        <v>40</v>
      </c>
      <c r="L98" s="1" t="s">
        <v>196</v>
      </c>
      <c r="M98" s="1" t="s">
        <v>42</v>
      </c>
      <c r="N98" s="1" t="s">
        <v>43</v>
      </c>
      <c r="O98" s="267" t="s">
        <v>609</v>
      </c>
      <c r="P98" s="186" t="s">
        <v>610</v>
      </c>
      <c r="Q98" s="127"/>
      <c r="R98" s="235" t="s">
        <v>611</v>
      </c>
      <c r="S98" s="244" t="s">
        <v>612</v>
      </c>
      <c r="T98" s="12" t="s">
        <v>485</v>
      </c>
      <c r="U98" s="8" t="e">
        <f>VLOOKUP('IMPO TERR'!T98,#REF!,2,0)</f>
        <v>#REF!</v>
      </c>
      <c r="V98" s="82" t="s">
        <v>613</v>
      </c>
      <c r="W98" s="277" t="s">
        <v>614</v>
      </c>
      <c r="X98" s="248">
        <v>46097</v>
      </c>
      <c r="Y98" s="245">
        <v>46098</v>
      </c>
      <c r="Z98" s="24">
        <v>46097</v>
      </c>
      <c r="AA98" s="146">
        <v>4090180403</v>
      </c>
      <c r="AC98" s="243" t="s">
        <v>52</v>
      </c>
      <c r="AD98" s="235" t="s">
        <v>52</v>
      </c>
      <c r="AE98" s="235"/>
      <c r="AF98" s="240">
        <v>35880000</v>
      </c>
      <c r="AG98" s="9"/>
      <c r="AH98" s="31"/>
    </row>
    <row r="99" spans="1:34" ht="24.75" customHeight="1">
      <c r="A99" s="98" t="s">
        <v>615</v>
      </c>
      <c r="B99" s="98">
        <v>180405</v>
      </c>
      <c r="C99" s="230" t="s">
        <v>595</v>
      </c>
      <c r="D99" s="1" t="s">
        <v>52</v>
      </c>
      <c r="E99" s="24">
        <v>46092</v>
      </c>
      <c r="F99" s="12"/>
      <c r="G99" s="12"/>
      <c r="H99" s="1"/>
      <c r="I99" s="1"/>
      <c r="J99" s="1"/>
      <c r="K99" s="1" t="s">
        <v>40</v>
      </c>
      <c r="L99" s="1" t="s">
        <v>41</v>
      </c>
      <c r="M99" s="1" t="s">
        <v>42</v>
      </c>
      <c r="N99" s="1" t="s">
        <v>43</v>
      </c>
      <c r="O99" s="267" t="s">
        <v>616</v>
      </c>
      <c r="P99" s="107">
        <v>42857</v>
      </c>
      <c r="Q99" s="107" t="s">
        <v>45</v>
      </c>
      <c r="R99" s="235" t="s">
        <v>617</v>
      </c>
      <c r="S99" s="244" t="s">
        <v>618</v>
      </c>
      <c r="T99" s="12" t="s">
        <v>68</v>
      </c>
      <c r="U99" s="8" t="e">
        <f>VLOOKUP('IMPO TERR'!T99,#REF!,2,0)</f>
        <v>#REF!</v>
      </c>
      <c r="V99" s="75" t="s">
        <v>619</v>
      </c>
      <c r="W99" s="70" t="s">
        <v>620</v>
      </c>
      <c r="X99" s="46">
        <v>46098</v>
      </c>
      <c r="Y99" s="251" t="s">
        <v>52</v>
      </c>
      <c r="Z99" s="59">
        <v>46094</v>
      </c>
      <c r="AA99" s="146">
        <v>4090180405</v>
      </c>
      <c r="AC99" s="243" t="s">
        <v>52</v>
      </c>
      <c r="AD99" s="235" t="s">
        <v>52</v>
      </c>
      <c r="AE99" s="235"/>
      <c r="AF99" s="240">
        <v>25090000</v>
      </c>
      <c r="AG99" s="9"/>
      <c r="AH99" s="31"/>
    </row>
    <row r="100" spans="1:34" ht="24.75" customHeight="1">
      <c r="A100" s="98" t="s">
        <v>621</v>
      </c>
      <c r="B100" s="98">
        <v>180407</v>
      </c>
      <c r="C100" s="230" t="s">
        <v>35</v>
      </c>
      <c r="D100" s="4" t="s">
        <v>36</v>
      </c>
      <c r="E100" s="24">
        <v>46092</v>
      </c>
      <c r="F100" s="12"/>
      <c r="G100" s="12"/>
      <c r="H100" s="1"/>
      <c r="I100" s="1"/>
      <c r="J100" s="39"/>
      <c r="K100" s="39" t="s">
        <v>54</v>
      </c>
      <c r="L100" s="39" t="s">
        <v>41</v>
      </c>
      <c r="M100" s="39" t="s">
        <v>42</v>
      </c>
      <c r="N100" s="39" t="s">
        <v>43</v>
      </c>
      <c r="O100" s="266" t="s">
        <v>622</v>
      </c>
      <c r="P100" s="100">
        <v>41498</v>
      </c>
      <c r="Q100" s="143" t="s">
        <v>623</v>
      </c>
      <c r="R100" s="235" t="s">
        <v>624</v>
      </c>
      <c r="S100" s="244" t="s">
        <v>625</v>
      </c>
      <c r="T100" s="12" t="s">
        <v>60</v>
      </c>
      <c r="U100" s="8" t="e">
        <f>VLOOKUP('IMPO TERR'!T100,#REF!,2,0)</f>
        <v>#REF!</v>
      </c>
      <c r="V100" s="235" t="s">
        <v>626</v>
      </c>
      <c r="W100" s="84" t="s">
        <v>627</v>
      </c>
      <c r="X100" s="257">
        <v>46097</v>
      </c>
      <c r="Y100" s="245">
        <v>46097</v>
      </c>
      <c r="Z100" s="24">
        <v>46093</v>
      </c>
      <c r="AA100" s="146">
        <v>4090180407</v>
      </c>
      <c r="AB100" s="25">
        <v>46097</v>
      </c>
      <c r="AC100" s="251">
        <v>46097</v>
      </c>
      <c r="AD100" s="245">
        <v>46098</v>
      </c>
      <c r="AE100" s="235">
        <v>141621</v>
      </c>
      <c r="AF100" s="240">
        <v>16090000</v>
      </c>
      <c r="AG100" s="9"/>
      <c r="AH100" s="31"/>
    </row>
    <row r="101" spans="1:34" ht="24.75" customHeight="1">
      <c r="A101" s="98" t="s">
        <v>628</v>
      </c>
      <c r="B101" s="98">
        <v>180408</v>
      </c>
      <c r="C101" s="230" t="s">
        <v>392</v>
      </c>
      <c r="D101" s="4" t="s">
        <v>36</v>
      </c>
      <c r="E101" s="24">
        <v>46092</v>
      </c>
      <c r="F101" s="12"/>
      <c r="G101" s="12"/>
      <c r="H101" s="1"/>
      <c r="I101" s="1"/>
      <c r="J101" s="1"/>
      <c r="K101" s="1" t="s">
        <v>40</v>
      </c>
      <c r="L101" s="1" t="s">
        <v>55</v>
      </c>
      <c r="M101" s="1" t="s">
        <v>42</v>
      </c>
      <c r="N101" s="1" t="s">
        <v>43</v>
      </c>
      <c r="O101" s="267" t="s">
        <v>629</v>
      </c>
      <c r="P101" s="100">
        <v>42034</v>
      </c>
      <c r="Q101" s="125"/>
      <c r="R101" s="235" t="s">
        <v>630</v>
      </c>
      <c r="S101" s="244" t="s">
        <v>631</v>
      </c>
      <c r="T101" s="12" t="s">
        <v>148</v>
      </c>
      <c r="U101" s="8" t="e">
        <f>VLOOKUP('IMPO TERR'!T101,#REF!,2,0)</f>
        <v>#REF!</v>
      </c>
      <c r="V101" s="275" t="s">
        <v>632</v>
      </c>
      <c r="W101" s="70" t="s">
        <v>633</v>
      </c>
      <c r="X101" s="245">
        <v>46097</v>
      </c>
      <c r="Y101" s="245">
        <v>46098</v>
      </c>
      <c r="Z101" s="24">
        <v>46095</v>
      </c>
      <c r="AA101" s="166">
        <v>4090180408</v>
      </c>
      <c r="AC101" s="264" t="s">
        <v>399</v>
      </c>
      <c r="AD101" s="235" t="s">
        <v>52</v>
      </c>
      <c r="AE101" s="235"/>
      <c r="AF101" s="240">
        <v>28740000</v>
      </c>
      <c r="AG101" s="9"/>
      <c r="AH101" s="31"/>
    </row>
    <row r="102" spans="1:34" ht="24.75" customHeight="1">
      <c r="A102" s="98" t="s">
        <v>634</v>
      </c>
      <c r="B102" s="98">
        <v>180409</v>
      </c>
      <c r="C102" s="230" t="s">
        <v>392</v>
      </c>
      <c r="D102" s="4" t="s">
        <v>36</v>
      </c>
      <c r="E102" s="24">
        <v>46092</v>
      </c>
      <c r="F102" s="12"/>
      <c r="G102" s="12"/>
      <c r="H102" s="1"/>
      <c r="I102" s="1"/>
      <c r="J102" s="1"/>
      <c r="K102" s="1" t="s">
        <v>40</v>
      </c>
      <c r="L102" s="1" t="s">
        <v>55</v>
      </c>
      <c r="M102" s="1" t="s">
        <v>42</v>
      </c>
      <c r="N102" s="1" t="s">
        <v>43</v>
      </c>
      <c r="O102" s="266" t="s">
        <v>635</v>
      </c>
      <c r="P102" s="100">
        <v>40915</v>
      </c>
      <c r="Q102" s="128" t="s">
        <v>556</v>
      </c>
      <c r="R102" s="235" t="s">
        <v>636</v>
      </c>
      <c r="S102" s="244" t="s">
        <v>637</v>
      </c>
      <c r="T102" s="12" t="s">
        <v>148</v>
      </c>
      <c r="U102" s="8" t="e">
        <f>VLOOKUP('IMPO TERR'!T102,#REF!,2,0)</f>
        <v>#REF!</v>
      </c>
      <c r="V102" s="275" t="s">
        <v>638</v>
      </c>
      <c r="W102" s="80" t="s">
        <v>639</v>
      </c>
      <c r="X102" s="245">
        <v>46096</v>
      </c>
      <c r="Y102" s="245">
        <v>46097</v>
      </c>
      <c r="Z102" s="103">
        <v>46094</v>
      </c>
      <c r="AA102" s="151">
        <v>4090180409</v>
      </c>
      <c r="AB102" s="168">
        <v>46097</v>
      </c>
      <c r="AC102" s="46">
        <v>46098</v>
      </c>
      <c r="AD102" s="243" t="s">
        <v>52</v>
      </c>
      <c r="AE102" s="235"/>
      <c r="AF102" s="240">
        <v>25360000</v>
      </c>
      <c r="AG102" s="9"/>
      <c r="AH102" s="31"/>
    </row>
    <row r="103" spans="1:34" ht="24.75" customHeight="1">
      <c r="A103" s="98" t="s">
        <v>640</v>
      </c>
      <c r="B103" s="98">
        <v>180410</v>
      </c>
      <c r="C103" s="230" t="s">
        <v>595</v>
      </c>
      <c r="D103" s="1" t="s">
        <v>52</v>
      </c>
      <c r="E103" s="24">
        <v>46092</v>
      </c>
      <c r="F103" s="12"/>
      <c r="G103" s="12"/>
      <c r="H103" s="1"/>
      <c r="I103" s="1"/>
      <c r="J103" s="1"/>
      <c r="K103" s="1" t="s">
        <v>40</v>
      </c>
      <c r="L103" s="1" t="s">
        <v>41</v>
      </c>
      <c r="M103" s="1" t="s">
        <v>42</v>
      </c>
      <c r="N103" s="1" t="s">
        <v>43</v>
      </c>
      <c r="O103" s="267" t="s">
        <v>641</v>
      </c>
      <c r="P103" s="107">
        <v>42858</v>
      </c>
      <c r="Q103" s="127" t="s">
        <v>45</v>
      </c>
      <c r="R103" s="235" t="s">
        <v>642</v>
      </c>
      <c r="S103" s="244" t="s">
        <v>643</v>
      </c>
      <c r="T103" s="12" t="s">
        <v>68</v>
      </c>
      <c r="U103" s="8" t="e">
        <f>VLOOKUP('IMPO TERR'!T103,#REF!,2,0)</f>
        <v>#REF!</v>
      </c>
      <c r="V103" s="77" t="s">
        <v>644</v>
      </c>
      <c r="W103" s="70" t="s">
        <v>645</v>
      </c>
      <c r="X103" s="248">
        <v>46098</v>
      </c>
      <c r="Y103" s="245" t="s">
        <v>52</v>
      </c>
      <c r="Z103" s="24">
        <v>46094</v>
      </c>
      <c r="AA103" s="146">
        <v>4090180410</v>
      </c>
      <c r="AC103" s="249" t="s">
        <v>52</v>
      </c>
      <c r="AD103" s="235" t="s">
        <v>52</v>
      </c>
      <c r="AE103" s="235"/>
      <c r="AF103" s="240">
        <v>25360000</v>
      </c>
      <c r="AG103" s="9"/>
      <c r="AH103" s="31"/>
    </row>
    <row r="104" spans="1:34" ht="24.75" customHeight="1">
      <c r="A104" s="98" t="s">
        <v>646</v>
      </c>
      <c r="B104" s="98">
        <v>180411</v>
      </c>
      <c r="C104" s="230" t="s">
        <v>595</v>
      </c>
      <c r="D104" s="1" t="s">
        <v>52</v>
      </c>
      <c r="E104" s="24">
        <v>46092</v>
      </c>
      <c r="F104" s="12"/>
      <c r="G104" s="12"/>
      <c r="H104" s="1"/>
      <c r="I104" s="1"/>
      <c r="J104" s="1"/>
      <c r="K104" s="1" t="s">
        <v>40</v>
      </c>
      <c r="L104" s="1" t="s">
        <v>41</v>
      </c>
      <c r="M104" s="1" t="s">
        <v>42</v>
      </c>
      <c r="N104" s="1" t="s">
        <v>43</v>
      </c>
      <c r="O104" s="267" t="s">
        <v>647</v>
      </c>
      <c r="P104" s="107"/>
      <c r="Q104" s="107"/>
      <c r="R104" s="235" t="s">
        <v>648</v>
      </c>
      <c r="S104" s="244" t="s">
        <v>649</v>
      </c>
      <c r="T104" s="12" t="s">
        <v>68</v>
      </c>
      <c r="U104" s="8" t="e">
        <f>VLOOKUP('IMPO TERR'!T104,#REF!,2,0)</f>
        <v>#REF!</v>
      </c>
      <c r="V104" s="69" t="s">
        <v>650</v>
      </c>
      <c r="W104" s="70" t="s">
        <v>651</v>
      </c>
      <c r="X104" s="46">
        <v>46098</v>
      </c>
      <c r="Y104" s="268" t="s">
        <v>52</v>
      </c>
      <c r="Z104" s="24">
        <v>46095</v>
      </c>
      <c r="AA104" s="166">
        <v>4090180411</v>
      </c>
      <c r="AC104" s="243" t="s">
        <v>52</v>
      </c>
      <c r="AD104" s="235" t="s">
        <v>52</v>
      </c>
      <c r="AE104" s="235"/>
      <c r="AF104" s="240">
        <v>22740000</v>
      </c>
      <c r="AG104" s="9"/>
      <c r="AH104" s="31"/>
    </row>
    <row r="105" spans="1:34" ht="24.75" customHeight="1">
      <c r="A105" s="98" t="s">
        <v>652</v>
      </c>
      <c r="B105" s="98">
        <v>180412</v>
      </c>
      <c r="C105" s="230" t="s">
        <v>392</v>
      </c>
      <c r="D105" s="1" t="s">
        <v>52</v>
      </c>
      <c r="E105" s="24">
        <v>46092</v>
      </c>
      <c r="F105" s="12"/>
      <c r="G105" s="12"/>
      <c r="H105" s="1"/>
      <c r="I105" s="1"/>
      <c r="J105" s="1"/>
      <c r="K105" s="1" t="s">
        <v>40</v>
      </c>
      <c r="L105" s="1" t="s">
        <v>55</v>
      </c>
      <c r="M105" s="1" t="s">
        <v>42</v>
      </c>
      <c r="N105" s="1" t="s">
        <v>43</v>
      </c>
      <c r="O105" s="267" t="s">
        <v>653</v>
      </c>
      <c r="P105" s="100">
        <v>42781</v>
      </c>
      <c r="Q105" s="143" t="s">
        <v>132</v>
      </c>
      <c r="R105" s="235" t="s">
        <v>654</v>
      </c>
      <c r="S105" s="244" t="s">
        <v>655</v>
      </c>
      <c r="T105" s="12" t="s">
        <v>68</v>
      </c>
      <c r="U105" s="8" t="e">
        <f>VLOOKUP('IMPO TERR'!T105,#REF!,2,0)</f>
        <v>#REF!</v>
      </c>
      <c r="W105" s="70"/>
      <c r="X105" s="265">
        <v>46098</v>
      </c>
      <c r="Y105" s="46">
        <v>46098</v>
      </c>
      <c r="Z105" s="171">
        <v>46094</v>
      </c>
      <c r="AA105" s="146">
        <v>4090180412</v>
      </c>
      <c r="AC105" s="243" t="s">
        <v>52</v>
      </c>
      <c r="AD105" s="235" t="s">
        <v>52</v>
      </c>
      <c r="AE105" s="235"/>
      <c r="AF105" s="240">
        <v>18270000</v>
      </c>
      <c r="AG105" s="9"/>
      <c r="AH105" s="31"/>
    </row>
    <row r="106" spans="1:34" ht="24.75" customHeight="1">
      <c r="A106" s="98" t="s">
        <v>656</v>
      </c>
      <c r="B106" s="98">
        <v>180413</v>
      </c>
      <c r="C106" s="230" t="s">
        <v>392</v>
      </c>
      <c r="D106" s="1" t="s">
        <v>52</v>
      </c>
      <c r="E106" s="24">
        <v>46092</v>
      </c>
      <c r="F106" s="12"/>
      <c r="G106" s="12"/>
      <c r="H106" s="1"/>
      <c r="I106" s="1"/>
      <c r="J106" s="1"/>
      <c r="K106" s="1" t="s">
        <v>40</v>
      </c>
      <c r="L106" s="1" t="s">
        <v>55</v>
      </c>
      <c r="M106" s="1" t="s">
        <v>42</v>
      </c>
      <c r="N106" s="1" t="s">
        <v>43</v>
      </c>
      <c r="O106" s="267" t="s">
        <v>657</v>
      </c>
      <c r="P106" s="100">
        <v>42781</v>
      </c>
      <c r="Q106" s="125" t="s">
        <v>132</v>
      </c>
      <c r="R106" s="235" t="s">
        <v>654</v>
      </c>
      <c r="S106" s="244" t="s">
        <v>655</v>
      </c>
      <c r="T106" s="12" t="s">
        <v>68</v>
      </c>
      <c r="U106" s="8" t="e">
        <f>VLOOKUP('IMPO TERR'!T106,#REF!,2,0)</f>
        <v>#REF!</v>
      </c>
      <c r="W106" s="70"/>
      <c r="X106" s="245">
        <v>46098</v>
      </c>
      <c r="Y106" s="257">
        <v>46098</v>
      </c>
      <c r="Z106" s="24">
        <v>46094</v>
      </c>
      <c r="AA106" s="166">
        <v>4090180413</v>
      </c>
      <c r="AC106" s="35" t="s">
        <v>52</v>
      </c>
      <c r="AD106" s="15" t="s">
        <v>52</v>
      </c>
      <c r="AE106" s="235"/>
      <c r="AF106" s="240">
        <v>8830000</v>
      </c>
      <c r="AG106" s="9"/>
      <c r="AH106" s="31"/>
    </row>
    <row r="107" spans="1:34" ht="24.75" customHeight="1">
      <c r="A107" s="98" t="s">
        <v>658</v>
      </c>
      <c r="B107" s="98">
        <v>180418</v>
      </c>
      <c r="C107" s="230"/>
      <c r="D107" s="1" t="s">
        <v>52</v>
      </c>
      <c r="E107" s="24">
        <v>46093</v>
      </c>
      <c r="F107" s="12"/>
      <c r="G107" s="12"/>
      <c r="H107" s="1"/>
      <c r="I107" s="1"/>
      <c r="J107" s="1"/>
      <c r="K107" s="1" t="s">
        <v>40</v>
      </c>
      <c r="L107" s="1" t="s">
        <v>41</v>
      </c>
      <c r="M107" s="1" t="s">
        <v>42</v>
      </c>
      <c r="N107" s="1" t="s">
        <v>43</v>
      </c>
      <c r="O107" s="267" t="s">
        <v>659</v>
      </c>
      <c r="P107" s="100"/>
      <c r="Q107" s="125" t="s">
        <v>45</v>
      </c>
      <c r="R107" s="235" t="s">
        <v>660</v>
      </c>
      <c r="S107" s="244" t="s">
        <v>661</v>
      </c>
      <c r="T107" s="12" t="s">
        <v>68</v>
      </c>
      <c r="U107" s="8" t="e">
        <f>VLOOKUP('IMPO TERR'!T107,#REF!,2,0)</f>
        <v>#REF!</v>
      </c>
      <c r="V107" s="69" t="s">
        <v>662</v>
      </c>
      <c r="W107" s="70" t="s">
        <v>663</v>
      </c>
      <c r="X107" s="235"/>
      <c r="Y107" s="245"/>
      <c r="Z107" s="24">
        <v>46094</v>
      </c>
      <c r="AA107" s="146">
        <v>4090180418</v>
      </c>
      <c r="AC107" s="35"/>
      <c r="AD107" s="15"/>
      <c r="AE107" s="235"/>
      <c r="AF107" s="240">
        <v>24820000</v>
      </c>
      <c r="AG107" s="9"/>
      <c r="AH107" s="31"/>
    </row>
    <row r="108" spans="1:34" ht="24.75" customHeight="1">
      <c r="A108" s="98" t="s">
        <v>664</v>
      </c>
      <c r="B108" s="98">
        <v>180419</v>
      </c>
      <c r="C108" s="230"/>
      <c r="D108" s="1" t="s">
        <v>52</v>
      </c>
      <c r="E108" s="24">
        <v>46093</v>
      </c>
      <c r="F108" s="12"/>
      <c r="G108" s="12"/>
      <c r="H108" s="1"/>
      <c r="I108" s="1"/>
      <c r="J108" s="1"/>
      <c r="K108" s="1" t="s">
        <v>40</v>
      </c>
      <c r="L108" s="1" t="s">
        <v>41</v>
      </c>
      <c r="M108" s="1" t="s">
        <v>42</v>
      </c>
      <c r="N108" s="1" t="s">
        <v>43</v>
      </c>
      <c r="O108" s="267" t="s">
        <v>665</v>
      </c>
      <c r="P108" s="100"/>
      <c r="Q108" s="128" t="s">
        <v>45</v>
      </c>
      <c r="R108" s="235" t="s">
        <v>666</v>
      </c>
      <c r="S108" s="244" t="s">
        <v>667</v>
      </c>
      <c r="T108" s="12" t="s">
        <v>88</v>
      </c>
      <c r="U108" s="8" t="e">
        <f>VLOOKUP('IMPO TERR'!T108,#REF!,2,0)</f>
        <v>#REF!</v>
      </c>
      <c r="V108" s="69" t="s">
        <v>668</v>
      </c>
      <c r="W108" s="70" t="s">
        <v>669</v>
      </c>
      <c r="X108" s="269"/>
      <c r="Y108" s="245"/>
      <c r="Z108" s="24">
        <v>46094</v>
      </c>
      <c r="AA108" s="146">
        <v>4090180419</v>
      </c>
      <c r="AC108" s="35"/>
      <c r="AD108" s="15"/>
      <c r="AE108" s="235"/>
      <c r="AF108" s="240">
        <v>25210000</v>
      </c>
      <c r="AG108" s="9"/>
      <c r="AH108" s="31"/>
    </row>
    <row r="109" spans="1:34" ht="24.75" customHeight="1">
      <c r="A109" s="98" t="s">
        <v>670</v>
      </c>
      <c r="B109" s="98">
        <v>180420</v>
      </c>
      <c r="C109" s="230" t="s">
        <v>392</v>
      </c>
      <c r="D109" s="1" t="s">
        <v>52</v>
      </c>
      <c r="E109" s="24">
        <v>46093</v>
      </c>
      <c r="F109" s="12"/>
      <c r="G109" s="12" t="s">
        <v>671</v>
      </c>
      <c r="H109" s="1"/>
      <c r="I109" s="1"/>
      <c r="J109" s="1"/>
      <c r="K109" s="1" t="s">
        <v>54</v>
      </c>
      <c r="L109" s="1" t="s">
        <v>41</v>
      </c>
      <c r="M109" s="1" t="s">
        <v>42</v>
      </c>
      <c r="N109" s="1" t="s">
        <v>43</v>
      </c>
      <c r="O109" s="267" t="s">
        <v>672</v>
      </c>
      <c r="P109" s="107">
        <v>42692</v>
      </c>
      <c r="Q109" s="107"/>
      <c r="R109" s="269" t="s">
        <v>673</v>
      </c>
      <c r="S109" s="244" t="s">
        <v>674</v>
      </c>
      <c r="T109" s="12" t="s">
        <v>88</v>
      </c>
      <c r="U109" s="8" t="e">
        <f>VLOOKUP('IMPO TERR'!T109,#REF!,2,0)</f>
        <v>#REF!</v>
      </c>
      <c r="V109" s="69" t="s">
        <v>675</v>
      </c>
      <c r="W109" s="70" t="s">
        <v>676</v>
      </c>
      <c r="X109" s="51">
        <v>46098</v>
      </c>
      <c r="Y109" s="251">
        <v>46098</v>
      </c>
      <c r="Z109" s="1" t="s">
        <v>677</v>
      </c>
      <c r="AA109" s="8">
        <v>4090180420</v>
      </c>
      <c r="AC109" s="35" t="s">
        <v>52</v>
      </c>
      <c r="AD109" s="15" t="s">
        <v>52</v>
      </c>
      <c r="AE109" s="235"/>
      <c r="AF109" s="240">
        <v>14420000</v>
      </c>
      <c r="AG109" s="9"/>
      <c r="AH109" s="31"/>
    </row>
    <row r="110" spans="1:34" ht="24.75" customHeight="1">
      <c r="A110" s="98" t="s">
        <v>678</v>
      </c>
      <c r="B110" s="98">
        <v>180423</v>
      </c>
      <c r="C110" s="230" t="s">
        <v>392</v>
      </c>
      <c r="D110" s="1" t="s">
        <v>52</v>
      </c>
      <c r="E110" s="24">
        <v>46093</v>
      </c>
      <c r="F110" s="12"/>
      <c r="G110" s="12" t="s">
        <v>679</v>
      </c>
      <c r="H110" s="1"/>
      <c r="I110" s="1"/>
      <c r="J110" s="1"/>
      <c r="K110" s="1" t="s">
        <v>54</v>
      </c>
      <c r="L110" s="1" t="s">
        <v>41</v>
      </c>
      <c r="M110" s="1" t="s">
        <v>42</v>
      </c>
      <c r="N110" s="1" t="s">
        <v>43</v>
      </c>
      <c r="O110" s="267" t="s">
        <v>680</v>
      </c>
      <c r="P110" s="100">
        <v>42692</v>
      </c>
      <c r="Q110" s="143"/>
      <c r="R110" s="19" t="s">
        <v>673</v>
      </c>
      <c r="S110" s="278" t="s">
        <v>674</v>
      </c>
      <c r="T110" s="12" t="s">
        <v>88</v>
      </c>
      <c r="U110" s="8" t="e">
        <f>VLOOKUP('IMPO TERR'!T110,#REF!,2,0)</f>
        <v>#REF!</v>
      </c>
      <c r="V110" s="69" t="s">
        <v>675</v>
      </c>
      <c r="W110" s="70" t="s">
        <v>676</v>
      </c>
      <c r="X110" s="46">
        <v>46098</v>
      </c>
      <c r="Y110" s="251">
        <v>46098</v>
      </c>
      <c r="Z110" s="1" t="s">
        <v>677</v>
      </c>
      <c r="AA110" s="8">
        <v>4090180423</v>
      </c>
      <c r="AC110" s="35" t="s">
        <v>52</v>
      </c>
      <c r="AD110" s="15" t="s">
        <v>52</v>
      </c>
      <c r="AE110" s="235"/>
      <c r="AF110" s="240">
        <v>3540000</v>
      </c>
      <c r="AG110" s="9"/>
      <c r="AH110" s="31"/>
    </row>
    <row r="111" spans="1:34" ht="24.75" customHeight="1">
      <c r="A111" s="98" t="s">
        <v>681</v>
      </c>
      <c r="B111" s="98">
        <v>180433</v>
      </c>
      <c r="C111" s="230" t="s">
        <v>35</v>
      </c>
      <c r="D111" s="1" t="s">
        <v>52</v>
      </c>
      <c r="E111" s="24">
        <v>46093</v>
      </c>
      <c r="F111" s="12"/>
      <c r="G111" s="12" t="s">
        <v>682</v>
      </c>
      <c r="H111" s="1"/>
      <c r="I111" s="1"/>
      <c r="J111" s="1"/>
      <c r="K111" s="1" t="s">
        <v>40</v>
      </c>
      <c r="L111" s="1" t="s">
        <v>41</v>
      </c>
      <c r="M111" s="1" t="s">
        <v>42</v>
      </c>
      <c r="N111" s="1" t="s">
        <v>43</v>
      </c>
      <c r="O111" s="8" t="s">
        <v>683</v>
      </c>
      <c r="P111" s="100"/>
      <c r="Q111" s="125"/>
      <c r="R111" s="279" t="s">
        <v>684</v>
      </c>
      <c r="S111" s="244" t="s">
        <v>685</v>
      </c>
      <c r="T111" s="12" t="s">
        <v>68</v>
      </c>
      <c r="U111" s="8" t="e">
        <f>VLOOKUP('IMPO TERR'!T111,#REF!,2,0)</f>
        <v>#REF!</v>
      </c>
      <c r="V111" s="69" t="s">
        <v>686</v>
      </c>
      <c r="W111" s="70" t="s">
        <v>687</v>
      </c>
      <c r="X111" s="279"/>
      <c r="Y111" s="245"/>
      <c r="Z111" s="24">
        <v>46097</v>
      </c>
      <c r="AA111" s="146">
        <v>4090180433</v>
      </c>
      <c r="AC111" s="35"/>
      <c r="AD111" s="15"/>
      <c r="AE111" s="235"/>
      <c r="AF111" s="240">
        <v>25980000</v>
      </c>
      <c r="AG111" s="9"/>
      <c r="AH111" s="31"/>
    </row>
    <row r="112" spans="1:34" ht="24.75" customHeight="1">
      <c r="A112" s="98" t="s">
        <v>688</v>
      </c>
      <c r="B112" s="98">
        <v>180436</v>
      </c>
      <c r="C112" s="230" t="s">
        <v>35</v>
      </c>
      <c r="D112" s="1" t="s">
        <v>52</v>
      </c>
      <c r="E112" s="24">
        <v>46093</v>
      </c>
      <c r="F112" s="12"/>
      <c r="G112" s="12"/>
      <c r="H112" s="1"/>
      <c r="I112" s="1"/>
      <c r="J112" s="1"/>
      <c r="K112" s="1" t="s">
        <v>40</v>
      </c>
      <c r="L112" s="1" t="s">
        <v>41</v>
      </c>
      <c r="M112" s="1" t="s">
        <v>42</v>
      </c>
      <c r="N112" s="1" t="s">
        <v>43</v>
      </c>
      <c r="O112" s="8" t="s">
        <v>689</v>
      </c>
      <c r="P112" s="100"/>
      <c r="Q112" s="125"/>
      <c r="R112" s="235" t="s">
        <v>690</v>
      </c>
      <c r="S112" s="244" t="s">
        <v>691</v>
      </c>
      <c r="T112" s="12" t="s">
        <v>68</v>
      </c>
      <c r="U112" s="8" t="e">
        <f>VLOOKUP('IMPO TERR'!T112,#REF!,2,0)</f>
        <v>#REF!</v>
      </c>
      <c r="V112" s="69" t="s">
        <v>692</v>
      </c>
      <c r="W112" s="70" t="s">
        <v>693</v>
      </c>
      <c r="X112" s="235"/>
      <c r="Y112" s="245"/>
      <c r="Z112" s="24">
        <v>46094</v>
      </c>
      <c r="AA112" s="146">
        <v>4090180436</v>
      </c>
      <c r="AC112" s="223"/>
      <c r="AD112" s="17"/>
      <c r="AE112" s="235"/>
      <c r="AF112" s="240">
        <v>24670000</v>
      </c>
      <c r="AG112" s="9"/>
      <c r="AH112" s="31"/>
    </row>
    <row r="113" spans="1:34" ht="24.75" customHeight="1">
      <c r="A113" s="98" t="s">
        <v>694</v>
      </c>
      <c r="B113" s="98">
        <v>180438</v>
      </c>
      <c r="C113" s="230" t="s">
        <v>35</v>
      </c>
      <c r="D113" s="4" t="s">
        <v>115</v>
      </c>
      <c r="E113" s="24">
        <v>46093</v>
      </c>
      <c r="F113" s="12"/>
      <c r="G113" s="12"/>
      <c r="H113" s="1"/>
      <c r="I113" s="1"/>
      <c r="J113" s="1"/>
      <c r="K113" s="1" t="s">
        <v>40</v>
      </c>
      <c r="L113" s="1" t="s">
        <v>41</v>
      </c>
      <c r="M113" s="1" t="s">
        <v>42</v>
      </c>
      <c r="N113" s="1" t="s">
        <v>43</v>
      </c>
      <c r="O113" s="8" t="s">
        <v>695</v>
      </c>
      <c r="P113" s="100">
        <v>41050</v>
      </c>
      <c r="Q113" s="125"/>
      <c r="R113" s="235" t="s">
        <v>696</v>
      </c>
      <c r="S113" s="244" t="s">
        <v>697</v>
      </c>
      <c r="T113" s="12" t="s">
        <v>698</v>
      </c>
      <c r="U113" s="8" t="s">
        <v>699</v>
      </c>
      <c r="V113" s="69" t="s">
        <v>700</v>
      </c>
      <c r="W113" s="70"/>
      <c r="X113" s="245">
        <v>46096</v>
      </c>
      <c r="Y113" s="245">
        <v>46097</v>
      </c>
      <c r="Z113" s="24">
        <v>46097</v>
      </c>
      <c r="AA113" s="166">
        <v>4090180438</v>
      </c>
      <c r="AB113" s="168">
        <v>46097</v>
      </c>
      <c r="AC113" s="46">
        <v>46098</v>
      </c>
      <c r="AD113" s="46">
        <v>46098</v>
      </c>
      <c r="AE113" s="243"/>
      <c r="AF113" s="240">
        <v>25900000</v>
      </c>
      <c r="AG113" s="9"/>
      <c r="AH113" s="31"/>
    </row>
    <row r="114" spans="1:34" ht="24.75" customHeight="1">
      <c r="A114" s="98" t="s">
        <v>701</v>
      </c>
      <c r="B114" s="98">
        <v>180441</v>
      </c>
      <c r="C114" s="230" t="s">
        <v>35</v>
      </c>
      <c r="D114" s="1" t="s">
        <v>52</v>
      </c>
      <c r="E114" s="24">
        <v>46093</v>
      </c>
      <c r="F114" s="12"/>
      <c r="G114" s="12"/>
      <c r="H114" s="1"/>
      <c r="I114" s="1"/>
      <c r="J114" s="1"/>
      <c r="K114" s="1" t="s">
        <v>54</v>
      </c>
      <c r="L114" s="1" t="s">
        <v>41</v>
      </c>
      <c r="M114" s="1" t="s">
        <v>42</v>
      </c>
      <c r="N114" s="1" t="s">
        <v>43</v>
      </c>
      <c r="O114" s="8" t="s">
        <v>702</v>
      </c>
      <c r="P114" s="100"/>
      <c r="Q114" s="125"/>
      <c r="R114" s="235" t="s">
        <v>703</v>
      </c>
      <c r="S114" s="244" t="s">
        <v>704</v>
      </c>
      <c r="T114" s="12" t="s">
        <v>68</v>
      </c>
      <c r="U114" s="8" t="e">
        <f>VLOOKUP('IMPO TERR'!T114,#REF!,2,0)</f>
        <v>#REF!</v>
      </c>
      <c r="V114" s="69" t="s">
        <v>705</v>
      </c>
      <c r="W114" s="70" t="s">
        <v>706</v>
      </c>
      <c r="X114" s="235"/>
      <c r="Y114" s="245"/>
      <c r="Z114" s="24">
        <v>46095</v>
      </c>
      <c r="AA114" s="96">
        <v>4090180441</v>
      </c>
      <c r="AC114" s="224"/>
      <c r="AD114" s="97"/>
      <c r="AE114" s="235"/>
      <c r="AF114" s="240">
        <v>20910000</v>
      </c>
      <c r="AG114" s="9"/>
      <c r="AH114" s="31"/>
    </row>
    <row r="115" spans="1:34" ht="24.75" customHeight="1">
      <c r="A115" s="98" t="s">
        <v>707</v>
      </c>
      <c r="B115" s="98">
        <v>180450</v>
      </c>
      <c r="C115" s="230" t="s">
        <v>392</v>
      </c>
      <c r="D115" s="4" t="s">
        <v>36</v>
      </c>
      <c r="E115" s="24">
        <v>46093</v>
      </c>
      <c r="F115" s="12"/>
      <c r="G115" s="12"/>
      <c r="H115" s="1"/>
      <c r="I115" s="1"/>
      <c r="J115" s="1"/>
      <c r="K115" s="1" t="s">
        <v>40</v>
      </c>
      <c r="L115" s="1" t="s">
        <v>55</v>
      </c>
      <c r="M115" s="1" t="s">
        <v>42</v>
      </c>
      <c r="N115" s="1" t="s">
        <v>43</v>
      </c>
      <c r="O115" s="8" t="s">
        <v>708</v>
      </c>
      <c r="P115" s="100">
        <v>41987</v>
      </c>
      <c r="Q115" s="125"/>
      <c r="R115" s="235" t="s">
        <v>709</v>
      </c>
      <c r="S115" s="244" t="s">
        <v>710</v>
      </c>
      <c r="T115" s="12" t="s">
        <v>68</v>
      </c>
      <c r="U115" s="8" t="e">
        <f>VLOOKUP('IMPO TERR'!T115,#REF!,2,0)</f>
        <v>#REF!</v>
      </c>
      <c r="V115" s="69" t="s">
        <v>711</v>
      </c>
      <c r="W115" s="70" t="s">
        <v>712</v>
      </c>
      <c r="X115" s="55">
        <v>46097</v>
      </c>
      <c r="Y115" s="245">
        <v>46098</v>
      </c>
      <c r="Z115" s="24">
        <v>46094</v>
      </c>
      <c r="AA115" s="146">
        <v>4090180450</v>
      </c>
      <c r="AB115" s="25">
        <v>46097</v>
      </c>
      <c r="AC115" s="35" t="s">
        <v>52</v>
      </c>
      <c r="AD115" s="15" t="s">
        <v>52</v>
      </c>
      <c r="AE115" s="235"/>
      <c r="AF115" s="240">
        <v>26190000</v>
      </c>
      <c r="AG115" s="9"/>
      <c r="AH115" s="31"/>
    </row>
    <row r="116" spans="1:34" ht="24.75" customHeight="1">
      <c r="A116" s="98" t="s">
        <v>713</v>
      </c>
      <c r="B116" s="98">
        <v>180456</v>
      </c>
      <c r="C116" s="230" t="s">
        <v>35</v>
      </c>
      <c r="D116" s="1" t="s">
        <v>52</v>
      </c>
      <c r="E116" s="24">
        <v>46093</v>
      </c>
      <c r="F116" s="12"/>
      <c r="G116" s="12"/>
      <c r="H116" s="1"/>
      <c r="I116" s="1"/>
      <c r="J116" s="1"/>
      <c r="K116" s="1" t="s">
        <v>40</v>
      </c>
      <c r="L116" s="1" t="s">
        <v>41</v>
      </c>
      <c r="M116" s="1" t="s">
        <v>42</v>
      </c>
      <c r="N116" s="1" t="s">
        <v>43</v>
      </c>
      <c r="O116" s="8" t="s">
        <v>714</v>
      </c>
      <c r="P116" s="100"/>
      <c r="Q116" s="125"/>
      <c r="R116" s="269"/>
      <c r="S116" s="244"/>
      <c r="T116" s="12" t="s">
        <v>68</v>
      </c>
      <c r="U116" s="8" t="e">
        <f>VLOOKUP('IMPO TERR'!T116,#REF!,2,0)</f>
        <v>#REF!</v>
      </c>
      <c r="W116" s="70"/>
      <c r="X116" s="269"/>
      <c r="Y116" s="245"/>
      <c r="Z116" s="1" t="s">
        <v>677</v>
      </c>
      <c r="AA116" s="8">
        <v>4090180456</v>
      </c>
      <c r="AC116" s="35"/>
      <c r="AD116" s="15"/>
      <c r="AE116" s="235"/>
      <c r="AF116" s="240">
        <v>23790000</v>
      </c>
      <c r="AG116" s="9"/>
      <c r="AH116" s="31"/>
    </row>
    <row r="117" spans="1:34" ht="24.75" customHeight="1">
      <c r="A117" s="98" t="s">
        <v>715</v>
      </c>
      <c r="B117" s="98">
        <v>180457</v>
      </c>
      <c r="C117" s="230" t="s">
        <v>392</v>
      </c>
      <c r="D117" s="1" t="s">
        <v>52</v>
      </c>
      <c r="E117" s="24">
        <v>12</v>
      </c>
      <c r="F117" s="12"/>
      <c r="G117" s="12"/>
      <c r="H117" s="1"/>
      <c r="I117" s="1"/>
      <c r="J117" s="1"/>
      <c r="K117" s="1" t="s">
        <v>40</v>
      </c>
      <c r="L117" s="1" t="s">
        <v>55</v>
      </c>
      <c r="M117" s="1" t="s">
        <v>42</v>
      </c>
      <c r="N117" s="1" t="s">
        <v>43</v>
      </c>
      <c r="O117" s="8" t="s">
        <v>716</v>
      </c>
      <c r="P117" s="100">
        <v>42796</v>
      </c>
      <c r="Q117" s="125"/>
      <c r="R117" s="19" t="s">
        <v>717</v>
      </c>
      <c r="S117" s="278" t="s">
        <v>718</v>
      </c>
      <c r="T117" s="12" t="s">
        <v>88</v>
      </c>
      <c r="U117" s="8" t="e">
        <f>VLOOKUP('IMPO TERR'!T117,#REF!,2,0)</f>
        <v>#REF!</v>
      </c>
      <c r="V117" s="163"/>
      <c r="W117" s="70"/>
      <c r="X117" s="46">
        <v>46098</v>
      </c>
      <c r="Y117" s="251">
        <v>46098</v>
      </c>
      <c r="Z117" s="24">
        <v>46097</v>
      </c>
      <c r="AA117" s="166">
        <v>4090180457</v>
      </c>
      <c r="AC117" s="35" t="s">
        <v>52</v>
      </c>
      <c r="AD117" s="15" t="s">
        <v>52</v>
      </c>
      <c r="AE117" s="235"/>
      <c r="AF117" s="240">
        <v>32880000</v>
      </c>
      <c r="AG117" s="9"/>
      <c r="AH117" s="31"/>
    </row>
    <row r="118" spans="1:34" ht="33" customHeight="1">
      <c r="A118" s="98" t="s">
        <v>719</v>
      </c>
      <c r="B118" s="98">
        <v>180458</v>
      </c>
      <c r="C118" s="230" t="s">
        <v>392</v>
      </c>
      <c r="D118" s="4" t="s">
        <v>36</v>
      </c>
      <c r="E118" s="24">
        <v>12</v>
      </c>
      <c r="F118" s="12"/>
      <c r="G118" s="12"/>
      <c r="H118" s="1"/>
      <c r="I118" s="1"/>
      <c r="J118" s="1"/>
      <c r="K118" s="1" t="s">
        <v>40</v>
      </c>
      <c r="L118" s="1" t="s">
        <v>196</v>
      </c>
      <c r="M118" s="1" t="s">
        <v>42</v>
      </c>
      <c r="N118" s="1" t="s">
        <v>43</v>
      </c>
      <c r="O118" s="8" t="s">
        <v>720</v>
      </c>
      <c r="P118" s="165" t="s">
        <v>721</v>
      </c>
      <c r="Q118" s="125"/>
      <c r="R118" s="279" t="s">
        <v>722</v>
      </c>
      <c r="S118" s="244" t="s">
        <v>723</v>
      </c>
      <c r="T118" s="12" t="s">
        <v>299</v>
      </c>
      <c r="U118" s="8" t="e">
        <f>VLOOKUP('IMPO TERR'!T118,#REF!,2,0)</f>
        <v>#REF!</v>
      </c>
      <c r="V118" s="162" t="s">
        <v>724</v>
      </c>
      <c r="W118" s="164" t="s">
        <v>725</v>
      </c>
      <c r="X118" s="257">
        <v>46094</v>
      </c>
      <c r="Y118" s="245">
        <v>46095</v>
      </c>
      <c r="Z118" s="24">
        <v>46097</v>
      </c>
      <c r="AA118" s="166">
        <v>4090180458</v>
      </c>
      <c r="AB118" s="25">
        <v>46097</v>
      </c>
      <c r="AC118" s="223" t="s">
        <v>52</v>
      </c>
      <c r="AD118" s="15" t="s">
        <v>52</v>
      </c>
      <c r="AE118" s="235"/>
      <c r="AF118" s="241">
        <v>47480000</v>
      </c>
      <c r="AG118" s="9"/>
      <c r="AH118" s="31"/>
    </row>
    <row r="119" spans="1:34" ht="24.75" customHeight="1">
      <c r="A119" s="98" t="s">
        <v>726</v>
      </c>
      <c r="B119" s="98">
        <v>180462</v>
      </c>
      <c r="C119" s="230" t="s">
        <v>392</v>
      </c>
      <c r="D119" s="4" t="s">
        <v>36</v>
      </c>
      <c r="E119" s="24">
        <v>12</v>
      </c>
      <c r="F119" s="12"/>
      <c r="G119" s="12"/>
      <c r="H119" s="1"/>
      <c r="I119" s="1"/>
      <c r="J119" s="1"/>
      <c r="K119" s="1" t="s">
        <v>40</v>
      </c>
      <c r="L119" s="1" t="s">
        <v>196</v>
      </c>
      <c r="M119" s="1" t="s">
        <v>42</v>
      </c>
      <c r="N119" s="1" t="s">
        <v>43</v>
      </c>
      <c r="O119" s="8" t="s">
        <v>727</v>
      </c>
      <c r="P119" s="165" t="s">
        <v>728</v>
      </c>
      <c r="Q119" s="125"/>
      <c r="R119" s="235" t="s">
        <v>729</v>
      </c>
      <c r="S119" s="244" t="s">
        <v>205</v>
      </c>
      <c r="T119" s="12" t="s">
        <v>68</v>
      </c>
      <c r="U119" s="8" t="e">
        <f>VLOOKUP('IMPO TERR'!T119,#REF!,2,0)</f>
        <v>#REF!</v>
      </c>
      <c r="V119" s="77" t="s">
        <v>730</v>
      </c>
      <c r="W119" s="70" t="s">
        <v>731</v>
      </c>
      <c r="X119" s="245">
        <v>46095</v>
      </c>
      <c r="Y119" s="245">
        <v>46097</v>
      </c>
      <c r="Z119" s="24">
        <v>46094</v>
      </c>
      <c r="AA119" s="166">
        <v>4090180462</v>
      </c>
      <c r="AB119" s="168">
        <v>46097</v>
      </c>
      <c r="AC119" s="46">
        <v>46098</v>
      </c>
      <c r="AD119" s="35" t="s">
        <v>52</v>
      </c>
      <c r="AE119" s="235">
        <v>141655</v>
      </c>
      <c r="AF119" s="236">
        <v>30470000</v>
      </c>
      <c r="AG119" s="9"/>
      <c r="AH119" s="31"/>
    </row>
    <row r="120" spans="1:34" ht="24.75" customHeight="1">
      <c r="A120" s="98" t="s">
        <v>732</v>
      </c>
      <c r="B120" s="98">
        <v>180464</v>
      </c>
      <c r="C120" s="230" t="s">
        <v>595</v>
      </c>
      <c r="D120" s="1" t="s">
        <v>52</v>
      </c>
      <c r="E120" s="24">
        <v>12</v>
      </c>
      <c r="G120" s="1"/>
      <c r="H120" s="1"/>
      <c r="I120" s="1"/>
      <c r="J120" s="1"/>
      <c r="K120" s="1" t="s">
        <v>40</v>
      </c>
      <c r="L120" s="1" t="s">
        <v>55</v>
      </c>
      <c r="M120" s="1" t="s">
        <v>42</v>
      </c>
      <c r="N120" s="1" t="s">
        <v>43</v>
      </c>
      <c r="O120" s="8" t="s">
        <v>733</v>
      </c>
      <c r="P120" s="100">
        <v>42747</v>
      </c>
      <c r="Q120" s="125"/>
      <c r="R120" s="235" t="s">
        <v>734</v>
      </c>
      <c r="S120" s="244" t="s">
        <v>735</v>
      </c>
      <c r="T120" s="12" t="s">
        <v>736</v>
      </c>
      <c r="U120" s="8" t="e">
        <f>VLOOKUP('IMPO TERR'!T120,#REF!,2,0)</f>
        <v>#REF!</v>
      </c>
      <c r="V120" s="69" t="s">
        <v>737</v>
      </c>
      <c r="W120" s="70" t="s">
        <v>738</v>
      </c>
      <c r="X120" s="245">
        <v>46098</v>
      </c>
      <c r="Y120" s="245" t="s">
        <v>52</v>
      </c>
      <c r="Z120" s="1" t="s">
        <v>677</v>
      </c>
      <c r="AA120" s="8">
        <v>4090180464</v>
      </c>
      <c r="AC120" s="224" t="s">
        <v>52</v>
      </c>
      <c r="AD120" s="15" t="s">
        <v>52</v>
      </c>
      <c r="AE120" s="235"/>
      <c r="AF120" s="239">
        <v>27370000</v>
      </c>
      <c r="AG120" s="9"/>
      <c r="AH120" s="31"/>
    </row>
    <row r="121" spans="1:34" ht="24.75" customHeight="1">
      <c r="A121" s="98" t="s">
        <v>739</v>
      </c>
      <c r="B121" s="98">
        <v>180465</v>
      </c>
      <c r="C121" s="230" t="s">
        <v>595</v>
      </c>
      <c r="D121" s="1" t="s">
        <v>52</v>
      </c>
      <c r="E121" s="24">
        <v>12</v>
      </c>
      <c r="F121" s="12"/>
      <c r="G121" s="12"/>
      <c r="H121" s="1"/>
      <c r="I121" s="1"/>
      <c r="J121" s="1"/>
      <c r="K121" s="1" t="s">
        <v>54</v>
      </c>
      <c r="L121" s="1" t="s">
        <v>55</v>
      </c>
      <c r="M121" s="1" t="s">
        <v>42</v>
      </c>
      <c r="N121" s="1" t="s">
        <v>43</v>
      </c>
      <c r="O121" s="8" t="s">
        <v>740</v>
      </c>
      <c r="P121" s="100">
        <v>42808</v>
      </c>
      <c r="Q121" s="125"/>
      <c r="R121" s="235" t="s">
        <v>741</v>
      </c>
      <c r="S121" s="244" t="s">
        <v>742</v>
      </c>
      <c r="T121" s="12" t="s">
        <v>88</v>
      </c>
      <c r="U121" s="8" t="e">
        <f>VLOOKUP('IMPO TERR'!T121,#REF!,2,0)</f>
        <v>#REF!</v>
      </c>
      <c r="V121" s="69" t="s">
        <v>743</v>
      </c>
      <c r="W121" s="70" t="s">
        <v>744</v>
      </c>
      <c r="X121" s="245">
        <v>46098</v>
      </c>
      <c r="Y121" s="245" t="s">
        <v>52</v>
      </c>
      <c r="Z121" s="167" t="s">
        <v>745</v>
      </c>
      <c r="AA121" s="166">
        <v>4090180465</v>
      </c>
      <c r="AC121" s="35" t="s">
        <v>52</v>
      </c>
      <c r="AD121" s="15" t="s">
        <v>52</v>
      </c>
      <c r="AE121" s="235"/>
      <c r="AF121" s="240">
        <v>26360000</v>
      </c>
      <c r="AG121" s="9"/>
      <c r="AH121" s="31"/>
    </row>
    <row r="122" spans="1:34" ht="24.75" customHeight="1">
      <c r="A122" s="98" t="s">
        <v>746</v>
      </c>
      <c r="B122" s="98">
        <v>180466</v>
      </c>
      <c r="C122" s="230"/>
      <c r="D122" s="1" t="s">
        <v>52</v>
      </c>
      <c r="E122" s="24">
        <v>46093</v>
      </c>
      <c r="F122" s="12"/>
      <c r="G122" s="12"/>
      <c r="H122" s="1"/>
      <c r="I122" s="1"/>
      <c r="J122" s="1"/>
      <c r="K122" s="1" t="s">
        <v>40</v>
      </c>
      <c r="L122" s="1" t="s">
        <v>55</v>
      </c>
      <c r="M122" s="1" t="s">
        <v>42</v>
      </c>
      <c r="N122" s="1" t="s">
        <v>43</v>
      </c>
      <c r="O122" s="8" t="s">
        <v>747</v>
      </c>
      <c r="P122" s="100"/>
      <c r="Q122" s="125"/>
      <c r="R122" s="235" t="s">
        <v>748</v>
      </c>
      <c r="S122" s="244" t="s">
        <v>749</v>
      </c>
      <c r="T122" s="12" t="s">
        <v>68</v>
      </c>
      <c r="U122" s="8" t="e">
        <f>VLOOKUP('IMPO TERR'!T122,#REF!,2,0)</f>
        <v>#REF!</v>
      </c>
      <c r="V122" s="69" t="s">
        <v>750</v>
      </c>
      <c r="W122" s="70" t="s">
        <v>751</v>
      </c>
      <c r="X122" s="235"/>
      <c r="Y122" s="245"/>
      <c r="Z122" s="24">
        <v>46097</v>
      </c>
      <c r="AA122" s="146">
        <v>4090180466</v>
      </c>
      <c r="AC122" s="35"/>
      <c r="AD122" s="15"/>
      <c r="AE122" s="235"/>
      <c r="AF122" s="240">
        <v>25500000</v>
      </c>
      <c r="AG122" s="9"/>
      <c r="AH122" s="31"/>
    </row>
    <row r="123" spans="1:34" ht="24.75" customHeight="1">
      <c r="A123" s="228" t="s">
        <v>752</v>
      </c>
      <c r="B123" s="98">
        <v>180472</v>
      </c>
      <c r="C123" s="230"/>
      <c r="D123" s="1" t="s">
        <v>52</v>
      </c>
      <c r="E123" s="24">
        <v>46093</v>
      </c>
      <c r="F123" s="12"/>
      <c r="G123" s="12"/>
      <c r="H123" s="1"/>
      <c r="I123" s="1"/>
      <c r="J123" s="1"/>
      <c r="K123" s="1" t="s">
        <v>54</v>
      </c>
      <c r="L123" s="1" t="s">
        <v>41</v>
      </c>
      <c r="M123" s="1" t="s">
        <v>42</v>
      </c>
      <c r="N123" s="1" t="s">
        <v>43</v>
      </c>
      <c r="O123" s="8" t="s">
        <v>753</v>
      </c>
      <c r="P123" s="100"/>
      <c r="Q123" s="125"/>
      <c r="R123" s="235" t="s">
        <v>754</v>
      </c>
      <c r="S123" s="244" t="s">
        <v>755</v>
      </c>
      <c r="T123" s="12" t="s">
        <v>88</v>
      </c>
      <c r="U123" s="8" t="e">
        <f>VLOOKUP('IMPO TERR'!T123,#REF!,2,0)</f>
        <v>#REF!</v>
      </c>
      <c r="V123" s="69" t="s">
        <v>756</v>
      </c>
      <c r="W123" s="70" t="s">
        <v>757</v>
      </c>
      <c r="X123" s="235"/>
      <c r="Y123" s="245"/>
      <c r="Z123" s="280">
        <v>46095</v>
      </c>
      <c r="AA123" s="166">
        <v>4090180472</v>
      </c>
      <c r="AC123" s="35"/>
      <c r="AD123" s="15"/>
      <c r="AE123" s="235"/>
      <c r="AF123" s="240">
        <v>20950000</v>
      </c>
      <c r="AG123" s="9"/>
      <c r="AH123" s="31"/>
    </row>
    <row r="124" spans="1:34" ht="24.75" customHeight="1">
      <c r="A124" s="98" t="s">
        <v>758</v>
      </c>
      <c r="B124" s="98">
        <v>180475</v>
      </c>
      <c r="C124" s="230" t="s">
        <v>392</v>
      </c>
      <c r="D124" s="1" t="s">
        <v>52</v>
      </c>
      <c r="E124" s="24">
        <v>46093</v>
      </c>
      <c r="F124" s="12"/>
      <c r="G124" s="12"/>
      <c r="H124" s="1"/>
      <c r="I124" s="1"/>
      <c r="J124" s="1"/>
      <c r="K124" s="1" t="s">
        <v>40</v>
      </c>
      <c r="L124" s="1" t="s">
        <v>41</v>
      </c>
      <c r="M124" s="1" t="s">
        <v>42</v>
      </c>
      <c r="N124" s="1" t="s">
        <v>43</v>
      </c>
      <c r="O124" s="8" t="s">
        <v>759</v>
      </c>
      <c r="P124" s="100">
        <v>42393</v>
      </c>
      <c r="Q124" s="125"/>
      <c r="R124" s="235" t="s">
        <v>760</v>
      </c>
      <c r="S124" s="244" t="s">
        <v>761</v>
      </c>
      <c r="T124" s="12" t="s">
        <v>88</v>
      </c>
      <c r="U124" s="8" t="e">
        <f>VLOOKUP('IMPO TERR'!T124,#REF!,2,0)</f>
        <v>#REF!</v>
      </c>
      <c r="V124" s="69" t="s">
        <v>762</v>
      </c>
      <c r="W124" s="70" t="s">
        <v>763</v>
      </c>
      <c r="X124" s="245">
        <v>46097</v>
      </c>
      <c r="Y124" s="45">
        <v>46098</v>
      </c>
      <c r="Z124" s="1" t="s">
        <v>677</v>
      </c>
      <c r="AA124" s="8">
        <v>4090180475</v>
      </c>
      <c r="AC124" s="35" t="s">
        <v>52</v>
      </c>
      <c r="AD124" s="15" t="s">
        <v>52</v>
      </c>
      <c r="AE124" s="235"/>
      <c r="AF124" s="240">
        <v>28670000</v>
      </c>
      <c r="AG124" s="9"/>
      <c r="AH124" s="31"/>
    </row>
    <row r="125" spans="1:34" ht="24.75" customHeight="1">
      <c r="A125" s="98" t="s">
        <v>764</v>
      </c>
      <c r="B125" s="98">
        <v>180481</v>
      </c>
      <c r="C125" s="230"/>
      <c r="D125" s="1" t="s">
        <v>52</v>
      </c>
      <c r="E125" s="24">
        <v>46094</v>
      </c>
      <c r="F125" s="12"/>
      <c r="G125" s="12"/>
      <c r="H125" s="1"/>
      <c r="I125" s="1"/>
      <c r="J125" s="1"/>
      <c r="K125" s="1" t="s">
        <v>54</v>
      </c>
      <c r="L125" s="1" t="s">
        <v>41</v>
      </c>
      <c r="M125" s="1" t="s">
        <v>42</v>
      </c>
      <c r="N125" s="1" t="s">
        <v>43</v>
      </c>
      <c r="O125" s="8" t="s">
        <v>765</v>
      </c>
      <c r="P125" s="100"/>
      <c r="Q125" s="125"/>
      <c r="R125" s="235" t="s">
        <v>766</v>
      </c>
      <c r="S125" s="244" t="s">
        <v>767</v>
      </c>
      <c r="T125" s="12" t="s">
        <v>68</v>
      </c>
      <c r="U125" s="8" t="e">
        <f>VLOOKUP('IMPO TERR'!T125,#REF!,2,0)</f>
        <v>#REF!</v>
      </c>
      <c r="V125" s="69" t="s">
        <v>768</v>
      </c>
      <c r="W125" s="70" t="s">
        <v>769</v>
      </c>
      <c r="X125" s="235"/>
      <c r="Y125" s="245"/>
      <c r="Z125" s="24">
        <v>46095</v>
      </c>
      <c r="AA125" s="166">
        <v>4090180481</v>
      </c>
      <c r="AC125" s="35"/>
      <c r="AD125" s="15"/>
      <c r="AE125" s="235"/>
      <c r="AF125" s="240">
        <v>25720000</v>
      </c>
      <c r="AG125" s="9"/>
      <c r="AH125" s="31"/>
    </row>
    <row r="126" spans="1:34" ht="24.75" customHeight="1">
      <c r="A126" s="98" t="s">
        <v>770</v>
      </c>
      <c r="B126" s="98">
        <v>180496</v>
      </c>
      <c r="C126" s="230"/>
      <c r="D126" s="1" t="s">
        <v>52</v>
      </c>
      <c r="E126" s="24">
        <v>46094</v>
      </c>
      <c r="F126" s="12"/>
      <c r="G126" s="12"/>
      <c r="H126" s="1"/>
      <c r="I126" s="1"/>
      <c r="J126" s="1"/>
      <c r="K126" s="1" t="s">
        <v>40</v>
      </c>
      <c r="L126" s="1" t="s">
        <v>55</v>
      </c>
      <c r="M126" s="1" t="s">
        <v>42</v>
      </c>
      <c r="N126" s="1" t="s">
        <v>43</v>
      </c>
      <c r="O126" s="8" t="s">
        <v>771</v>
      </c>
      <c r="P126" s="100"/>
      <c r="Q126" s="125"/>
      <c r="R126" s="235"/>
      <c r="S126" s="244"/>
      <c r="T126" s="12" t="s">
        <v>88</v>
      </c>
      <c r="U126" s="8" t="e">
        <f>VLOOKUP('IMPO TERR'!T126,#REF!,2,0)</f>
        <v>#REF!</v>
      </c>
      <c r="W126" s="70"/>
      <c r="X126" s="235"/>
      <c r="Y126" s="245"/>
      <c r="Z126" s="1" t="s">
        <v>677</v>
      </c>
      <c r="AA126" s="8">
        <v>4090180496</v>
      </c>
      <c r="AC126" s="35"/>
      <c r="AD126" s="15"/>
      <c r="AE126" s="235"/>
      <c r="AF126" s="240">
        <v>27740000</v>
      </c>
      <c r="AG126" s="9"/>
      <c r="AH126" s="31"/>
    </row>
    <row r="127" spans="1:34" ht="24.75" customHeight="1">
      <c r="A127" s="98" t="s">
        <v>772</v>
      </c>
      <c r="B127" s="98">
        <v>180497</v>
      </c>
      <c r="C127" s="230"/>
      <c r="D127" s="1" t="s">
        <v>52</v>
      </c>
      <c r="E127" s="24">
        <v>46094</v>
      </c>
      <c r="F127" s="12"/>
      <c r="G127" s="12"/>
      <c r="H127" s="1"/>
      <c r="I127" s="1"/>
      <c r="J127" s="1"/>
      <c r="K127" s="1" t="s">
        <v>40</v>
      </c>
      <c r="L127" s="1" t="s">
        <v>55</v>
      </c>
      <c r="M127" s="1" t="s">
        <v>42</v>
      </c>
      <c r="N127" s="1" t="s">
        <v>43</v>
      </c>
      <c r="O127" s="8" t="s">
        <v>773</v>
      </c>
      <c r="P127" s="100"/>
      <c r="Q127" s="125"/>
      <c r="R127" s="235" t="s">
        <v>774</v>
      </c>
      <c r="S127" s="244" t="s">
        <v>775</v>
      </c>
      <c r="T127" s="12" t="s">
        <v>299</v>
      </c>
      <c r="U127" s="8" t="e">
        <f>VLOOKUP('IMPO TERR'!T127,#REF!,2,0)</f>
        <v>#REF!</v>
      </c>
      <c r="V127" s="69" t="s">
        <v>776</v>
      </c>
      <c r="W127" s="70" t="s">
        <v>777</v>
      </c>
      <c r="X127" s="235"/>
      <c r="Y127" s="245"/>
      <c r="Z127" s="24">
        <v>46097</v>
      </c>
      <c r="AA127" s="146">
        <v>4090180497</v>
      </c>
      <c r="AC127" s="35"/>
      <c r="AD127" s="15"/>
      <c r="AE127" s="235"/>
      <c r="AF127" s="240">
        <v>30650000</v>
      </c>
      <c r="AG127" s="9"/>
      <c r="AH127" s="31"/>
    </row>
    <row r="128" spans="1:34" ht="24.75" customHeight="1">
      <c r="A128" s="98" t="s">
        <v>778</v>
      </c>
      <c r="B128" s="98">
        <v>180498</v>
      </c>
      <c r="C128" s="230"/>
      <c r="D128" s="1" t="s">
        <v>52</v>
      </c>
      <c r="E128" s="24">
        <v>46035</v>
      </c>
      <c r="F128" s="12"/>
      <c r="G128" s="12"/>
      <c r="H128" s="1"/>
      <c r="I128" s="1"/>
      <c r="J128" s="1"/>
      <c r="K128" s="1" t="s">
        <v>40</v>
      </c>
      <c r="L128" s="1" t="s">
        <v>55</v>
      </c>
      <c r="M128" s="1" t="s">
        <v>42</v>
      </c>
      <c r="N128" s="1" t="s">
        <v>43</v>
      </c>
      <c r="O128" s="8" t="s">
        <v>779</v>
      </c>
      <c r="P128" s="100"/>
      <c r="Q128" s="125"/>
      <c r="R128" s="235" t="s">
        <v>780</v>
      </c>
      <c r="S128" s="244" t="s">
        <v>781</v>
      </c>
      <c r="T128" s="12" t="s">
        <v>68</v>
      </c>
      <c r="U128" s="8" t="e">
        <f>VLOOKUP('IMPO TERR'!T128,#REF!,2,0)</f>
        <v>#REF!</v>
      </c>
      <c r="V128" s="69" t="s">
        <v>782</v>
      </c>
      <c r="W128" s="70" t="s">
        <v>783</v>
      </c>
      <c r="X128" s="235"/>
      <c r="Y128" s="245"/>
      <c r="Z128" s="1" t="s">
        <v>677</v>
      </c>
      <c r="AA128" s="8">
        <v>4090180498</v>
      </c>
      <c r="AC128" s="35"/>
      <c r="AD128" s="15"/>
      <c r="AE128" s="235"/>
      <c r="AF128" s="240">
        <v>25450000</v>
      </c>
      <c r="AG128" s="9"/>
      <c r="AH128" s="31"/>
    </row>
    <row r="129" spans="1:34" ht="24.75" customHeight="1">
      <c r="A129" s="98" t="s">
        <v>784</v>
      </c>
      <c r="B129" s="98">
        <v>180500</v>
      </c>
      <c r="C129" s="230"/>
      <c r="D129" s="1" t="s">
        <v>52</v>
      </c>
      <c r="E129" s="24">
        <v>46035</v>
      </c>
      <c r="F129" s="12"/>
      <c r="G129" s="12"/>
      <c r="H129" s="1"/>
      <c r="I129" s="1"/>
      <c r="J129" s="1"/>
      <c r="K129" s="1" t="s">
        <v>40</v>
      </c>
      <c r="L129" s="1" t="s">
        <v>55</v>
      </c>
      <c r="M129" s="1" t="s">
        <v>42</v>
      </c>
      <c r="N129" s="1" t="s">
        <v>43</v>
      </c>
      <c r="O129" s="8" t="s">
        <v>785</v>
      </c>
      <c r="P129" s="100"/>
      <c r="Q129" s="125"/>
      <c r="R129" s="235" t="s">
        <v>786</v>
      </c>
      <c r="S129" s="244" t="s">
        <v>787</v>
      </c>
      <c r="T129" s="12" t="s">
        <v>68</v>
      </c>
      <c r="U129" s="8" t="e">
        <f>VLOOKUP('IMPO TERR'!T129,#REF!,2,0)</f>
        <v>#REF!</v>
      </c>
      <c r="V129" s="69" t="s">
        <v>788</v>
      </c>
      <c r="W129" s="70" t="s">
        <v>789</v>
      </c>
      <c r="X129" s="269"/>
      <c r="Y129" s="248"/>
      <c r="Z129" s="1" t="s">
        <v>677</v>
      </c>
      <c r="AA129" s="8">
        <v>4090180500</v>
      </c>
      <c r="AC129" s="35"/>
      <c r="AD129" s="15"/>
      <c r="AE129" s="235"/>
      <c r="AF129" s="240">
        <v>27040000</v>
      </c>
      <c r="AG129" s="9"/>
      <c r="AH129" s="31"/>
    </row>
    <row r="130" spans="1:34" ht="24.75" customHeight="1">
      <c r="A130" s="98" t="s">
        <v>790</v>
      </c>
      <c r="B130" s="98">
        <v>180502</v>
      </c>
      <c r="C130" s="230" t="s">
        <v>392</v>
      </c>
      <c r="D130" s="1" t="s">
        <v>52</v>
      </c>
      <c r="E130" s="24">
        <v>46035</v>
      </c>
      <c r="F130" s="12"/>
      <c r="G130" s="12"/>
      <c r="H130" s="1"/>
      <c r="I130" s="1"/>
      <c r="J130" s="1"/>
      <c r="K130" s="1" t="s">
        <v>40</v>
      </c>
      <c r="L130" s="1" t="s">
        <v>55</v>
      </c>
      <c r="M130" s="1" t="s">
        <v>42</v>
      </c>
      <c r="N130" s="1" t="s">
        <v>43</v>
      </c>
      <c r="O130" s="8" t="s">
        <v>791</v>
      </c>
      <c r="P130" s="100">
        <v>42481</v>
      </c>
      <c r="Q130" s="125"/>
      <c r="R130" s="235" t="s">
        <v>792</v>
      </c>
      <c r="S130" s="244" t="s">
        <v>793</v>
      </c>
      <c r="T130" s="12" t="s">
        <v>68</v>
      </c>
      <c r="U130" s="8" t="e">
        <f>VLOOKUP('IMPO TERR'!T130,#REF!,2,0)</f>
        <v>#REF!</v>
      </c>
      <c r="W130" s="70"/>
      <c r="X130" s="46">
        <v>46097</v>
      </c>
      <c r="Y130" s="46">
        <v>46098</v>
      </c>
      <c r="Z130" s="14" t="s">
        <v>677</v>
      </c>
      <c r="AA130" s="8">
        <v>4090180502</v>
      </c>
      <c r="AC130" s="35" t="s">
        <v>52</v>
      </c>
      <c r="AD130" s="15" t="s">
        <v>52</v>
      </c>
      <c r="AE130" s="235"/>
      <c r="AF130" s="240">
        <v>26250000</v>
      </c>
      <c r="AG130" s="9"/>
      <c r="AH130" s="31"/>
    </row>
    <row r="131" spans="1:34" ht="24.75" customHeight="1">
      <c r="A131" s="98" t="s">
        <v>794</v>
      </c>
      <c r="B131" s="98">
        <v>180503</v>
      </c>
      <c r="C131" s="230"/>
      <c r="D131" s="1" t="s">
        <v>52</v>
      </c>
      <c r="E131" s="24">
        <v>46094</v>
      </c>
      <c r="F131" s="12"/>
      <c r="G131" s="12"/>
      <c r="H131" s="1"/>
      <c r="I131" s="1"/>
      <c r="J131" s="1"/>
      <c r="K131" s="1" t="s">
        <v>40</v>
      </c>
      <c r="L131" s="1" t="s">
        <v>55</v>
      </c>
      <c r="M131" s="1" t="s">
        <v>42</v>
      </c>
      <c r="N131" s="1" t="s">
        <v>43</v>
      </c>
      <c r="O131" s="8" t="s">
        <v>795</v>
      </c>
      <c r="P131" s="100"/>
      <c r="Q131" s="125"/>
      <c r="R131" s="235"/>
      <c r="S131" s="244"/>
      <c r="T131" s="12" t="s">
        <v>68</v>
      </c>
      <c r="U131" s="8" t="e">
        <f>VLOOKUP('IMPO TERR'!T131,#REF!,2,0)</f>
        <v>#REF!</v>
      </c>
      <c r="W131" s="70"/>
      <c r="X131" s="279"/>
      <c r="Y131" s="254"/>
      <c r="Z131" s="24">
        <v>46097</v>
      </c>
      <c r="AA131" s="149">
        <v>4090180503</v>
      </c>
      <c r="AC131" s="35"/>
      <c r="AD131" s="15"/>
      <c r="AE131" s="235"/>
      <c r="AF131" s="240">
        <v>25430000</v>
      </c>
      <c r="AG131" s="9"/>
      <c r="AH131" s="31"/>
    </row>
    <row r="132" spans="1:34" ht="24.75" customHeight="1">
      <c r="A132" s="98" t="s">
        <v>796</v>
      </c>
      <c r="B132" s="98">
        <v>180512</v>
      </c>
      <c r="C132" s="230" t="s">
        <v>392</v>
      </c>
      <c r="D132" s="1" t="s">
        <v>52</v>
      </c>
      <c r="E132" s="24">
        <v>46095</v>
      </c>
      <c r="F132" s="12"/>
      <c r="G132" s="12"/>
      <c r="H132" s="1"/>
      <c r="I132" s="1"/>
      <c r="J132" s="1"/>
      <c r="K132" s="1" t="s">
        <v>40</v>
      </c>
      <c r="L132" s="1" t="s">
        <v>196</v>
      </c>
      <c r="M132" s="1" t="s">
        <v>42</v>
      </c>
      <c r="N132" s="1" t="s">
        <v>43</v>
      </c>
      <c r="O132" s="8" t="s">
        <v>797</v>
      </c>
      <c r="P132" s="165" t="s">
        <v>798</v>
      </c>
      <c r="Q132" s="125"/>
      <c r="R132" s="235" t="s">
        <v>250</v>
      </c>
      <c r="S132" s="244" t="s">
        <v>251</v>
      </c>
      <c r="T132" s="12" t="s">
        <v>299</v>
      </c>
      <c r="U132" s="8" t="e">
        <f>VLOOKUP('IMPO TERR'!T132,#REF!,2,0)</f>
        <v>#REF!</v>
      </c>
      <c r="V132" s="69" t="s">
        <v>799</v>
      </c>
      <c r="W132" s="70" t="s">
        <v>800</v>
      </c>
      <c r="X132" s="250">
        <v>46097</v>
      </c>
      <c r="Y132" s="46">
        <v>46098</v>
      </c>
      <c r="Z132" s="225">
        <v>46097</v>
      </c>
      <c r="AA132" s="166">
        <v>4090180512</v>
      </c>
      <c r="AC132" s="35" t="s">
        <v>52</v>
      </c>
      <c r="AD132" s="15" t="s">
        <v>52</v>
      </c>
      <c r="AE132" s="235"/>
      <c r="AF132" s="240">
        <v>40860000</v>
      </c>
      <c r="AG132" s="9"/>
      <c r="AH132" s="31"/>
    </row>
    <row r="133" spans="1:34" ht="24.75" customHeight="1">
      <c r="A133" s="98" t="s">
        <v>801</v>
      </c>
      <c r="B133" s="98">
        <v>180522</v>
      </c>
      <c r="C133" s="230"/>
      <c r="D133" s="1" t="s">
        <v>52</v>
      </c>
      <c r="E133" s="24">
        <v>46097</v>
      </c>
      <c r="F133" s="12"/>
      <c r="G133" s="12"/>
      <c r="H133" s="1"/>
      <c r="I133" s="1"/>
      <c r="J133" s="1"/>
      <c r="K133" s="1" t="s">
        <v>40</v>
      </c>
      <c r="L133" s="1" t="s">
        <v>41</v>
      </c>
      <c r="M133" s="1" t="s">
        <v>42</v>
      </c>
      <c r="N133" s="1" t="s">
        <v>43</v>
      </c>
      <c r="O133" s="8" t="s">
        <v>802</v>
      </c>
      <c r="P133" s="100"/>
      <c r="Q133" s="125"/>
      <c r="R133" s="235" t="s">
        <v>803</v>
      </c>
      <c r="S133" s="244" t="s">
        <v>804</v>
      </c>
      <c r="T133" s="12"/>
      <c r="U133" s="8" t="e">
        <f>VLOOKUP('IMPO TERR'!T133,#REF!,2,0)</f>
        <v>#REF!</v>
      </c>
      <c r="V133" s="69" t="s">
        <v>805</v>
      </c>
      <c r="W133" s="70" t="s">
        <v>806</v>
      </c>
      <c r="X133" s="235"/>
      <c r="Y133" s="257"/>
      <c r="Z133" s="1" t="s">
        <v>677</v>
      </c>
      <c r="AA133" s="8">
        <v>4090180522</v>
      </c>
      <c r="AC133" s="35"/>
      <c r="AD133" s="15"/>
      <c r="AE133" s="235"/>
      <c r="AF133" s="243"/>
      <c r="AG133" s="9"/>
      <c r="AH133" s="31"/>
    </row>
    <row r="134" spans="1:34" ht="24.75" customHeight="1">
      <c r="A134" s="98" t="s">
        <v>807</v>
      </c>
      <c r="B134" s="98">
        <v>180523</v>
      </c>
      <c r="C134" s="230"/>
      <c r="D134" s="1" t="s">
        <v>52</v>
      </c>
      <c r="E134" s="24">
        <v>46097</v>
      </c>
      <c r="F134" s="12"/>
      <c r="G134" s="12"/>
      <c r="H134" s="1"/>
      <c r="I134" s="1"/>
      <c r="J134" s="1"/>
      <c r="K134" s="1" t="s">
        <v>40</v>
      </c>
      <c r="L134" s="1" t="s">
        <v>41</v>
      </c>
      <c r="M134" s="1" t="s">
        <v>42</v>
      </c>
      <c r="N134" s="1" t="s">
        <v>43</v>
      </c>
      <c r="O134" s="8" t="s">
        <v>808</v>
      </c>
      <c r="P134" s="100"/>
      <c r="Q134" s="125"/>
      <c r="R134" s="269" t="s">
        <v>809</v>
      </c>
      <c r="S134" s="244" t="s">
        <v>810</v>
      </c>
      <c r="T134" s="12" t="s">
        <v>68</v>
      </c>
      <c r="U134" s="8" t="e">
        <f>VLOOKUP('IMPO TERR'!T134,#REF!,2,0)</f>
        <v>#REF!</v>
      </c>
      <c r="V134" s="69" t="s">
        <v>811</v>
      </c>
      <c r="W134" s="78" t="s">
        <v>812</v>
      </c>
      <c r="X134" s="235"/>
      <c r="Y134" s="245"/>
      <c r="Z134" s="1" t="s">
        <v>677</v>
      </c>
      <c r="AA134" s="8">
        <v>4090180523</v>
      </c>
      <c r="AC134" s="35"/>
      <c r="AD134" s="15"/>
      <c r="AE134" s="235"/>
      <c r="AF134" s="243"/>
      <c r="AG134" s="9"/>
      <c r="AH134" s="31"/>
    </row>
    <row r="135" spans="1:34" ht="24.75" customHeight="1">
      <c r="A135" s="98" t="s">
        <v>813</v>
      </c>
      <c r="B135" s="98">
        <v>180525</v>
      </c>
      <c r="C135" s="230"/>
      <c r="D135" s="1" t="s">
        <v>52</v>
      </c>
      <c r="E135" s="24">
        <v>46097</v>
      </c>
      <c r="F135" s="12"/>
      <c r="G135" s="12"/>
      <c r="H135" s="1"/>
      <c r="I135" s="1"/>
      <c r="J135" s="1"/>
      <c r="K135" s="1" t="s">
        <v>40</v>
      </c>
      <c r="L135" s="1" t="s">
        <v>41</v>
      </c>
      <c r="M135" s="1" t="s">
        <v>42</v>
      </c>
      <c r="N135" s="1" t="s">
        <v>43</v>
      </c>
      <c r="O135" s="8" t="s">
        <v>814</v>
      </c>
      <c r="P135" s="100"/>
      <c r="Q135" s="125"/>
      <c r="R135" s="235" t="s">
        <v>815</v>
      </c>
      <c r="S135" s="12" t="s">
        <v>816</v>
      </c>
      <c r="T135" s="12" t="s">
        <v>68</v>
      </c>
      <c r="U135" s="8" t="e">
        <f>VLOOKUP('IMPO TERR'!T135,#REF!,2,0)</f>
        <v>#REF!</v>
      </c>
      <c r="V135" s="34" t="s">
        <v>817</v>
      </c>
      <c r="W135" s="69" t="s">
        <v>818</v>
      </c>
      <c r="X135" s="235"/>
      <c r="Y135" s="245"/>
      <c r="Z135" s="1" t="s">
        <v>677</v>
      </c>
      <c r="AA135" s="8">
        <v>4090180525</v>
      </c>
      <c r="AC135" s="35"/>
      <c r="AD135" s="15"/>
      <c r="AE135" s="235"/>
      <c r="AF135" s="243"/>
      <c r="AG135" s="9"/>
      <c r="AH135" s="31"/>
    </row>
    <row r="136" spans="1:34" ht="24.75" customHeight="1">
      <c r="A136" s="98" t="s">
        <v>819</v>
      </c>
      <c r="B136" s="98">
        <v>180526</v>
      </c>
      <c r="C136" s="230"/>
      <c r="D136" s="1" t="s">
        <v>52</v>
      </c>
      <c r="E136" s="24">
        <v>46097</v>
      </c>
      <c r="F136" s="12"/>
      <c r="G136" s="12" t="s">
        <v>820</v>
      </c>
      <c r="H136" s="1"/>
      <c r="I136" s="1"/>
      <c r="J136" s="1"/>
      <c r="K136" s="1" t="s">
        <v>54</v>
      </c>
      <c r="L136" s="1" t="s">
        <v>41</v>
      </c>
      <c r="M136" s="1" t="s">
        <v>42</v>
      </c>
      <c r="N136" s="1" t="s">
        <v>43</v>
      </c>
      <c r="O136" s="8" t="s">
        <v>821</v>
      </c>
      <c r="P136" s="100"/>
      <c r="Q136" s="125"/>
      <c r="R136" s="279" t="s">
        <v>822</v>
      </c>
      <c r="S136" s="244" t="s">
        <v>823</v>
      </c>
      <c r="T136" s="12" t="s">
        <v>68</v>
      </c>
      <c r="U136" s="8" t="e">
        <f>VLOOKUP('IMPO TERR'!T136,#REF!,2,0)</f>
        <v>#REF!</v>
      </c>
      <c r="V136" s="69" t="s">
        <v>824</v>
      </c>
      <c r="W136" s="79" t="s">
        <v>825</v>
      </c>
      <c r="X136" s="235"/>
      <c r="Y136" s="245"/>
      <c r="Z136" s="1" t="s">
        <v>677</v>
      </c>
      <c r="AA136" s="8">
        <v>4090180526</v>
      </c>
      <c r="AC136" s="35"/>
      <c r="AD136" s="15"/>
      <c r="AE136" s="235"/>
      <c r="AF136" s="243"/>
      <c r="AG136" s="9"/>
      <c r="AH136" s="31"/>
    </row>
    <row r="137" spans="1:34" ht="24.75" customHeight="1">
      <c r="A137" s="98" t="s">
        <v>826</v>
      </c>
      <c r="B137" s="98">
        <v>180536</v>
      </c>
      <c r="C137" s="230"/>
      <c r="D137" s="1" t="s">
        <v>52</v>
      </c>
      <c r="E137" s="24">
        <v>46097</v>
      </c>
      <c r="F137" s="12"/>
      <c r="G137" s="12"/>
      <c r="H137" s="1"/>
      <c r="I137" s="1"/>
      <c r="J137" s="1"/>
      <c r="K137" s="1" t="s">
        <v>40</v>
      </c>
      <c r="L137" s="1" t="s">
        <v>41</v>
      </c>
      <c r="M137" s="1" t="s">
        <v>42</v>
      </c>
      <c r="N137" s="1" t="s">
        <v>43</v>
      </c>
      <c r="O137" s="8" t="s">
        <v>827</v>
      </c>
      <c r="P137" s="188"/>
      <c r="Q137" s="125"/>
      <c r="R137" s="235" t="s">
        <v>828</v>
      </c>
      <c r="S137" s="244" t="s">
        <v>829</v>
      </c>
      <c r="T137" s="14" t="s">
        <v>68</v>
      </c>
      <c r="U137" s="8" t="e">
        <f>VLOOKUP('IMPO TERR'!T137,#REF!,2,0)</f>
        <v>#REF!</v>
      </c>
      <c r="V137" s="172" t="s">
        <v>830</v>
      </c>
      <c r="W137" s="275" t="s">
        <v>831</v>
      </c>
      <c r="X137" s="235"/>
      <c r="Y137" s="245"/>
      <c r="Z137" s="1" t="s">
        <v>677</v>
      </c>
      <c r="AA137" s="8">
        <v>4090180536</v>
      </c>
      <c r="AC137" s="35"/>
      <c r="AD137" s="15"/>
      <c r="AE137" s="235"/>
      <c r="AF137" s="243"/>
      <c r="AG137" s="9"/>
      <c r="AH137" s="31"/>
    </row>
    <row r="138" spans="1:34" ht="24.75" customHeight="1">
      <c r="A138" s="98" t="s">
        <v>832</v>
      </c>
      <c r="B138" s="98">
        <v>180541</v>
      </c>
      <c r="C138" s="230" t="s">
        <v>392</v>
      </c>
      <c r="D138" s="1" t="s">
        <v>52</v>
      </c>
      <c r="E138" s="24">
        <v>46097</v>
      </c>
      <c r="F138" s="12"/>
      <c r="G138" s="12"/>
      <c r="H138" s="1"/>
      <c r="I138" s="1"/>
      <c r="J138" s="1"/>
      <c r="K138" s="1" t="s">
        <v>40</v>
      </c>
      <c r="L138" s="1" t="s">
        <v>196</v>
      </c>
      <c r="M138" s="1" t="s">
        <v>42</v>
      </c>
      <c r="N138" s="1" t="s">
        <v>43</v>
      </c>
      <c r="O138" s="8" t="s">
        <v>833</v>
      </c>
      <c r="P138" s="190" t="s">
        <v>834</v>
      </c>
      <c r="Q138" s="125"/>
      <c r="R138" s="15" t="s">
        <v>835</v>
      </c>
      <c r="S138" s="281" t="s">
        <v>836</v>
      </c>
      <c r="T138" s="1" t="s">
        <v>299</v>
      </c>
      <c r="U138" s="16"/>
      <c r="V138" s="82" t="s">
        <v>837</v>
      </c>
      <c r="W138" s="173" t="s">
        <v>838</v>
      </c>
      <c r="X138" s="245">
        <v>46097</v>
      </c>
      <c r="Y138" s="245">
        <v>46098</v>
      </c>
      <c r="Z138" s="1" t="s">
        <v>677</v>
      </c>
      <c r="AA138" s="8">
        <v>4090180541</v>
      </c>
      <c r="AC138" s="35" t="s">
        <v>52</v>
      </c>
      <c r="AD138" s="15" t="s">
        <v>52</v>
      </c>
      <c r="AE138" s="235"/>
      <c r="AF138" s="240">
        <v>47260000</v>
      </c>
      <c r="AG138" s="9"/>
      <c r="AH138" s="31"/>
    </row>
    <row r="139" spans="1:34" ht="24.75" customHeight="1">
      <c r="A139" s="98" t="s">
        <v>839</v>
      </c>
      <c r="B139" s="98">
        <v>180544</v>
      </c>
      <c r="D139" s="1" t="s">
        <v>52</v>
      </c>
      <c r="E139" s="24">
        <v>46097</v>
      </c>
      <c r="F139" s="12"/>
      <c r="G139" s="12"/>
      <c r="H139" s="1"/>
      <c r="I139" s="1"/>
      <c r="J139" s="1"/>
      <c r="K139" s="1" t="s">
        <v>40</v>
      </c>
      <c r="L139" s="1" t="s">
        <v>55</v>
      </c>
      <c r="M139" s="1" t="s">
        <v>42</v>
      </c>
      <c r="N139" s="1" t="s">
        <v>43</v>
      </c>
      <c r="O139" s="8" t="s">
        <v>840</v>
      </c>
      <c r="P139" s="189"/>
      <c r="Q139" s="125"/>
      <c r="R139" s="235"/>
      <c r="S139" s="244"/>
      <c r="T139" s="22" t="s">
        <v>88</v>
      </c>
      <c r="U139" s="8"/>
      <c r="W139" s="70"/>
      <c r="X139" s="235"/>
      <c r="Y139" s="245"/>
      <c r="Z139" s="1" t="s">
        <v>677</v>
      </c>
      <c r="AA139" s="8">
        <v>4090180544</v>
      </c>
      <c r="AC139" s="35"/>
      <c r="AD139" s="15"/>
      <c r="AE139" s="235"/>
      <c r="AF139" s="243"/>
      <c r="AG139" s="9"/>
      <c r="AH139" s="31"/>
    </row>
    <row r="140" spans="1:34" ht="24.75" customHeight="1">
      <c r="A140" s="98" t="s">
        <v>841</v>
      </c>
      <c r="B140" s="98">
        <v>180545</v>
      </c>
      <c r="D140" s="1" t="s">
        <v>52</v>
      </c>
      <c r="E140" s="24">
        <v>46097</v>
      </c>
      <c r="F140" s="12"/>
      <c r="G140" s="12"/>
      <c r="H140" s="1"/>
      <c r="I140" s="1"/>
      <c r="J140" s="1"/>
      <c r="K140" s="1" t="s">
        <v>40</v>
      </c>
      <c r="L140" s="1" t="s">
        <v>55</v>
      </c>
      <c r="M140" s="1" t="s">
        <v>42</v>
      </c>
      <c r="N140" s="1" t="s">
        <v>43</v>
      </c>
      <c r="O140" s="8" t="s">
        <v>842</v>
      </c>
      <c r="P140" s="100"/>
      <c r="Q140" s="187"/>
      <c r="R140" s="235"/>
      <c r="S140" s="244"/>
      <c r="T140" s="12" t="s">
        <v>299</v>
      </c>
      <c r="U140" s="8"/>
      <c r="W140" s="70"/>
      <c r="X140" s="235"/>
      <c r="Y140" s="245"/>
      <c r="Z140" s="1" t="s">
        <v>677</v>
      </c>
      <c r="AA140" s="8">
        <v>4090180545</v>
      </c>
      <c r="AC140" s="35"/>
      <c r="AD140" s="15"/>
      <c r="AE140" s="235"/>
      <c r="AF140" s="243"/>
      <c r="AG140" s="9"/>
      <c r="AH140" s="31"/>
    </row>
    <row r="141" spans="1:34" ht="24.75" customHeight="1">
      <c r="A141" s="98" t="s">
        <v>843</v>
      </c>
      <c r="B141" s="98">
        <v>180547</v>
      </c>
      <c r="D141" s="1" t="s">
        <v>52</v>
      </c>
      <c r="E141" s="24">
        <v>46097</v>
      </c>
      <c r="F141" s="12"/>
      <c r="G141" s="12"/>
      <c r="H141" s="1"/>
      <c r="I141" s="1"/>
      <c r="J141" s="1"/>
      <c r="K141" s="1" t="s">
        <v>40</v>
      </c>
      <c r="L141" s="1" t="s">
        <v>55</v>
      </c>
      <c r="M141" s="1" t="s">
        <v>42</v>
      </c>
      <c r="N141" s="1" t="s">
        <v>43</v>
      </c>
      <c r="O141" s="8" t="s">
        <v>844</v>
      </c>
      <c r="P141" s="100"/>
      <c r="Q141" s="125"/>
      <c r="R141" s="235"/>
      <c r="S141" s="244"/>
      <c r="T141" s="12" t="s">
        <v>68</v>
      </c>
      <c r="U141" s="8"/>
      <c r="W141" s="70"/>
      <c r="X141" s="235"/>
      <c r="Y141" s="245"/>
      <c r="Z141" s="1" t="s">
        <v>677</v>
      </c>
      <c r="AA141" s="8">
        <v>4090180547</v>
      </c>
      <c r="AC141" s="35"/>
      <c r="AD141" s="15"/>
      <c r="AE141" s="235"/>
      <c r="AF141" s="243"/>
      <c r="AG141" s="9"/>
      <c r="AH141" s="31"/>
    </row>
    <row r="142" spans="1:34" ht="24.75" customHeight="1">
      <c r="A142" s="98" t="s">
        <v>845</v>
      </c>
      <c r="B142" s="98">
        <v>180549</v>
      </c>
      <c r="D142" s="1" t="s">
        <v>52</v>
      </c>
      <c r="E142" s="24">
        <v>46097</v>
      </c>
      <c r="F142" s="12"/>
      <c r="G142" s="12"/>
      <c r="H142" s="1"/>
      <c r="I142" s="1"/>
      <c r="J142" s="1"/>
      <c r="K142" s="1" t="s">
        <v>40</v>
      </c>
      <c r="L142" s="1" t="s">
        <v>55</v>
      </c>
      <c r="M142" s="1" t="s">
        <v>42</v>
      </c>
      <c r="N142" s="1" t="s">
        <v>43</v>
      </c>
      <c r="O142" s="8" t="s">
        <v>846</v>
      </c>
      <c r="P142" s="100"/>
      <c r="Q142" s="125"/>
      <c r="R142" s="235"/>
      <c r="S142" s="244"/>
      <c r="T142" s="12" t="s">
        <v>88</v>
      </c>
      <c r="U142" s="8"/>
      <c r="W142" s="70"/>
      <c r="X142" s="235"/>
      <c r="Y142" s="245"/>
      <c r="Z142" s="1" t="s">
        <v>677</v>
      </c>
      <c r="AA142" s="8">
        <v>4090180549</v>
      </c>
      <c r="AC142" s="35"/>
      <c r="AD142" s="15"/>
      <c r="AE142" s="235"/>
      <c r="AF142" s="243"/>
      <c r="AG142" s="9"/>
      <c r="AH142" s="31"/>
    </row>
    <row r="143" spans="1:34" ht="24.75" customHeight="1">
      <c r="A143" s="98" t="s">
        <v>847</v>
      </c>
      <c r="B143" s="98">
        <v>180550</v>
      </c>
      <c r="D143" s="1" t="s">
        <v>52</v>
      </c>
      <c r="E143" s="24">
        <v>46097</v>
      </c>
      <c r="F143" s="12"/>
      <c r="G143" s="12"/>
      <c r="H143" s="1"/>
      <c r="I143" s="1"/>
      <c r="J143" s="1"/>
      <c r="K143" s="1" t="s">
        <v>40</v>
      </c>
      <c r="L143" s="1" t="s">
        <v>55</v>
      </c>
      <c r="M143" s="1" t="s">
        <v>42</v>
      </c>
      <c r="N143" s="1" t="s">
        <v>43</v>
      </c>
      <c r="O143" s="8" t="s">
        <v>848</v>
      </c>
      <c r="P143" s="100"/>
      <c r="Q143" s="125"/>
      <c r="R143" s="235"/>
      <c r="S143" s="244"/>
      <c r="T143" s="12" t="s">
        <v>299</v>
      </c>
      <c r="U143" s="8"/>
      <c r="W143" s="70"/>
      <c r="X143" s="235"/>
      <c r="Y143" s="245"/>
      <c r="Z143" s="1" t="s">
        <v>677</v>
      </c>
      <c r="AA143" s="8">
        <v>4090180550</v>
      </c>
      <c r="AC143" s="35"/>
      <c r="AD143" s="15"/>
      <c r="AE143" s="235"/>
      <c r="AF143" s="243"/>
      <c r="AG143" s="9"/>
      <c r="AH143" s="31"/>
    </row>
    <row r="144" spans="1:34" ht="24.75" customHeight="1">
      <c r="A144" s="98" t="s">
        <v>849</v>
      </c>
      <c r="B144" s="98">
        <v>180551</v>
      </c>
      <c r="D144" s="1" t="s">
        <v>52</v>
      </c>
      <c r="E144" s="24">
        <v>46097</v>
      </c>
      <c r="F144" s="12"/>
      <c r="G144" s="12"/>
      <c r="H144" s="1"/>
      <c r="I144" s="1"/>
      <c r="J144" s="1"/>
      <c r="K144" s="1" t="s">
        <v>40</v>
      </c>
      <c r="L144" s="1" t="s">
        <v>55</v>
      </c>
      <c r="M144" s="1" t="s">
        <v>42</v>
      </c>
      <c r="N144" s="1" t="s">
        <v>43</v>
      </c>
      <c r="O144" s="8" t="s">
        <v>850</v>
      </c>
      <c r="P144" s="100"/>
      <c r="Q144" s="125"/>
      <c r="R144" s="235"/>
      <c r="S144" s="244"/>
      <c r="T144" s="12"/>
      <c r="U144" s="8"/>
      <c r="W144" s="70"/>
      <c r="X144" s="235"/>
      <c r="Y144" s="245"/>
      <c r="Z144" s="1" t="s">
        <v>677</v>
      </c>
      <c r="AA144" s="8">
        <v>4090180551</v>
      </c>
      <c r="AC144" s="35"/>
      <c r="AD144" s="15"/>
      <c r="AE144" s="235"/>
      <c r="AF144" s="243"/>
      <c r="AG144" s="9"/>
      <c r="AH144" s="31"/>
    </row>
    <row r="145" spans="1:34" ht="24.75" customHeight="1">
      <c r="A145" s="98" t="s">
        <v>851</v>
      </c>
      <c r="B145" s="98">
        <v>180552</v>
      </c>
      <c r="D145" s="1" t="s">
        <v>52</v>
      </c>
      <c r="E145" s="24">
        <v>46097</v>
      </c>
      <c r="F145" s="12"/>
      <c r="G145" s="12"/>
      <c r="H145" s="1"/>
      <c r="I145" s="1"/>
      <c r="J145" s="1"/>
      <c r="K145" s="1" t="s">
        <v>54</v>
      </c>
      <c r="L145" s="1" t="s">
        <v>41</v>
      </c>
      <c r="M145" s="1" t="s">
        <v>42</v>
      </c>
      <c r="N145" s="1" t="s">
        <v>43</v>
      </c>
      <c r="O145" s="8" t="s">
        <v>852</v>
      </c>
      <c r="P145" s="100"/>
      <c r="Q145" s="125"/>
      <c r="R145" s="235"/>
      <c r="S145" s="244"/>
      <c r="T145" s="12"/>
      <c r="U145" s="8"/>
      <c r="W145" s="70"/>
      <c r="X145" s="235"/>
      <c r="Y145" s="245"/>
      <c r="Z145" s="1" t="s">
        <v>677</v>
      </c>
      <c r="AA145" s="8">
        <v>4090180552</v>
      </c>
      <c r="AC145" s="35"/>
      <c r="AD145" s="15"/>
      <c r="AE145" s="235"/>
      <c r="AF145" s="243"/>
      <c r="AG145" s="9"/>
      <c r="AH145" s="31"/>
    </row>
    <row r="146" spans="1:34" ht="24.75" customHeight="1">
      <c r="A146" s="98" t="s">
        <v>853</v>
      </c>
      <c r="B146" s="98">
        <v>180553</v>
      </c>
      <c r="D146" s="1" t="s">
        <v>52</v>
      </c>
      <c r="E146" s="24">
        <v>46097</v>
      </c>
      <c r="F146" s="12"/>
      <c r="G146" s="12" t="s">
        <v>854</v>
      </c>
      <c r="H146" s="1"/>
      <c r="I146" s="1"/>
      <c r="J146" s="1"/>
      <c r="K146" s="1" t="s">
        <v>40</v>
      </c>
      <c r="L146" s="1" t="s">
        <v>55</v>
      </c>
      <c r="M146" s="1" t="s">
        <v>42</v>
      </c>
      <c r="N146" s="1" t="s">
        <v>43</v>
      </c>
      <c r="O146" s="8"/>
      <c r="P146" s="100"/>
      <c r="Q146" s="125"/>
      <c r="R146" s="235"/>
      <c r="S146" s="244"/>
      <c r="T146" s="12"/>
      <c r="U146" s="8"/>
      <c r="W146" s="70"/>
      <c r="X146" s="235"/>
      <c r="Y146" s="245"/>
      <c r="Z146" s="1" t="s">
        <v>677</v>
      </c>
      <c r="AA146" s="8">
        <v>4090180553</v>
      </c>
      <c r="AC146" s="35"/>
      <c r="AD146" s="15"/>
      <c r="AE146" s="235"/>
      <c r="AF146" s="243"/>
      <c r="AG146" s="9"/>
      <c r="AH146" s="31"/>
    </row>
    <row r="147" spans="1:34" ht="24.75" customHeight="1">
      <c r="A147" s="98" t="s">
        <v>855</v>
      </c>
      <c r="B147" s="98">
        <v>180561</v>
      </c>
      <c r="C147" s="35" t="s">
        <v>392</v>
      </c>
      <c r="D147" s="1" t="s">
        <v>52</v>
      </c>
      <c r="E147" s="24">
        <v>46098</v>
      </c>
      <c r="F147" s="12"/>
      <c r="G147" s="12"/>
      <c r="H147" s="1"/>
      <c r="I147" s="1"/>
      <c r="J147" s="1"/>
      <c r="K147" s="1" t="s">
        <v>40</v>
      </c>
      <c r="L147" s="1" t="s">
        <v>41</v>
      </c>
      <c r="M147" s="1" t="s">
        <v>42</v>
      </c>
      <c r="N147" s="1" t="s">
        <v>43</v>
      </c>
      <c r="O147" s="8" t="s">
        <v>856</v>
      </c>
      <c r="P147" s="100">
        <v>42030</v>
      </c>
      <c r="Q147" s="125"/>
      <c r="R147" s="235"/>
      <c r="S147" s="244"/>
      <c r="T147" s="12" t="s">
        <v>88</v>
      </c>
      <c r="U147" s="8"/>
      <c r="W147" s="70"/>
      <c r="X147" s="245">
        <v>46097</v>
      </c>
      <c r="Y147" s="245">
        <v>46098</v>
      </c>
      <c r="Z147" s="1" t="s">
        <v>677</v>
      </c>
      <c r="AA147" s="8">
        <v>4090180561</v>
      </c>
      <c r="AC147" s="35" t="s">
        <v>52</v>
      </c>
      <c r="AD147" s="15" t="s">
        <v>52</v>
      </c>
      <c r="AE147" s="235"/>
      <c r="AF147" s="243"/>
      <c r="AG147" s="9"/>
      <c r="AH147" s="31"/>
    </row>
    <row r="148" spans="1:34" ht="24.75" customHeight="1">
      <c r="A148" s="98" t="s">
        <v>857</v>
      </c>
      <c r="B148" s="98">
        <v>180565</v>
      </c>
      <c r="C148" s="230"/>
      <c r="D148" s="1" t="s">
        <v>52</v>
      </c>
      <c r="E148" s="24">
        <v>46098</v>
      </c>
      <c r="F148" s="12"/>
      <c r="G148" s="12"/>
      <c r="H148" s="1"/>
      <c r="I148" s="1"/>
      <c r="J148" s="1"/>
      <c r="K148" s="1"/>
      <c r="L148" s="1"/>
      <c r="M148" s="1"/>
      <c r="N148" s="1"/>
      <c r="O148" s="8"/>
      <c r="P148" s="100"/>
      <c r="Q148" s="125"/>
      <c r="R148" s="235"/>
      <c r="S148" s="244"/>
      <c r="T148" s="12"/>
      <c r="U148" s="8"/>
      <c r="W148" s="70"/>
      <c r="X148" s="235"/>
      <c r="Y148" s="245"/>
      <c r="Z148" s="1" t="s">
        <v>677</v>
      </c>
      <c r="AA148" s="8">
        <v>4090180565</v>
      </c>
      <c r="AC148" s="35"/>
      <c r="AD148" s="15"/>
      <c r="AE148" s="235"/>
      <c r="AF148" s="243"/>
      <c r="AG148" s="9"/>
      <c r="AH148" s="31"/>
    </row>
    <row r="149" spans="1:34" ht="24.75" customHeight="1">
      <c r="A149" s="98" t="s">
        <v>858</v>
      </c>
      <c r="B149" s="98">
        <v>180566</v>
      </c>
      <c r="C149" s="230"/>
      <c r="D149" s="1" t="s">
        <v>52</v>
      </c>
      <c r="E149" s="24">
        <v>46098</v>
      </c>
      <c r="F149" s="12"/>
      <c r="G149" s="12"/>
      <c r="H149" s="1"/>
      <c r="I149" s="1"/>
      <c r="J149" s="1"/>
      <c r="K149" s="1"/>
      <c r="L149" s="1"/>
      <c r="M149" s="1"/>
      <c r="N149" s="1"/>
      <c r="O149" s="8"/>
      <c r="P149" s="100"/>
      <c r="Q149" s="125"/>
      <c r="R149" s="235"/>
      <c r="S149" s="244"/>
      <c r="T149" s="12"/>
      <c r="U149" s="8"/>
      <c r="W149" s="70"/>
      <c r="X149" s="235"/>
      <c r="Y149" s="245"/>
      <c r="Z149" s="1" t="s">
        <v>677</v>
      </c>
      <c r="AA149" s="8">
        <v>4090180566</v>
      </c>
      <c r="AC149" s="35"/>
      <c r="AD149" s="15"/>
      <c r="AE149" s="235"/>
      <c r="AF149" s="243"/>
      <c r="AG149" s="9"/>
      <c r="AH149" s="31"/>
    </row>
    <row r="150" spans="1:34" ht="24.75" customHeight="1">
      <c r="C150" s="230"/>
      <c r="F150" s="12"/>
      <c r="G150" s="12"/>
      <c r="H150" s="1"/>
      <c r="I150" s="1"/>
      <c r="J150" s="1"/>
      <c r="K150" s="1"/>
      <c r="L150" s="1"/>
      <c r="M150" s="1"/>
      <c r="N150" s="1"/>
      <c r="O150" s="8"/>
      <c r="P150" s="100"/>
      <c r="Q150" s="125"/>
      <c r="R150" s="235"/>
      <c r="S150" s="244"/>
      <c r="T150" s="12"/>
      <c r="U150" s="8"/>
      <c r="W150" s="70"/>
      <c r="X150" s="235"/>
      <c r="Y150" s="245"/>
      <c r="Z150" s="1"/>
      <c r="AA150" s="8"/>
      <c r="AC150" s="35"/>
      <c r="AD150" s="15"/>
      <c r="AE150" s="235"/>
      <c r="AF150" s="243"/>
      <c r="AG150" s="9"/>
      <c r="AH150" s="31"/>
    </row>
    <row r="151" spans="1:34" ht="24.75" customHeight="1">
      <c r="C151" s="230"/>
      <c r="F151" s="12"/>
      <c r="G151" s="12"/>
      <c r="H151" s="1"/>
      <c r="I151" s="1"/>
      <c r="J151" s="1"/>
      <c r="K151" s="1"/>
      <c r="L151" s="1"/>
      <c r="M151" s="1"/>
      <c r="N151" s="1"/>
      <c r="O151" s="8"/>
      <c r="P151" s="100"/>
      <c r="Q151" s="125"/>
      <c r="R151" s="235"/>
      <c r="S151" s="244"/>
      <c r="T151" s="12"/>
      <c r="U151" s="8"/>
      <c r="W151" s="70"/>
      <c r="X151" s="235"/>
      <c r="Y151" s="245"/>
      <c r="Z151" s="1"/>
      <c r="AA151" s="8"/>
      <c r="AC151" s="35"/>
      <c r="AD151" s="15"/>
      <c r="AE151" s="235"/>
      <c r="AF151" s="243"/>
      <c r="AG151" s="9"/>
      <c r="AH151" s="31"/>
    </row>
    <row r="152" spans="1:34" ht="24.75" customHeight="1">
      <c r="C152" s="230"/>
      <c r="F152" s="12"/>
      <c r="G152" s="12"/>
      <c r="H152" s="1"/>
      <c r="I152" s="1"/>
      <c r="J152" s="1"/>
      <c r="K152" s="1"/>
      <c r="L152" s="1"/>
      <c r="M152" s="1"/>
      <c r="N152" s="1"/>
      <c r="O152" s="8"/>
      <c r="P152" s="100"/>
      <c r="Q152" s="125"/>
      <c r="R152" s="235"/>
      <c r="S152" s="244"/>
      <c r="T152" s="12"/>
      <c r="U152" s="8"/>
      <c r="W152" s="70"/>
      <c r="X152" s="235"/>
      <c r="Y152" s="245"/>
      <c r="Z152" s="1"/>
      <c r="AA152" s="8"/>
      <c r="AC152" s="35"/>
      <c r="AD152" s="15"/>
      <c r="AE152" s="235"/>
      <c r="AF152" s="243"/>
      <c r="AG152" s="9"/>
      <c r="AH152" s="31"/>
    </row>
    <row r="153" spans="1:34" ht="24.75" customHeight="1">
      <c r="C153" s="230"/>
      <c r="F153" s="12"/>
      <c r="G153" s="12"/>
      <c r="H153" s="1"/>
      <c r="I153" s="1"/>
      <c r="J153" s="1"/>
      <c r="K153" s="1"/>
      <c r="L153" s="1"/>
      <c r="M153" s="1"/>
      <c r="N153" s="1"/>
      <c r="O153" s="8"/>
      <c r="P153" s="100"/>
      <c r="Q153" s="125"/>
      <c r="R153" s="235"/>
      <c r="S153" s="244"/>
      <c r="T153" s="12"/>
      <c r="U153" s="8"/>
      <c r="W153" s="70"/>
      <c r="X153" s="235"/>
      <c r="Y153" s="245"/>
      <c r="Z153" s="1"/>
      <c r="AA153" s="8"/>
      <c r="AC153" s="35"/>
      <c r="AD153" s="15"/>
      <c r="AE153" s="235"/>
      <c r="AF153" s="243"/>
      <c r="AG153" s="9"/>
      <c r="AH153" s="31"/>
    </row>
    <row r="154" spans="1:34" ht="24.75" customHeight="1">
      <c r="C154" s="230"/>
      <c r="F154" s="12"/>
      <c r="G154" s="12"/>
      <c r="H154" s="1"/>
      <c r="I154" s="1"/>
      <c r="J154" s="1"/>
      <c r="K154" s="1"/>
      <c r="L154" s="1"/>
      <c r="M154" s="1"/>
      <c r="N154" s="1"/>
      <c r="O154" s="8"/>
      <c r="P154" s="100"/>
      <c r="Q154" s="125"/>
      <c r="R154" s="235"/>
      <c r="S154" s="244"/>
      <c r="T154" s="12"/>
      <c r="U154" s="8"/>
      <c r="W154" s="70"/>
      <c r="X154" s="235"/>
      <c r="Y154" s="245"/>
      <c r="Z154" s="1"/>
      <c r="AA154" s="8"/>
      <c r="AC154" s="35"/>
      <c r="AD154" s="15"/>
      <c r="AE154" s="235"/>
      <c r="AF154" s="243"/>
      <c r="AG154" s="9"/>
      <c r="AH154" s="31"/>
    </row>
    <row r="155" spans="1:34" ht="24.75" customHeight="1">
      <c r="C155" s="230"/>
      <c r="F155" s="12"/>
      <c r="G155" s="12"/>
      <c r="H155" s="1"/>
      <c r="I155" s="1"/>
      <c r="J155" s="1"/>
      <c r="K155" s="1"/>
      <c r="L155" s="1"/>
      <c r="M155" s="1"/>
      <c r="N155" s="1"/>
      <c r="O155" s="8"/>
      <c r="P155" s="100"/>
      <c r="Q155" s="125"/>
      <c r="R155" s="235"/>
      <c r="S155" s="244"/>
      <c r="T155" s="12"/>
      <c r="U155" s="8"/>
      <c r="W155" s="70"/>
      <c r="X155" s="235"/>
      <c r="Y155" s="245"/>
      <c r="Z155" s="1"/>
      <c r="AA155" s="8"/>
      <c r="AC155" s="35"/>
      <c r="AD155" s="15"/>
      <c r="AE155" s="235"/>
      <c r="AF155" s="243"/>
      <c r="AG155" s="9"/>
      <c r="AH155" s="31"/>
    </row>
    <row r="156" spans="1:34" ht="24.75" customHeight="1">
      <c r="C156" s="230"/>
      <c r="F156" s="12"/>
      <c r="G156" s="12"/>
      <c r="H156" s="1"/>
      <c r="I156" s="1"/>
      <c r="J156" s="1"/>
      <c r="K156" s="1"/>
      <c r="L156" s="1"/>
      <c r="M156" s="1"/>
      <c r="N156" s="1"/>
      <c r="O156" s="8"/>
      <c r="P156" s="100"/>
      <c r="Q156" s="125"/>
      <c r="R156" s="235"/>
      <c r="S156" s="244"/>
      <c r="T156" s="12"/>
      <c r="U156" s="8"/>
      <c r="W156" s="70"/>
      <c r="X156" s="235"/>
      <c r="Y156" s="245"/>
      <c r="Z156" s="1"/>
      <c r="AA156" s="8"/>
      <c r="AC156" s="35"/>
      <c r="AD156" s="15"/>
      <c r="AE156" s="235"/>
      <c r="AF156" s="243"/>
      <c r="AG156" s="9"/>
      <c r="AH156" s="31"/>
    </row>
    <row r="157" spans="1:34" ht="24.75" customHeight="1">
      <c r="C157" s="230"/>
      <c r="F157" s="12"/>
      <c r="G157" s="12"/>
      <c r="H157" s="1"/>
      <c r="I157" s="1"/>
      <c r="J157" s="1"/>
      <c r="K157" s="1"/>
      <c r="L157" s="1"/>
      <c r="M157" s="1"/>
      <c r="N157" s="1"/>
      <c r="O157" s="8"/>
      <c r="P157" s="100"/>
      <c r="Q157" s="125"/>
      <c r="R157" s="235"/>
      <c r="S157" s="244"/>
      <c r="T157" s="12"/>
      <c r="U157" s="8"/>
      <c r="W157" s="70"/>
      <c r="X157" s="235"/>
      <c r="Y157" s="245"/>
      <c r="Z157" s="1"/>
      <c r="AA157" s="8"/>
      <c r="AC157" s="35"/>
      <c r="AD157" s="15"/>
      <c r="AE157" s="235"/>
      <c r="AF157" s="243"/>
      <c r="AG157" s="9"/>
      <c r="AH157" s="31"/>
    </row>
    <row r="158" spans="1:34" ht="24.75" customHeight="1">
      <c r="C158" s="230"/>
      <c r="F158" s="12"/>
      <c r="G158" s="12"/>
      <c r="H158" s="1"/>
      <c r="I158" s="1"/>
      <c r="J158" s="1"/>
      <c r="K158" s="1"/>
      <c r="L158" s="1"/>
      <c r="M158" s="1"/>
      <c r="N158" s="1"/>
      <c r="O158" s="8"/>
      <c r="P158" s="100"/>
      <c r="Q158" s="125"/>
      <c r="R158" s="235"/>
      <c r="S158" s="244"/>
      <c r="T158" s="12"/>
      <c r="U158" s="8"/>
      <c r="W158" s="70"/>
      <c r="X158" s="235"/>
      <c r="Y158" s="245"/>
      <c r="Z158" s="1"/>
      <c r="AA158" s="8"/>
      <c r="AC158" s="35"/>
      <c r="AD158" s="15"/>
      <c r="AE158" s="235"/>
      <c r="AF158" s="243"/>
      <c r="AG158" s="9"/>
      <c r="AH158" s="31"/>
    </row>
    <row r="159" spans="1:34" ht="24.75" customHeight="1">
      <c r="C159" s="230"/>
      <c r="F159" s="12"/>
      <c r="G159" s="12"/>
      <c r="H159" s="1"/>
      <c r="I159" s="1"/>
      <c r="J159" s="1"/>
      <c r="K159" s="1"/>
      <c r="L159" s="1"/>
      <c r="M159" s="1"/>
      <c r="N159" s="1"/>
      <c r="O159" s="8"/>
      <c r="P159" s="100"/>
      <c r="Q159" s="125"/>
      <c r="R159" s="235"/>
      <c r="S159" s="244"/>
      <c r="T159" s="12"/>
      <c r="U159" s="8"/>
      <c r="W159" s="70"/>
      <c r="X159" s="235"/>
      <c r="Y159" s="245"/>
      <c r="Z159" s="1"/>
      <c r="AA159" s="8"/>
      <c r="AC159" s="35"/>
      <c r="AD159" s="15"/>
      <c r="AE159" s="235"/>
      <c r="AF159" s="243"/>
      <c r="AG159" s="9"/>
      <c r="AH159" s="31"/>
    </row>
    <row r="160" spans="1:34" ht="24.75" customHeight="1">
      <c r="C160" s="230"/>
      <c r="F160" s="12"/>
      <c r="G160" s="12"/>
      <c r="H160" s="1"/>
      <c r="I160" s="1"/>
      <c r="J160" s="1"/>
      <c r="K160" s="1"/>
      <c r="L160" s="1"/>
      <c r="M160" s="1"/>
      <c r="N160" s="1"/>
      <c r="O160" s="8"/>
      <c r="P160" s="100"/>
      <c r="Q160" s="125"/>
      <c r="R160" s="235"/>
      <c r="S160" s="244"/>
      <c r="T160" s="12"/>
      <c r="U160" s="8"/>
      <c r="W160" s="70"/>
      <c r="X160" s="235"/>
      <c r="Y160" s="245"/>
      <c r="Z160" s="1"/>
      <c r="AA160" s="8"/>
      <c r="AC160" s="35"/>
      <c r="AD160" s="15"/>
      <c r="AE160" s="235"/>
      <c r="AF160" s="243"/>
      <c r="AG160" s="9"/>
      <c r="AH160" s="31"/>
    </row>
    <row r="161" spans="3:34" ht="24.75" customHeight="1">
      <c r="C161" s="230"/>
      <c r="F161" s="12"/>
      <c r="G161" s="12"/>
      <c r="H161" s="1"/>
      <c r="I161" s="1"/>
      <c r="J161" s="1"/>
      <c r="K161" s="1"/>
      <c r="L161" s="1"/>
      <c r="M161" s="1"/>
      <c r="N161" s="1"/>
      <c r="O161" s="8"/>
      <c r="P161" s="100"/>
      <c r="Q161" s="125"/>
      <c r="R161" s="235"/>
      <c r="S161" s="244"/>
      <c r="T161" s="12"/>
      <c r="U161" s="8"/>
      <c r="W161" s="70"/>
      <c r="X161" s="235"/>
      <c r="Y161" s="245"/>
      <c r="Z161" s="1"/>
      <c r="AA161" s="8"/>
      <c r="AC161" s="35"/>
      <c r="AD161" s="15"/>
      <c r="AE161" s="235"/>
      <c r="AF161" s="243"/>
      <c r="AG161" s="9"/>
      <c r="AH161" s="31"/>
    </row>
    <row r="162" spans="3:34" ht="24.75" customHeight="1">
      <c r="C162" s="230"/>
      <c r="F162" s="12"/>
      <c r="G162" s="12"/>
      <c r="H162" s="1"/>
      <c r="I162" s="1"/>
      <c r="J162" s="1"/>
      <c r="K162" s="1"/>
      <c r="L162" s="1"/>
      <c r="M162" s="1"/>
      <c r="N162" s="1"/>
      <c r="O162" s="8"/>
      <c r="P162" s="100"/>
      <c r="Q162" s="125"/>
      <c r="R162" s="235"/>
      <c r="S162" s="244"/>
      <c r="T162" s="12"/>
      <c r="U162" s="8"/>
      <c r="W162" s="70"/>
      <c r="X162" s="235"/>
      <c r="Y162" s="245"/>
      <c r="Z162" s="1"/>
      <c r="AA162" s="8"/>
      <c r="AC162" s="35"/>
      <c r="AD162" s="15"/>
      <c r="AE162" s="235"/>
      <c r="AF162" s="243"/>
      <c r="AG162" s="9"/>
      <c r="AH162" s="31"/>
    </row>
    <row r="163" spans="3:34" ht="24.75" customHeight="1">
      <c r="C163" s="230"/>
      <c r="F163" s="12"/>
      <c r="G163" s="12"/>
      <c r="H163" s="1"/>
      <c r="I163" s="1"/>
      <c r="J163" s="1"/>
      <c r="K163" s="1"/>
      <c r="L163" s="1"/>
      <c r="M163" s="1"/>
      <c r="N163" s="1"/>
      <c r="O163" s="8"/>
      <c r="P163" s="100"/>
      <c r="Q163" s="125"/>
      <c r="R163" s="235"/>
      <c r="S163" s="244"/>
      <c r="T163" s="12"/>
      <c r="U163" s="8"/>
      <c r="W163" s="70"/>
      <c r="X163" s="235"/>
      <c r="Y163" s="245"/>
      <c r="Z163" s="1"/>
      <c r="AA163" s="8"/>
      <c r="AC163" s="35"/>
      <c r="AD163" s="15"/>
      <c r="AE163" s="235"/>
      <c r="AF163" s="243"/>
      <c r="AG163" s="9"/>
      <c r="AH163" s="31"/>
    </row>
    <row r="164" spans="3:34" ht="24.75" customHeight="1">
      <c r="C164" s="230"/>
      <c r="F164" s="12"/>
      <c r="G164" s="12"/>
      <c r="H164" s="1"/>
      <c r="I164" s="1"/>
      <c r="J164" s="1"/>
      <c r="K164" s="1"/>
      <c r="L164" s="1"/>
      <c r="M164" s="1"/>
      <c r="N164" s="1"/>
      <c r="O164" s="8"/>
      <c r="P164" s="100"/>
      <c r="Q164" s="125"/>
      <c r="R164" s="235"/>
      <c r="S164" s="244"/>
      <c r="T164" s="12"/>
      <c r="U164" s="8"/>
      <c r="W164" s="70"/>
      <c r="X164" s="235"/>
      <c r="Y164" s="245"/>
      <c r="Z164" s="1"/>
      <c r="AA164" s="8"/>
      <c r="AC164" s="35"/>
      <c r="AD164" s="15"/>
      <c r="AE164" s="235"/>
      <c r="AF164" s="243"/>
      <c r="AG164" s="9"/>
      <c r="AH164" s="31"/>
    </row>
    <row r="165" spans="3:34" ht="24.75" customHeight="1">
      <c r="C165" s="230"/>
      <c r="F165" s="12"/>
      <c r="G165" s="12"/>
      <c r="H165" s="1"/>
      <c r="I165" s="1"/>
      <c r="J165" s="1"/>
      <c r="K165" s="1"/>
      <c r="L165" s="1"/>
      <c r="M165" s="1"/>
      <c r="N165" s="1"/>
      <c r="O165" s="8"/>
      <c r="P165" s="100"/>
      <c r="Q165" s="125"/>
      <c r="R165" s="235"/>
      <c r="S165" s="244"/>
      <c r="T165" s="12"/>
      <c r="U165" s="8"/>
      <c r="W165" s="70"/>
      <c r="X165" s="235"/>
      <c r="Y165" s="245"/>
      <c r="Z165" s="1"/>
      <c r="AA165" s="8"/>
      <c r="AC165" s="35"/>
      <c r="AD165" s="15"/>
      <c r="AE165" s="235"/>
      <c r="AF165" s="243"/>
      <c r="AG165" s="9"/>
      <c r="AH165" s="31"/>
    </row>
    <row r="166" spans="3:34" ht="24.75" customHeight="1">
      <c r="C166" s="230"/>
      <c r="F166" s="12"/>
      <c r="G166" s="12"/>
      <c r="H166" s="1"/>
      <c r="I166" s="1"/>
      <c r="J166" s="1"/>
      <c r="K166" s="1"/>
      <c r="L166" s="1"/>
      <c r="M166" s="1"/>
      <c r="N166" s="1"/>
      <c r="O166" s="8"/>
      <c r="P166" s="100"/>
      <c r="Q166" s="125"/>
      <c r="R166" s="235"/>
      <c r="S166" s="244"/>
      <c r="T166" s="12"/>
      <c r="U166" s="8"/>
      <c r="W166" s="70"/>
      <c r="X166" s="235"/>
      <c r="Y166" s="245"/>
      <c r="Z166" s="1"/>
      <c r="AA166" s="8"/>
      <c r="AC166" s="35"/>
      <c r="AD166" s="15"/>
      <c r="AE166" s="235"/>
      <c r="AF166" s="243"/>
      <c r="AG166" s="9"/>
      <c r="AH166" s="31"/>
    </row>
    <row r="167" spans="3:34" ht="24.75" customHeight="1">
      <c r="C167" s="230"/>
      <c r="F167" s="12"/>
      <c r="G167" s="12"/>
      <c r="H167" s="1"/>
      <c r="I167" s="1"/>
      <c r="J167" s="1"/>
      <c r="K167" s="1"/>
      <c r="L167" s="1"/>
      <c r="M167" s="1"/>
      <c r="N167" s="1"/>
      <c r="O167" s="8"/>
      <c r="P167" s="100"/>
      <c r="Q167" s="125"/>
      <c r="R167" s="235"/>
      <c r="S167" s="244"/>
      <c r="T167" s="12"/>
      <c r="U167" s="8"/>
      <c r="W167" s="70"/>
      <c r="X167" s="235"/>
      <c r="Y167" s="245"/>
      <c r="Z167" s="1"/>
      <c r="AA167" s="8"/>
      <c r="AC167" s="35"/>
      <c r="AD167" s="15"/>
      <c r="AE167" s="235"/>
      <c r="AF167" s="243"/>
      <c r="AG167" s="9"/>
      <c r="AH167" s="31"/>
    </row>
    <row r="168" spans="3:34" ht="24.75" customHeight="1">
      <c r="C168" s="230"/>
      <c r="F168" s="12"/>
      <c r="G168" s="12"/>
      <c r="H168" s="1"/>
      <c r="I168" s="1"/>
      <c r="J168" s="1"/>
      <c r="K168" s="1"/>
      <c r="L168" s="1"/>
      <c r="M168" s="1"/>
      <c r="N168" s="1"/>
      <c r="O168" s="8"/>
      <c r="P168" s="100"/>
      <c r="Q168" s="125"/>
      <c r="R168" s="235"/>
      <c r="S168" s="244"/>
      <c r="T168" s="12"/>
      <c r="U168" s="8"/>
      <c r="W168" s="70"/>
      <c r="X168" s="235"/>
      <c r="Y168" s="245"/>
      <c r="Z168" s="1"/>
      <c r="AA168" s="8"/>
      <c r="AC168" s="35"/>
      <c r="AD168" s="15"/>
      <c r="AE168" s="235"/>
      <c r="AF168" s="243"/>
      <c r="AG168" s="9"/>
      <c r="AH168" s="31"/>
    </row>
    <row r="169" spans="3:34" ht="24.75" customHeight="1">
      <c r="C169" s="230"/>
      <c r="F169" s="12"/>
      <c r="G169" s="12"/>
      <c r="H169" s="1"/>
      <c r="I169" s="1"/>
      <c r="J169" s="1"/>
      <c r="K169" s="1"/>
      <c r="L169" s="1"/>
      <c r="M169" s="1"/>
      <c r="N169" s="1"/>
      <c r="O169" s="8"/>
      <c r="P169" s="100"/>
      <c r="Q169" s="125"/>
      <c r="R169" s="235"/>
      <c r="S169" s="244"/>
      <c r="T169" s="12"/>
      <c r="U169" s="8"/>
      <c r="W169" s="70"/>
      <c r="X169" s="235"/>
      <c r="Y169" s="245"/>
      <c r="Z169" s="1"/>
      <c r="AA169" s="8"/>
      <c r="AC169" s="35"/>
      <c r="AD169" s="15"/>
      <c r="AE169" s="235"/>
      <c r="AF169" s="243"/>
      <c r="AG169" s="9"/>
      <c r="AH169" s="31"/>
    </row>
    <row r="170" spans="3:34" ht="24.75" customHeight="1">
      <c r="C170" s="230"/>
      <c r="F170" s="12"/>
      <c r="G170" s="12"/>
      <c r="H170" s="1"/>
      <c r="I170" s="1"/>
      <c r="J170" s="1"/>
      <c r="K170" s="1"/>
      <c r="L170" s="1"/>
      <c r="M170" s="1"/>
      <c r="N170" s="1"/>
      <c r="O170" s="8"/>
      <c r="P170" s="100"/>
      <c r="Q170" s="125"/>
      <c r="R170" s="235"/>
      <c r="S170" s="244"/>
      <c r="T170" s="12"/>
      <c r="U170" s="8"/>
      <c r="W170" s="70"/>
      <c r="X170" s="235"/>
      <c r="Y170" s="245"/>
      <c r="Z170" s="1"/>
      <c r="AA170" s="8"/>
      <c r="AC170" s="35"/>
      <c r="AD170" s="15"/>
      <c r="AE170" s="235"/>
      <c r="AF170" s="243"/>
      <c r="AG170" s="9"/>
      <c r="AH170" s="31"/>
    </row>
    <row r="171" spans="3:34" ht="24.75" customHeight="1">
      <c r="C171" s="230"/>
      <c r="F171" s="12"/>
      <c r="G171" s="12"/>
      <c r="H171" s="1"/>
      <c r="I171" s="1"/>
      <c r="J171" s="1"/>
      <c r="K171" s="1"/>
      <c r="L171" s="1"/>
      <c r="M171" s="1"/>
      <c r="N171" s="1"/>
      <c r="O171" s="8"/>
      <c r="P171" s="100"/>
      <c r="Q171" s="125"/>
      <c r="R171" s="235"/>
      <c r="S171" s="244"/>
      <c r="T171" s="12"/>
      <c r="U171" s="8"/>
      <c r="W171" s="70"/>
      <c r="X171" s="235"/>
      <c r="Y171" s="245"/>
      <c r="Z171" s="1"/>
      <c r="AA171" s="8"/>
      <c r="AC171" s="35"/>
      <c r="AD171" s="15"/>
      <c r="AE171" s="235"/>
      <c r="AF171" s="243"/>
      <c r="AG171" s="9"/>
      <c r="AH171" s="31"/>
    </row>
    <row r="172" spans="3:34" ht="24.75" customHeight="1">
      <c r="C172" s="230"/>
      <c r="F172" s="12"/>
      <c r="G172" s="12"/>
      <c r="H172" s="1"/>
      <c r="I172" s="1"/>
      <c r="J172" s="1"/>
      <c r="K172" s="1"/>
      <c r="L172" s="1"/>
      <c r="M172" s="1"/>
      <c r="N172" s="1"/>
      <c r="O172" s="8"/>
      <c r="P172" s="100"/>
      <c r="Q172" s="125"/>
      <c r="R172" s="235"/>
      <c r="S172" s="244"/>
      <c r="T172" s="12"/>
      <c r="U172" s="8"/>
      <c r="W172" s="70"/>
      <c r="X172" s="235"/>
      <c r="Y172" s="245"/>
      <c r="Z172" s="1"/>
      <c r="AA172" s="8"/>
      <c r="AC172" s="35"/>
      <c r="AD172" s="15"/>
      <c r="AE172" s="235"/>
      <c r="AF172" s="243"/>
      <c r="AG172" s="9"/>
      <c r="AH172" s="31"/>
    </row>
    <row r="173" spans="3:34" ht="24.75" customHeight="1">
      <c r="C173" s="230"/>
      <c r="F173" s="12"/>
      <c r="G173" s="12"/>
      <c r="H173" s="1"/>
      <c r="I173" s="1"/>
      <c r="J173" s="1"/>
      <c r="K173" s="1"/>
      <c r="L173" s="1"/>
      <c r="M173" s="1"/>
      <c r="N173" s="1"/>
      <c r="O173" s="8"/>
      <c r="P173" s="100"/>
      <c r="Q173" s="125"/>
      <c r="R173" s="235"/>
      <c r="S173" s="244"/>
      <c r="T173" s="12"/>
      <c r="U173" s="8"/>
      <c r="W173" s="70"/>
      <c r="X173" s="235"/>
      <c r="Y173" s="245"/>
      <c r="Z173" s="1"/>
      <c r="AA173" s="8"/>
      <c r="AC173" s="35"/>
      <c r="AD173" s="15"/>
      <c r="AE173" s="235"/>
      <c r="AF173" s="243"/>
      <c r="AG173" s="9"/>
      <c r="AH173" s="31"/>
    </row>
    <row r="174" spans="3:34" ht="24.75" customHeight="1">
      <c r="C174" s="230"/>
      <c r="F174" s="12"/>
      <c r="G174" s="12"/>
      <c r="H174" s="1"/>
      <c r="I174" s="1"/>
      <c r="J174" s="1"/>
      <c r="K174" s="1"/>
      <c r="L174" s="1"/>
      <c r="M174" s="1"/>
      <c r="N174" s="1"/>
      <c r="O174" s="8"/>
      <c r="P174" s="100"/>
      <c r="Q174" s="125"/>
      <c r="R174" s="235"/>
      <c r="S174" s="244"/>
      <c r="T174" s="12"/>
      <c r="U174" s="8"/>
      <c r="W174" s="70"/>
      <c r="X174" s="235"/>
      <c r="Y174" s="245"/>
      <c r="Z174" s="1"/>
      <c r="AA174" s="8"/>
      <c r="AC174" s="35"/>
      <c r="AD174" s="15"/>
      <c r="AE174" s="235"/>
      <c r="AF174" s="243"/>
      <c r="AG174" s="9"/>
      <c r="AH174" s="31"/>
    </row>
    <row r="175" spans="3:34" ht="24.75" customHeight="1">
      <c r="C175" s="230"/>
      <c r="F175" s="12"/>
      <c r="G175" s="12"/>
      <c r="H175" s="1"/>
      <c r="I175" s="1"/>
      <c r="J175" s="1"/>
      <c r="K175" s="1"/>
      <c r="L175" s="1"/>
      <c r="M175" s="1"/>
      <c r="N175" s="1"/>
      <c r="O175" s="8"/>
      <c r="P175" s="100"/>
      <c r="Q175" s="125"/>
      <c r="R175" s="235"/>
      <c r="S175" s="244"/>
      <c r="T175" s="12"/>
      <c r="U175" s="8"/>
      <c r="W175" s="70"/>
      <c r="X175" s="235"/>
      <c r="Y175" s="245"/>
      <c r="Z175" s="1"/>
      <c r="AA175" s="8"/>
      <c r="AC175" s="35"/>
      <c r="AD175" s="15"/>
      <c r="AE175" s="235"/>
      <c r="AF175" s="243"/>
      <c r="AG175" s="9"/>
      <c r="AH175" s="31"/>
    </row>
    <row r="176" spans="3:34" ht="24.75" customHeight="1">
      <c r="C176" s="230"/>
      <c r="F176" s="12"/>
      <c r="G176" s="12"/>
      <c r="H176" s="1"/>
      <c r="I176" s="1"/>
      <c r="J176" s="1"/>
      <c r="K176" s="1"/>
      <c r="L176" s="1"/>
      <c r="M176" s="1"/>
      <c r="N176" s="1"/>
      <c r="O176" s="8"/>
      <c r="P176" s="100"/>
      <c r="Q176" s="125"/>
      <c r="R176" s="235"/>
      <c r="S176" s="244"/>
      <c r="T176" s="12"/>
      <c r="U176" s="8"/>
      <c r="W176" s="70"/>
      <c r="X176" s="235"/>
      <c r="Y176" s="245"/>
      <c r="Z176" s="1"/>
      <c r="AA176" s="8"/>
      <c r="AC176" s="35"/>
      <c r="AD176" s="15"/>
      <c r="AE176" s="235"/>
      <c r="AF176" s="243"/>
      <c r="AG176" s="9"/>
      <c r="AH176" s="31"/>
    </row>
    <row r="177" spans="3:34" ht="24.75" customHeight="1">
      <c r="C177" s="230"/>
      <c r="F177" s="12"/>
      <c r="G177" s="12"/>
      <c r="H177" s="1"/>
      <c r="I177" s="1"/>
      <c r="J177" s="1"/>
      <c r="K177" s="1"/>
      <c r="L177" s="1"/>
      <c r="M177" s="1"/>
      <c r="N177" s="1"/>
      <c r="O177" s="8"/>
      <c r="P177" s="100"/>
      <c r="Q177" s="125"/>
      <c r="R177" s="235"/>
      <c r="S177" s="244"/>
      <c r="T177" s="12"/>
      <c r="U177" s="8"/>
      <c r="W177" s="70"/>
      <c r="X177" s="235"/>
      <c r="Y177" s="245"/>
      <c r="Z177" s="1"/>
      <c r="AA177" s="8"/>
      <c r="AC177" s="35"/>
      <c r="AD177" s="15"/>
      <c r="AE177" s="235"/>
      <c r="AF177" s="243"/>
      <c r="AG177" s="9"/>
      <c r="AH177" s="31"/>
    </row>
    <row r="178" spans="3:34" ht="24.75" customHeight="1">
      <c r="C178" s="230"/>
      <c r="F178" s="12"/>
      <c r="G178" s="12"/>
      <c r="H178" s="1"/>
      <c r="I178" s="1"/>
      <c r="J178" s="1"/>
      <c r="K178" s="1"/>
      <c r="L178" s="1"/>
      <c r="M178" s="1"/>
      <c r="N178" s="1"/>
      <c r="O178" s="8"/>
      <c r="P178" s="100"/>
      <c r="Q178" s="125"/>
      <c r="R178" s="235"/>
      <c r="S178" s="244"/>
      <c r="T178" s="12"/>
      <c r="U178" s="8"/>
      <c r="W178" s="70"/>
      <c r="X178" s="235"/>
      <c r="Y178" s="245"/>
      <c r="Z178" s="1"/>
      <c r="AA178" s="8"/>
      <c r="AC178" s="35"/>
      <c r="AD178" s="15"/>
      <c r="AE178" s="235"/>
      <c r="AF178" s="243"/>
      <c r="AG178" s="9"/>
      <c r="AH178" s="31"/>
    </row>
    <row r="179" spans="3:34" ht="24.75" customHeight="1">
      <c r="C179" s="230"/>
      <c r="F179" s="12"/>
      <c r="G179" s="12"/>
      <c r="H179" s="1"/>
      <c r="I179" s="1"/>
      <c r="J179" s="1"/>
      <c r="K179" s="1"/>
      <c r="L179" s="1"/>
      <c r="M179" s="1"/>
      <c r="N179" s="1"/>
      <c r="O179" s="8"/>
      <c r="P179" s="100"/>
      <c r="Q179" s="125"/>
      <c r="R179" s="235"/>
      <c r="S179" s="244"/>
      <c r="T179" s="12"/>
      <c r="U179" s="8"/>
      <c r="W179" s="70"/>
      <c r="X179" s="235"/>
      <c r="Y179" s="245"/>
      <c r="Z179" s="1"/>
      <c r="AA179" s="8"/>
      <c r="AC179" s="35"/>
      <c r="AD179" s="15"/>
      <c r="AE179" s="235"/>
      <c r="AF179" s="243"/>
      <c r="AG179" s="9"/>
      <c r="AH179" s="31"/>
    </row>
    <row r="180" spans="3:34" ht="24.75" customHeight="1">
      <c r="C180" s="230"/>
      <c r="F180" s="12"/>
      <c r="G180" s="12"/>
      <c r="H180" s="1"/>
      <c r="I180" s="1"/>
      <c r="J180" s="1"/>
      <c r="K180" s="1"/>
      <c r="L180" s="1"/>
      <c r="M180" s="1"/>
      <c r="N180" s="1"/>
      <c r="O180" s="8"/>
      <c r="P180" s="100"/>
      <c r="Q180" s="125"/>
      <c r="R180" s="235"/>
      <c r="S180" s="244"/>
      <c r="T180" s="12"/>
      <c r="U180" s="8"/>
      <c r="W180" s="70"/>
      <c r="X180" s="235"/>
      <c r="Y180" s="245"/>
      <c r="Z180" s="1"/>
      <c r="AA180" s="8"/>
      <c r="AC180" s="35"/>
      <c r="AD180" s="15"/>
      <c r="AE180" s="235"/>
      <c r="AF180" s="243"/>
      <c r="AG180" s="9"/>
      <c r="AH180" s="31"/>
    </row>
    <row r="181" spans="3:34" ht="24.75" customHeight="1">
      <c r="C181" s="230"/>
      <c r="F181" s="12"/>
      <c r="G181" s="12"/>
      <c r="H181" s="1"/>
      <c r="I181" s="1"/>
      <c r="J181" s="1"/>
      <c r="K181" s="1"/>
      <c r="L181" s="1"/>
      <c r="M181" s="1"/>
      <c r="N181" s="1"/>
      <c r="O181" s="8"/>
      <c r="P181" s="100"/>
      <c r="Q181" s="125"/>
      <c r="R181" s="235"/>
      <c r="S181" s="244"/>
      <c r="T181" s="12"/>
      <c r="U181" s="8"/>
      <c r="W181" s="70"/>
      <c r="X181" s="235"/>
      <c r="Y181" s="245"/>
      <c r="Z181" s="1"/>
      <c r="AA181" s="8"/>
      <c r="AC181" s="35"/>
      <c r="AD181" s="15"/>
      <c r="AE181" s="235"/>
      <c r="AF181" s="243"/>
      <c r="AG181" s="9"/>
      <c r="AH181" s="31"/>
    </row>
    <row r="182" spans="3:34" ht="24.75" customHeight="1">
      <c r="C182" s="230"/>
      <c r="F182" s="12"/>
      <c r="G182" s="12"/>
      <c r="H182" s="1"/>
      <c r="I182" s="1"/>
      <c r="J182" s="1"/>
      <c r="K182" s="1"/>
      <c r="L182" s="1"/>
      <c r="M182" s="1"/>
      <c r="N182" s="1"/>
      <c r="O182" s="8"/>
      <c r="P182" s="100"/>
      <c r="Q182" s="125"/>
      <c r="R182" s="235"/>
      <c r="S182" s="244"/>
      <c r="T182" s="12"/>
      <c r="U182" s="8"/>
      <c r="W182" s="70"/>
      <c r="X182" s="235"/>
      <c r="Y182" s="245"/>
      <c r="Z182" s="1"/>
      <c r="AA182" s="8"/>
      <c r="AC182" s="35"/>
      <c r="AD182" s="15"/>
      <c r="AE182" s="235"/>
      <c r="AF182" s="243"/>
      <c r="AG182" s="9"/>
      <c r="AH182" s="31"/>
    </row>
    <row r="183" spans="3:34" ht="24.75" customHeight="1">
      <c r="C183" s="230"/>
      <c r="F183" s="12"/>
      <c r="G183" s="12"/>
      <c r="H183" s="1"/>
      <c r="I183" s="1"/>
      <c r="J183" s="1"/>
      <c r="K183" s="1"/>
      <c r="L183" s="1"/>
      <c r="M183" s="1"/>
      <c r="N183" s="1"/>
      <c r="O183" s="8"/>
      <c r="P183" s="100"/>
      <c r="Q183" s="125"/>
      <c r="R183" s="235"/>
      <c r="S183" s="244"/>
      <c r="T183" s="12"/>
      <c r="U183" s="8"/>
      <c r="W183" s="70"/>
      <c r="X183" s="235"/>
      <c r="Y183" s="245"/>
      <c r="Z183" s="1"/>
      <c r="AA183" s="8"/>
      <c r="AC183" s="35"/>
      <c r="AD183" s="15"/>
      <c r="AE183" s="235"/>
      <c r="AF183" s="243"/>
      <c r="AG183" s="9"/>
      <c r="AH183" s="31"/>
    </row>
    <row r="184" spans="3:34" ht="24.75" customHeight="1">
      <c r="C184" s="230"/>
      <c r="F184" s="12"/>
      <c r="G184" s="12"/>
      <c r="H184" s="1"/>
      <c r="I184" s="1"/>
      <c r="J184" s="1"/>
      <c r="K184" s="1"/>
      <c r="L184" s="1"/>
      <c r="M184" s="1"/>
      <c r="N184" s="1"/>
      <c r="O184" s="8"/>
      <c r="P184" s="100"/>
      <c r="Q184" s="125"/>
      <c r="R184" s="235"/>
      <c r="S184" s="244"/>
      <c r="T184" s="12"/>
      <c r="U184" s="8"/>
      <c r="W184" s="70"/>
      <c r="X184" s="235"/>
      <c r="Y184" s="245"/>
      <c r="Z184" s="1"/>
      <c r="AA184" s="8"/>
      <c r="AC184" s="35"/>
      <c r="AD184" s="15"/>
      <c r="AE184" s="235"/>
      <c r="AF184" s="243"/>
      <c r="AG184" s="9"/>
      <c r="AH184" s="31"/>
    </row>
    <row r="185" spans="3:34" ht="24.75" customHeight="1">
      <c r="C185" s="230"/>
      <c r="F185" s="12"/>
      <c r="G185" s="12"/>
      <c r="H185" s="1"/>
      <c r="I185" s="1"/>
      <c r="J185" s="1"/>
      <c r="K185" s="1"/>
      <c r="L185" s="1"/>
      <c r="M185" s="1"/>
      <c r="N185" s="1"/>
      <c r="O185" s="8"/>
      <c r="P185" s="100"/>
      <c r="Q185" s="125"/>
      <c r="R185" s="235"/>
      <c r="S185" s="244"/>
      <c r="T185" s="12"/>
      <c r="U185" s="8"/>
      <c r="W185" s="70"/>
      <c r="X185" s="235"/>
      <c r="Y185" s="245"/>
      <c r="Z185" s="1"/>
      <c r="AA185" s="8"/>
      <c r="AC185" s="35"/>
      <c r="AD185" s="15"/>
      <c r="AE185" s="235"/>
      <c r="AF185" s="243"/>
      <c r="AG185" s="9"/>
      <c r="AH185" s="31"/>
    </row>
    <row r="186" spans="3:34" ht="24.75" customHeight="1">
      <c r="C186" s="230"/>
      <c r="F186" s="12"/>
      <c r="G186" s="12"/>
      <c r="H186" s="1"/>
      <c r="I186" s="1"/>
      <c r="J186" s="1"/>
      <c r="K186" s="1"/>
      <c r="L186" s="1"/>
      <c r="M186" s="1"/>
      <c r="N186" s="1"/>
      <c r="O186" s="8"/>
      <c r="P186" s="100"/>
      <c r="Q186" s="125"/>
      <c r="R186" s="235"/>
      <c r="S186" s="244"/>
      <c r="T186" s="12"/>
      <c r="U186" s="8"/>
      <c r="W186" s="70"/>
      <c r="X186" s="235"/>
      <c r="Y186" s="245"/>
      <c r="Z186" s="1"/>
      <c r="AA186" s="8"/>
      <c r="AC186" s="35"/>
      <c r="AD186" s="15"/>
      <c r="AE186" s="235"/>
      <c r="AF186" s="243"/>
      <c r="AG186" s="9"/>
      <c r="AH186" s="31"/>
    </row>
    <row r="187" spans="3:34" ht="24.75" customHeight="1">
      <c r="C187" s="230"/>
      <c r="F187" s="12"/>
      <c r="G187" s="12"/>
      <c r="H187" s="1"/>
      <c r="I187" s="1"/>
      <c r="J187" s="1"/>
      <c r="K187" s="1"/>
      <c r="L187" s="1"/>
      <c r="M187" s="1"/>
      <c r="N187" s="1"/>
      <c r="O187" s="8"/>
      <c r="P187" s="100"/>
      <c r="Q187" s="125"/>
      <c r="R187" s="235"/>
      <c r="S187" s="244"/>
      <c r="T187" s="12"/>
      <c r="U187" s="8"/>
      <c r="W187" s="70"/>
      <c r="X187" s="235"/>
      <c r="Y187" s="245"/>
      <c r="Z187" s="1"/>
      <c r="AA187" s="8"/>
      <c r="AC187" s="35"/>
      <c r="AD187" s="15"/>
      <c r="AE187" s="235"/>
      <c r="AF187" s="243"/>
      <c r="AG187" s="9"/>
      <c r="AH187" s="31"/>
    </row>
    <row r="188" spans="3:34" ht="24.75" customHeight="1">
      <c r="C188" s="230"/>
      <c r="F188" s="12"/>
      <c r="G188" s="12"/>
      <c r="H188" s="1"/>
      <c r="I188" s="1"/>
      <c r="J188" s="1"/>
      <c r="K188" s="1"/>
      <c r="L188" s="1"/>
      <c r="M188" s="1"/>
      <c r="N188" s="1"/>
      <c r="O188" s="8"/>
      <c r="P188" s="100"/>
      <c r="Q188" s="125"/>
      <c r="R188" s="235"/>
      <c r="S188" s="244"/>
      <c r="T188" s="12"/>
      <c r="U188" s="8"/>
      <c r="W188" s="70"/>
      <c r="X188" s="235"/>
      <c r="Y188" s="245"/>
      <c r="Z188" s="1"/>
      <c r="AA188" s="8"/>
      <c r="AC188" s="35"/>
      <c r="AD188" s="15"/>
      <c r="AE188" s="235"/>
      <c r="AF188" s="243"/>
      <c r="AG188" s="9"/>
      <c r="AH188" s="31"/>
    </row>
    <row r="189" spans="3:34" ht="24.75" customHeight="1">
      <c r="C189" s="230"/>
      <c r="F189" s="12"/>
      <c r="G189" s="12"/>
      <c r="H189" s="1"/>
      <c r="I189" s="1"/>
      <c r="J189" s="1"/>
      <c r="K189" s="1"/>
      <c r="L189" s="1"/>
      <c r="M189" s="1"/>
      <c r="N189" s="1"/>
      <c r="O189" s="8"/>
      <c r="P189" s="100"/>
      <c r="Q189" s="125"/>
      <c r="R189" s="235"/>
      <c r="S189" s="244"/>
      <c r="T189" s="12"/>
      <c r="U189" s="8"/>
      <c r="W189" s="70"/>
      <c r="X189" s="235"/>
      <c r="Y189" s="245"/>
      <c r="Z189" s="1"/>
      <c r="AA189" s="8"/>
      <c r="AC189" s="35"/>
      <c r="AD189" s="15"/>
      <c r="AE189" s="235"/>
      <c r="AF189" s="243"/>
      <c r="AG189" s="9"/>
      <c r="AH189" s="31"/>
    </row>
    <row r="190" spans="3:34" ht="24.75" customHeight="1">
      <c r="C190" s="230"/>
      <c r="F190" s="12"/>
      <c r="G190" s="12"/>
      <c r="H190" s="1"/>
      <c r="I190" s="1"/>
      <c r="J190" s="1"/>
      <c r="K190" s="1"/>
      <c r="L190" s="1"/>
      <c r="M190" s="1"/>
      <c r="N190" s="1"/>
      <c r="O190" s="8"/>
      <c r="P190" s="100"/>
      <c r="Q190" s="125"/>
      <c r="R190" s="235"/>
      <c r="S190" s="244"/>
      <c r="T190" s="12"/>
      <c r="U190" s="8"/>
      <c r="W190" s="70"/>
      <c r="X190" s="235"/>
      <c r="Y190" s="245"/>
      <c r="Z190" s="1"/>
      <c r="AA190" s="8"/>
      <c r="AC190" s="35"/>
      <c r="AD190" s="15"/>
      <c r="AE190" s="235"/>
      <c r="AF190" s="243"/>
      <c r="AG190" s="9"/>
      <c r="AH190" s="31"/>
    </row>
    <row r="191" spans="3:34" ht="24.75" customHeight="1">
      <c r="C191" s="230"/>
      <c r="F191" s="12"/>
      <c r="G191" s="12"/>
      <c r="H191" s="1"/>
      <c r="I191" s="1"/>
      <c r="J191" s="1"/>
      <c r="K191" s="1"/>
      <c r="L191" s="1"/>
      <c r="M191" s="1"/>
      <c r="N191" s="1"/>
      <c r="O191" s="8"/>
      <c r="P191" s="100"/>
      <c r="Q191" s="125"/>
      <c r="R191" s="235"/>
      <c r="S191" s="244"/>
      <c r="T191" s="12"/>
      <c r="U191" s="8"/>
      <c r="W191" s="70"/>
      <c r="X191" s="235"/>
      <c r="Y191" s="245"/>
      <c r="Z191" s="1"/>
      <c r="AA191" s="8"/>
      <c r="AC191" s="35"/>
      <c r="AD191" s="15"/>
      <c r="AE191" s="235"/>
      <c r="AF191" s="243"/>
      <c r="AG191" s="9"/>
      <c r="AH191" s="31"/>
    </row>
    <row r="192" spans="3:34" ht="24.75" customHeight="1">
      <c r="C192" s="230"/>
      <c r="F192" s="12"/>
      <c r="G192" s="12"/>
      <c r="H192" s="1"/>
      <c r="I192" s="1"/>
      <c r="J192" s="1"/>
      <c r="K192" s="1"/>
      <c r="L192" s="1"/>
      <c r="M192" s="1"/>
      <c r="N192" s="1"/>
      <c r="O192" s="8"/>
      <c r="P192" s="100"/>
      <c r="Q192" s="125"/>
      <c r="R192" s="235"/>
      <c r="S192" s="244"/>
      <c r="T192" s="12"/>
      <c r="U192" s="8"/>
      <c r="W192" s="70"/>
      <c r="X192" s="235"/>
      <c r="Y192" s="245"/>
      <c r="Z192" s="1"/>
      <c r="AA192" s="8"/>
      <c r="AC192" s="35"/>
      <c r="AD192" s="15"/>
      <c r="AE192" s="235"/>
      <c r="AF192" s="243"/>
      <c r="AG192" s="9"/>
      <c r="AH192" s="31"/>
    </row>
    <row r="193" spans="3:34" ht="24.75" customHeight="1">
      <c r="C193" s="230"/>
      <c r="F193" s="12"/>
      <c r="G193" s="12"/>
      <c r="H193" s="1"/>
      <c r="I193" s="1"/>
      <c r="J193" s="1"/>
      <c r="K193" s="1"/>
      <c r="L193" s="1"/>
      <c r="M193" s="1"/>
      <c r="N193" s="1"/>
      <c r="O193" s="8"/>
      <c r="P193" s="100"/>
      <c r="Q193" s="125"/>
      <c r="R193" s="235"/>
      <c r="S193" s="244"/>
      <c r="T193" s="12"/>
      <c r="U193" s="8"/>
      <c r="W193" s="70"/>
      <c r="X193" s="235"/>
      <c r="Y193" s="245"/>
      <c r="Z193" s="1"/>
      <c r="AA193" s="8"/>
      <c r="AC193" s="35"/>
      <c r="AD193" s="15"/>
      <c r="AE193" s="235"/>
      <c r="AF193" s="243"/>
      <c r="AG193" s="9"/>
      <c r="AH193" s="31"/>
    </row>
    <row r="194" spans="3:34" ht="24.75" customHeight="1">
      <c r="C194" s="230"/>
      <c r="F194" s="12"/>
      <c r="G194" s="12"/>
      <c r="H194" s="1"/>
      <c r="I194" s="1"/>
      <c r="J194" s="1"/>
      <c r="K194" s="1"/>
      <c r="L194" s="1"/>
      <c r="M194" s="1"/>
      <c r="N194" s="1"/>
      <c r="O194" s="8"/>
      <c r="P194" s="100"/>
      <c r="Q194" s="125"/>
      <c r="R194" s="235"/>
      <c r="S194" s="244"/>
      <c r="T194" s="12"/>
      <c r="U194" s="8"/>
      <c r="W194" s="70"/>
      <c r="X194" s="235"/>
      <c r="Y194" s="245"/>
      <c r="Z194" s="1"/>
      <c r="AA194" s="8"/>
      <c r="AC194" s="35"/>
      <c r="AD194" s="15"/>
      <c r="AE194" s="235"/>
      <c r="AF194" s="243"/>
      <c r="AG194" s="9"/>
      <c r="AH194" s="31"/>
    </row>
    <row r="195" spans="3:34" ht="24.75" customHeight="1">
      <c r="C195" s="230"/>
      <c r="F195" s="12"/>
      <c r="G195" s="12"/>
      <c r="H195" s="1"/>
      <c r="I195" s="1"/>
      <c r="J195" s="1"/>
      <c r="K195" s="1"/>
      <c r="L195" s="1"/>
      <c r="M195" s="1"/>
      <c r="N195" s="1"/>
      <c r="O195" s="8"/>
      <c r="P195" s="100"/>
      <c r="Q195" s="125"/>
      <c r="R195" s="235"/>
      <c r="S195" s="244"/>
      <c r="T195" s="12"/>
      <c r="U195" s="8"/>
      <c r="W195" s="70"/>
      <c r="X195" s="235"/>
      <c r="Y195" s="245"/>
      <c r="Z195" s="1"/>
      <c r="AA195" s="8"/>
      <c r="AC195" s="35"/>
      <c r="AD195" s="15"/>
      <c r="AE195" s="235"/>
      <c r="AF195" s="243"/>
      <c r="AG195" s="9"/>
      <c r="AH195" s="31"/>
    </row>
    <row r="196" spans="3:34" ht="24.75" customHeight="1">
      <c r="C196" s="230"/>
      <c r="F196" s="12"/>
      <c r="G196" s="12"/>
      <c r="H196" s="1"/>
      <c r="I196" s="1"/>
      <c r="J196" s="1"/>
      <c r="K196" s="1"/>
      <c r="L196" s="1"/>
      <c r="M196" s="1"/>
      <c r="N196" s="1"/>
      <c r="O196" s="8"/>
      <c r="P196" s="100"/>
      <c r="Q196" s="125"/>
      <c r="R196" s="235"/>
      <c r="S196" s="244"/>
      <c r="T196" s="12"/>
      <c r="U196" s="8"/>
      <c r="W196" s="70"/>
      <c r="X196" s="235"/>
      <c r="Y196" s="245"/>
      <c r="Z196" s="1"/>
      <c r="AA196" s="8"/>
      <c r="AC196" s="35"/>
      <c r="AD196" s="15"/>
      <c r="AE196" s="235"/>
      <c r="AF196" s="243"/>
      <c r="AG196" s="9"/>
      <c r="AH196" s="31"/>
    </row>
    <row r="197" spans="3:34" ht="24.75" customHeight="1">
      <c r="C197" s="230"/>
      <c r="F197" s="12"/>
      <c r="G197" s="12"/>
      <c r="H197" s="1"/>
      <c r="I197" s="1"/>
      <c r="J197" s="1"/>
      <c r="K197" s="1"/>
      <c r="L197" s="1"/>
      <c r="M197" s="1"/>
      <c r="N197" s="1"/>
      <c r="O197" s="8"/>
      <c r="P197" s="100"/>
      <c r="Q197" s="125"/>
      <c r="R197" s="235"/>
      <c r="S197" s="244"/>
      <c r="T197" s="12"/>
      <c r="U197" s="8"/>
      <c r="W197" s="70"/>
      <c r="X197" s="235"/>
      <c r="Y197" s="245"/>
      <c r="Z197" s="1"/>
      <c r="AA197" s="8"/>
      <c r="AC197" s="35"/>
      <c r="AD197" s="15"/>
      <c r="AE197" s="235"/>
      <c r="AF197" s="243"/>
      <c r="AG197" s="9"/>
      <c r="AH197" s="31"/>
    </row>
    <row r="198" spans="3:34" ht="24.75" customHeight="1">
      <c r="C198" s="230"/>
      <c r="F198" s="12"/>
      <c r="G198" s="12"/>
      <c r="H198" s="1"/>
      <c r="I198" s="1"/>
      <c r="J198" s="1"/>
      <c r="K198" s="1"/>
      <c r="L198" s="1"/>
      <c r="M198" s="1"/>
      <c r="N198" s="1"/>
      <c r="O198" s="8"/>
      <c r="P198" s="100"/>
      <c r="Q198" s="125"/>
      <c r="R198" s="235"/>
      <c r="S198" s="244"/>
      <c r="T198" s="12"/>
      <c r="U198" s="8"/>
      <c r="W198" s="70"/>
      <c r="X198" s="235"/>
      <c r="Y198" s="245"/>
      <c r="Z198" s="1"/>
      <c r="AA198" s="8"/>
      <c r="AC198" s="35"/>
      <c r="AD198" s="15"/>
      <c r="AE198" s="235"/>
      <c r="AF198" s="243"/>
      <c r="AG198" s="9"/>
      <c r="AH198" s="31"/>
    </row>
    <row r="199" spans="3:34" ht="24.75" customHeight="1">
      <c r="C199" s="230"/>
      <c r="F199" s="12"/>
      <c r="G199" s="12"/>
      <c r="H199" s="1"/>
      <c r="I199" s="1"/>
      <c r="J199" s="1"/>
      <c r="K199" s="1"/>
      <c r="L199" s="1"/>
      <c r="M199" s="1"/>
      <c r="N199" s="1"/>
      <c r="O199" s="8"/>
      <c r="P199" s="100"/>
      <c r="Q199" s="125"/>
      <c r="R199" s="235"/>
      <c r="S199" s="244"/>
      <c r="T199" s="12"/>
      <c r="U199" s="8"/>
      <c r="W199" s="70"/>
      <c r="X199" s="235"/>
      <c r="Y199" s="245"/>
      <c r="Z199" s="1"/>
      <c r="AA199" s="8"/>
      <c r="AC199" s="35"/>
      <c r="AD199" s="15"/>
      <c r="AE199" s="235"/>
      <c r="AF199" s="243"/>
      <c r="AG199" s="9"/>
      <c r="AH199" s="31"/>
    </row>
    <row r="200" spans="3:34" ht="24.75" customHeight="1">
      <c r="C200" s="230"/>
      <c r="F200" s="12"/>
      <c r="G200" s="12"/>
      <c r="H200" s="1"/>
      <c r="I200" s="1"/>
      <c r="J200" s="1"/>
      <c r="K200" s="1"/>
      <c r="L200" s="1"/>
      <c r="M200" s="1"/>
      <c r="N200" s="1"/>
      <c r="O200" s="8"/>
      <c r="P200" s="100"/>
      <c r="Q200" s="125"/>
      <c r="R200" s="235"/>
      <c r="S200" s="244"/>
      <c r="T200" s="12"/>
      <c r="U200" s="8"/>
      <c r="W200" s="70"/>
      <c r="X200" s="235"/>
      <c r="Y200" s="245"/>
      <c r="Z200" s="1"/>
      <c r="AA200" s="8"/>
      <c r="AC200" s="35"/>
      <c r="AD200" s="15"/>
      <c r="AE200" s="235"/>
      <c r="AF200" s="243"/>
      <c r="AG200" s="9"/>
      <c r="AH200" s="31"/>
    </row>
    <row r="201" spans="3:34" ht="24.75" customHeight="1">
      <c r="C201" s="230"/>
      <c r="F201" s="12"/>
      <c r="G201" s="12"/>
      <c r="H201" s="1"/>
      <c r="I201" s="1"/>
      <c r="J201" s="1"/>
      <c r="K201" s="1"/>
      <c r="L201" s="1"/>
      <c r="M201" s="1"/>
      <c r="N201" s="1"/>
      <c r="O201" s="8"/>
      <c r="P201" s="100"/>
      <c r="Q201" s="125"/>
      <c r="R201" s="235"/>
      <c r="S201" s="244"/>
      <c r="T201" s="12"/>
      <c r="U201" s="8"/>
      <c r="W201" s="70"/>
      <c r="X201" s="235"/>
      <c r="Y201" s="245"/>
      <c r="Z201" s="1"/>
      <c r="AA201" s="8"/>
      <c r="AC201" s="35"/>
      <c r="AD201" s="15"/>
      <c r="AE201" s="235"/>
      <c r="AF201" s="243"/>
      <c r="AG201" s="9"/>
      <c r="AH201" s="31"/>
    </row>
    <row r="202" spans="3:34" ht="24.75" customHeight="1">
      <c r="C202" s="230"/>
      <c r="F202" s="12"/>
      <c r="G202" s="12"/>
      <c r="H202" s="1"/>
      <c r="I202" s="1"/>
      <c r="J202" s="1"/>
      <c r="K202" s="1"/>
      <c r="L202" s="1"/>
      <c r="M202" s="1"/>
      <c r="N202" s="1"/>
      <c r="O202" s="8"/>
      <c r="P202" s="100"/>
      <c r="Q202" s="125"/>
      <c r="R202" s="235"/>
      <c r="S202" s="244"/>
      <c r="T202" s="12"/>
      <c r="U202" s="8"/>
      <c r="W202" s="70"/>
      <c r="X202" s="235"/>
      <c r="Y202" s="245"/>
      <c r="Z202" s="1"/>
      <c r="AA202" s="8"/>
      <c r="AC202" s="35"/>
      <c r="AD202" s="15"/>
      <c r="AE202" s="235"/>
      <c r="AF202" s="243"/>
      <c r="AG202" s="9"/>
      <c r="AH202" s="31"/>
    </row>
    <row r="203" spans="3:34" ht="24.75" customHeight="1">
      <c r="C203" s="230"/>
      <c r="F203" s="12"/>
      <c r="G203" s="12"/>
      <c r="H203" s="1"/>
      <c r="I203" s="1"/>
      <c r="J203" s="1"/>
      <c r="K203" s="1"/>
      <c r="L203" s="1"/>
      <c r="M203" s="1"/>
      <c r="N203" s="1"/>
      <c r="O203" s="8"/>
      <c r="P203" s="100"/>
      <c r="Q203" s="125"/>
      <c r="R203" s="235"/>
      <c r="S203" s="244"/>
      <c r="T203" s="12"/>
      <c r="U203" s="8"/>
      <c r="W203" s="70"/>
      <c r="X203" s="235"/>
      <c r="Y203" s="245"/>
      <c r="Z203" s="1"/>
      <c r="AA203" s="8"/>
      <c r="AC203" s="35"/>
      <c r="AD203" s="15"/>
      <c r="AE203" s="235"/>
      <c r="AF203" s="243"/>
      <c r="AG203" s="9"/>
      <c r="AH203" s="31"/>
    </row>
    <row r="204" spans="3:34" ht="24.75" customHeight="1">
      <c r="C204" s="230"/>
      <c r="F204" s="12"/>
      <c r="G204" s="12"/>
      <c r="H204" s="1"/>
      <c r="I204" s="1"/>
      <c r="J204" s="1"/>
      <c r="K204" s="1"/>
      <c r="L204" s="1"/>
      <c r="M204" s="1"/>
      <c r="N204" s="1"/>
      <c r="O204" s="8"/>
      <c r="P204" s="100"/>
      <c r="Q204" s="125"/>
      <c r="R204" s="235"/>
      <c r="S204" s="244"/>
      <c r="T204" s="12"/>
      <c r="U204" s="8"/>
      <c r="W204" s="70"/>
      <c r="X204" s="235"/>
      <c r="Y204" s="245"/>
      <c r="Z204" s="1"/>
      <c r="AA204" s="8"/>
      <c r="AC204" s="35"/>
      <c r="AD204" s="15"/>
      <c r="AE204" s="235"/>
      <c r="AF204" s="243"/>
      <c r="AG204" s="9"/>
      <c r="AH204" s="31"/>
    </row>
    <row r="205" spans="3:34" ht="24.75" customHeight="1">
      <c r="C205" s="230"/>
      <c r="F205" s="12"/>
      <c r="G205" s="12"/>
      <c r="H205" s="1"/>
      <c r="I205" s="1"/>
      <c r="J205" s="1"/>
      <c r="K205" s="1"/>
      <c r="L205" s="1"/>
      <c r="M205" s="1"/>
      <c r="N205" s="1"/>
      <c r="O205" s="8"/>
      <c r="P205" s="100"/>
      <c r="Q205" s="125"/>
      <c r="R205" s="235"/>
      <c r="S205" s="244"/>
      <c r="T205" s="12"/>
      <c r="U205" s="8"/>
      <c r="W205" s="70"/>
      <c r="X205" s="235"/>
      <c r="Y205" s="245"/>
      <c r="Z205" s="1"/>
      <c r="AA205" s="8"/>
      <c r="AC205" s="35"/>
      <c r="AD205" s="15"/>
      <c r="AE205" s="235"/>
      <c r="AF205" s="243"/>
      <c r="AG205" s="9"/>
      <c r="AH205" s="31"/>
    </row>
    <row r="206" spans="3:34" ht="24.75" customHeight="1">
      <c r="C206" s="230"/>
      <c r="F206" s="12"/>
      <c r="G206" s="12"/>
      <c r="H206" s="1"/>
      <c r="I206" s="1"/>
      <c r="J206" s="1"/>
      <c r="K206" s="1"/>
      <c r="L206" s="1"/>
      <c r="M206" s="1"/>
      <c r="N206" s="1"/>
      <c r="O206" s="8"/>
      <c r="P206" s="100"/>
      <c r="Q206" s="125"/>
      <c r="R206" s="235"/>
      <c r="S206" s="244"/>
      <c r="T206" s="12"/>
      <c r="U206" s="8"/>
      <c r="W206" s="70"/>
      <c r="X206" s="235"/>
      <c r="Y206" s="245"/>
      <c r="Z206" s="1"/>
      <c r="AA206" s="8"/>
      <c r="AC206" s="35"/>
      <c r="AD206" s="15"/>
      <c r="AE206" s="235"/>
      <c r="AF206" s="243"/>
      <c r="AG206" s="9"/>
      <c r="AH206" s="31"/>
    </row>
    <row r="207" spans="3:34" ht="24.75" customHeight="1">
      <c r="C207" s="230"/>
      <c r="F207" s="12"/>
      <c r="G207" s="12"/>
      <c r="H207" s="1"/>
      <c r="I207" s="1"/>
      <c r="J207" s="1"/>
      <c r="K207" s="1"/>
      <c r="L207" s="1"/>
      <c r="M207" s="1"/>
      <c r="N207" s="1"/>
      <c r="O207" s="8"/>
      <c r="P207" s="100"/>
      <c r="Q207" s="125"/>
      <c r="R207" s="235"/>
      <c r="S207" s="244"/>
      <c r="T207" s="12"/>
      <c r="U207" s="8"/>
      <c r="W207" s="70"/>
      <c r="X207" s="235"/>
      <c r="Y207" s="245"/>
      <c r="Z207" s="1"/>
      <c r="AA207" s="8"/>
      <c r="AC207" s="35"/>
      <c r="AD207" s="15"/>
      <c r="AE207" s="235"/>
      <c r="AF207" s="243"/>
      <c r="AG207" s="9"/>
      <c r="AH207" s="31"/>
    </row>
    <row r="208" spans="3:34" ht="24.75" customHeight="1">
      <c r="C208" s="230"/>
      <c r="F208" s="12"/>
      <c r="G208" s="12"/>
      <c r="H208" s="1"/>
      <c r="I208" s="1"/>
      <c r="J208" s="1"/>
      <c r="K208" s="1"/>
      <c r="L208" s="1"/>
      <c r="M208" s="1"/>
      <c r="N208" s="1"/>
      <c r="O208" s="8"/>
      <c r="P208" s="100"/>
      <c r="Q208" s="125"/>
      <c r="R208" s="235"/>
      <c r="S208" s="244"/>
      <c r="T208" s="12"/>
      <c r="U208" s="8"/>
      <c r="W208" s="70"/>
      <c r="X208" s="235"/>
      <c r="Y208" s="245"/>
      <c r="Z208" s="1"/>
      <c r="AA208" s="8"/>
      <c r="AC208" s="35"/>
      <c r="AD208" s="15"/>
      <c r="AE208" s="235"/>
      <c r="AF208" s="243"/>
      <c r="AG208" s="9"/>
      <c r="AH208" s="31"/>
    </row>
    <row r="209" spans="3:34" ht="24.75" customHeight="1">
      <c r="C209" s="230"/>
      <c r="F209" s="12"/>
      <c r="G209" s="12"/>
      <c r="H209" s="1"/>
      <c r="I209" s="1"/>
      <c r="J209" s="1"/>
      <c r="K209" s="1"/>
      <c r="L209" s="1"/>
      <c r="M209" s="1"/>
      <c r="N209" s="1"/>
      <c r="O209" s="8"/>
      <c r="P209" s="100"/>
      <c r="Q209" s="125"/>
      <c r="R209" s="235"/>
      <c r="S209" s="244"/>
      <c r="T209" s="12"/>
      <c r="U209" s="8"/>
      <c r="W209" s="70"/>
      <c r="X209" s="235"/>
      <c r="Y209" s="245"/>
      <c r="Z209" s="1"/>
      <c r="AA209" s="8"/>
      <c r="AC209" s="35"/>
      <c r="AD209" s="15"/>
      <c r="AE209" s="235"/>
      <c r="AF209" s="243"/>
      <c r="AG209" s="9"/>
      <c r="AH209" s="31"/>
    </row>
    <row r="210" spans="3:34" ht="24.75" customHeight="1">
      <c r="C210" s="230"/>
      <c r="F210" s="12"/>
      <c r="G210" s="12"/>
      <c r="H210" s="1"/>
      <c r="I210" s="1"/>
      <c r="J210" s="1"/>
      <c r="K210" s="1"/>
      <c r="L210" s="1"/>
      <c r="M210" s="1"/>
      <c r="N210" s="1"/>
      <c r="O210" s="8"/>
      <c r="P210" s="100"/>
      <c r="Q210" s="125"/>
      <c r="R210" s="235"/>
      <c r="S210" s="244"/>
      <c r="T210" s="12"/>
      <c r="U210" s="8"/>
      <c r="W210" s="70"/>
      <c r="X210" s="235"/>
      <c r="Y210" s="245"/>
      <c r="Z210" s="1"/>
      <c r="AA210" s="8"/>
      <c r="AC210" s="35"/>
      <c r="AD210" s="15"/>
      <c r="AE210" s="235"/>
      <c r="AF210" s="243"/>
      <c r="AG210" s="9"/>
      <c r="AH210" s="31"/>
    </row>
    <row r="211" spans="3:34" ht="24.75" customHeight="1">
      <c r="C211" s="230"/>
      <c r="F211" s="12"/>
      <c r="G211" s="12"/>
      <c r="H211" s="1"/>
      <c r="I211" s="1"/>
      <c r="J211" s="1"/>
      <c r="K211" s="1"/>
      <c r="L211" s="1"/>
      <c r="M211" s="1"/>
      <c r="N211" s="1"/>
      <c r="O211" s="8"/>
      <c r="P211" s="100"/>
      <c r="Q211" s="125"/>
      <c r="R211" s="235"/>
      <c r="S211" s="244"/>
      <c r="T211" s="12"/>
      <c r="U211" s="8"/>
      <c r="W211" s="70"/>
      <c r="X211" s="235"/>
      <c r="Y211" s="245"/>
      <c r="Z211" s="1"/>
      <c r="AA211" s="8"/>
      <c r="AC211" s="35"/>
      <c r="AD211" s="15"/>
      <c r="AE211" s="235"/>
      <c r="AF211" s="243"/>
      <c r="AG211" s="9"/>
      <c r="AH211" s="31"/>
    </row>
    <row r="212" spans="3:34" ht="24.75" customHeight="1">
      <c r="C212" s="230"/>
      <c r="F212" s="12"/>
      <c r="G212" s="12"/>
      <c r="H212" s="1"/>
      <c r="I212" s="1"/>
      <c r="J212" s="1"/>
      <c r="K212" s="1"/>
      <c r="L212" s="1"/>
      <c r="M212" s="1"/>
      <c r="N212" s="1"/>
      <c r="O212" s="8"/>
      <c r="P212" s="100"/>
      <c r="Q212" s="125"/>
      <c r="R212" s="235"/>
      <c r="S212" s="244"/>
      <c r="T212" s="12"/>
      <c r="U212" s="8"/>
      <c r="W212" s="70"/>
      <c r="X212" s="235"/>
      <c r="Y212" s="245"/>
      <c r="Z212" s="1"/>
      <c r="AA212" s="8"/>
      <c r="AC212" s="35"/>
      <c r="AD212" s="15"/>
      <c r="AE212" s="235"/>
      <c r="AF212" s="243"/>
      <c r="AG212" s="9"/>
      <c r="AH212" s="31"/>
    </row>
    <row r="213" spans="3:34" ht="24.75" customHeight="1">
      <c r="C213" s="230"/>
      <c r="F213" s="12"/>
      <c r="G213" s="12"/>
      <c r="H213" s="1"/>
      <c r="I213" s="1"/>
      <c r="J213" s="1"/>
      <c r="K213" s="1"/>
      <c r="L213" s="1"/>
      <c r="M213" s="1"/>
      <c r="N213" s="1"/>
      <c r="O213" s="8"/>
      <c r="P213" s="100"/>
      <c r="Q213" s="125"/>
      <c r="R213" s="235"/>
      <c r="S213" s="244"/>
      <c r="T213" s="12"/>
      <c r="U213" s="8"/>
      <c r="W213" s="70"/>
      <c r="X213" s="235"/>
      <c r="Y213" s="245"/>
      <c r="Z213" s="1"/>
      <c r="AA213" s="8"/>
      <c r="AC213" s="35"/>
      <c r="AD213" s="15"/>
      <c r="AE213" s="235"/>
      <c r="AF213" s="243"/>
      <c r="AG213" s="9"/>
      <c r="AH213" s="31"/>
    </row>
    <row r="214" spans="3:34" ht="24.75" customHeight="1">
      <c r="C214" s="230"/>
      <c r="F214" s="12"/>
      <c r="G214" s="12"/>
      <c r="H214" s="1"/>
      <c r="I214" s="1"/>
      <c r="J214" s="1"/>
      <c r="K214" s="1"/>
      <c r="L214" s="1"/>
      <c r="M214" s="1"/>
      <c r="N214" s="1"/>
      <c r="O214" s="8"/>
      <c r="P214" s="100"/>
      <c r="Q214" s="125"/>
      <c r="R214" s="235"/>
      <c r="S214" s="244"/>
      <c r="T214" s="12"/>
      <c r="U214" s="8"/>
      <c r="W214" s="70"/>
      <c r="X214" s="235"/>
      <c r="Y214" s="245"/>
      <c r="Z214" s="1"/>
      <c r="AA214" s="8"/>
      <c r="AC214" s="35"/>
      <c r="AD214" s="15"/>
      <c r="AE214" s="235"/>
      <c r="AF214" s="243"/>
      <c r="AG214" s="9"/>
      <c r="AH214" s="31"/>
    </row>
    <row r="215" spans="3:34" ht="24.75" customHeight="1">
      <c r="C215" s="230"/>
      <c r="F215" s="12"/>
      <c r="G215" s="12"/>
      <c r="H215" s="1"/>
      <c r="I215" s="1"/>
      <c r="J215" s="1"/>
      <c r="K215" s="1"/>
      <c r="L215" s="1"/>
      <c r="M215" s="1"/>
      <c r="N215" s="1"/>
      <c r="O215" s="8"/>
      <c r="P215" s="100"/>
      <c r="Q215" s="125"/>
      <c r="R215" s="235"/>
      <c r="S215" s="244"/>
      <c r="T215" s="12"/>
      <c r="U215" s="8"/>
      <c r="W215" s="70"/>
      <c r="X215" s="235"/>
      <c r="Y215" s="245"/>
      <c r="Z215" s="1"/>
      <c r="AA215" s="8"/>
      <c r="AC215" s="35"/>
      <c r="AD215" s="15"/>
      <c r="AE215" s="235"/>
      <c r="AF215" s="243"/>
      <c r="AG215" s="9"/>
      <c r="AH215" s="31"/>
    </row>
    <row r="216" spans="3:34" ht="24.75" customHeight="1">
      <c r="C216" s="230"/>
      <c r="F216" s="12"/>
      <c r="G216" s="12"/>
      <c r="H216" s="1"/>
      <c r="I216" s="1"/>
      <c r="J216" s="1"/>
      <c r="K216" s="1"/>
      <c r="L216" s="1"/>
      <c r="M216" s="1"/>
      <c r="N216" s="1"/>
      <c r="O216" s="8"/>
      <c r="P216" s="100"/>
      <c r="Q216" s="125"/>
      <c r="R216" s="235"/>
      <c r="S216" s="244"/>
      <c r="T216" s="12"/>
      <c r="U216" s="8"/>
      <c r="W216" s="70"/>
      <c r="X216" s="235"/>
      <c r="Y216" s="245"/>
      <c r="Z216" s="1"/>
      <c r="AA216" s="8"/>
      <c r="AC216" s="35"/>
      <c r="AD216" s="15"/>
      <c r="AE216" s="235"/>
      <c r="AF216" s="243"/>
      <c r="AG216" s="9"/>
      <c r="AH216" s="31"/>
    </row>
    <row r="217" spans="3:34" ht="24.75" customHeight="1">
      <c r="C217" s="230"/>
      <c r="F217" s="12"/>
      <c r="G217" s="12"/>
      <c r="H217" s="1"/>
      <c r="I217" s="1"/>
      <c r="J217" s="1"/>
      <c r="K217" s="1"/>
      <c r="L217" s="1"/>
      <c r="M217" s="1"/>
      <c r="N217" s="1"/>
      <c r="O217" s="8"/>
      <c r="P217" s="100"/>
      <c r="Q217" s="125"/>
      <c r="R217" s="235"/>
      <c r="S217" s="244"/>
      <c r="T217" s="12"/>
      <c r="U217" s="8"/>
      <c r="W217" s="70"/>
      <c r="X217" s="235"/>
      <c r="Y217" s="245"/>
      <c r="Z217" s="1"/>
      <c r="AA217" s="8"/>
      <c r="AC217" s="35"/>
      <c r="AD217" s="15"/>
      <c r="AE217" s="235"/>
      <c r="AF217" s="243"/>
      <c r="AG217" s="9"/>
      <c r="AH217" s="31"/>
    </row>
    <row r="218" spans="3:34" ht="24.75" customHeight="1">
      <c r="C218" s="230"/>
      <c r="F218" s="12"/>
      <c r="G218" s="12"/>
      <c r="H218" s="1"/>
      <c r="I218" s="1"/>
      <c r="J218" s="1"/>
      <c r="K218" s="1"/>
      <c r="L218" s="1"/>
      <c r="M218" s="1"/>
      <c r="N218" s="1"/>
      <c r="O218" s="8"/>
      <c r="P218" s="100"/>
      <c r="Q218" s="125"/>
      <c r="R218" s="15"/>
      <c r="S218" s="1"/>
      <c r="T218" s="12"/>
      <c r="U218" s="8"/>
      <c r="W218" s="70"/>
      <c r="X218" s="235"/>
      <c r="Y218" s="245"/>
      <c r="Z218" s="1"/>
      <c r="AA218" s="8"/>
      <c r="AC218" s="35"/>
      <c r="AD218" s="15"/>
      <c r="AE218" s="235"/>
      <c r="AF218" s="243"/>
      <c r="AG218" s="9"/>
      <c r="AH218" s="31"/>
    </row>
    <row r="219" spans="3:34" ht="24.75" customHeight="1">
      <c r="C219" s="230"/>
      <c r="P219" s="100"/>
      <c r="Q219" s="126"/>
      <c r="R219" s="235"/>
      <c r="S219" s="244"/>
      <c r="X219" s="277"/>
      <c r="Y219" s="282"/>
      <c r="AE219" s="235"/>
      <c r="AF219" s="277"/>
    </row>
    <row r="220" spans="3:34" ht="24.75" customHeight="1">
      <c r="C220" s="230"/>
      <c r="P220" s="100"/>
      <c r="Q220" s="126"/>
      <c r="R220" s="235"/>
      <c r="S220" s="244"/>
      <c r="X220" s="277"/>
      <c r="Y220" s="282"/>
      <c r="AE220" s="235"/>
      <c r="AF220" s="277"/>
    </row>
    <row r="221" spans="3:34" ht="24.75" customHeight="1">
      <c r="C221" s="230"/>
      <c r="P221" s="100"/>
      <c r="Q221" s="126"/>
      <c r="R221" s="235"/>
      <c r="S221" s="244"/>
      <c r="X221" s="277"/>
      <c r="Y221" s="282"/>
      <c r="AE221" s="235"/>
      <c r="AF221" s="277"/>
    </row>
    <row r="222" spans="3:34" ht="24.75" customHeight="1">
      <c r="C222" s="230"/>
      <c r="P222" s="100"/>
      <c r="Q222" s="126"/>
      <c r="R222" s="235"/>
      <c r="S222" s="244"/>
      <c r="X222" s="277"/>
      <c r="Y222" s="282"/>
      <c r="AE222" s="235"/>
      <c r="AF222" s="277"/>
    </row>
    <row r="223" spans="3:34" ht="24.75" customHeight="1">
      <c r="C223" s="230"/>
      <c r="P223" s="100"/>
      <c r="Q223" s="126"/>
      <c r="R223" s="235"/>
      <c r="S223" s="244"/>
      <c r="X223" s="277"/>
      <c r="Y223" s="282"/>
      <c r="AE223" s="235"/>
      <c r="AF223" s="277"/>
    </row>
    <row r="224" spans="3:34" ht="24.75" customHeight="1">
      <c r="C224" s="230" t="s">
        <v>392</v>
      </c>
      <c r="P224" s="100"/>
      <c r="Q224" s="126"/>
      <c r="R224" s="235"/>
      <c r="S224" s="244"/>
      <c r="X224" s="277"/>
      <c r="Y224" s="282"/>
      <c r="AE224" s="235"/>
      <c r="AF224" s="277"/>
    </row>
    <row r="225" spans="3:32" ht="24.75" customHeight="1">
      <c r="C225" s="230" t="s">
        <v>392</v>
      </c>
      <c r="P225" s="100"/>
      <c r="Q225" s="126"/>
      <c r="R225" s="235"/>
      <c r="S225" s="244"/>
      <c r="X225" s="277"/>
      <c r="Y225" s="282"/>
      <c r="AE225" s="235"/>
      <c r="AF225" s="277"/>
    </row>
    <row r="226" spans="3:32" ht="24.75" customHeight="1">
      <c r="C226" s="230" t="s">
        <v>392</v>
      </c>
      <c r="P226" s="100"/>
      <c r="Q226" s="126"/>
      <c r="R226" s="235"/>
      <c r="S226" s="244"/>
      <c r="X226" s="277"/>
      <c r="Y226" s="282"/>
      <c r="AE226" s="235"/>
      <c r="AF226" s="277"/>
    </row>
    <row r="227" spans="3:32" ht="24.75" customHeight="1">
      <c r="C227" s="230" t="s">
        <v>392</v>
      </c>
      <c r="P227" s="100"/>
      <c r="Q227" s="126"/>
      <c r="R227" s="235"/>
      <c r="S227" s="244"/>
      <c r="X227" s="277"/>
      <c r="Y227" s="282"/>
      <c r="AE227" s="235"/>
      <c r="AF227" s="277"/>
    </row>
    <row r="228" spans="3:32" ht="24.75" customHeight="1">
      <c r="C228" s="230" t="s">
        <v>392</v>
      </c>
      <c r="R228" s="235"/>
      <c r="S228" s="244"/>
      <c r="X228" s="277"/>
      <c r="Y228" s="282"/>
      <c r="AE228" s="235"/>
      <c r="AF228" s="277"/>
    </row>
    <row r="229" spans="3:32" ht="24.75" customHeight="1">
      <c r="C229" s="230" t="s">
        <v>392</v>
      </c>
      <c r="R229" s="235"/>
      <c r="S229" s="244"/>
      <c r="X229" s="277"/>
      <c r="Y229" s="282"/>
      <c r="AE229" s="235"/>
      <c r="AF229" s="277"/>
    </row>
    <row r="230" spans="3:32" ht="24.75" customHeight="1">
      <c r="C230" s="230" t="s">
        <v>392</v>
      </c>
      <c r="R230" s="235"/>
      <c r="S230" s="244"/>
      <c r="X230" s="277"/>
      <c r="Y230" s="282"/>
      <c r="AE230" s="235"/>
      <c r="AF230" s="277"/>
    </row>
    <row r="231" spans="3:32" ht="24.75" customHeight="1">
      <c r="C231" s="230" t="s">
        <v>392</v>
      </c>
      <c r="R231" s="235"/>
      <c r="S231" s="244"/>
      <c r="X231" s="277"/>
      <c r="Y231" s="282"/>
      <c r="AE231" s="235"/>
      <c r="AF231" s="277"/>
    </row>
    <row r="232" spans="3:32" ht="24.75" customHeight="1">
      <c r="C232" s="230" t="s">
        <v>392</v>
      </c>
      <c r="R232" s="235"/>
      <c r="S232" s="244"/>
      <c r="X232" s="277"/>
      <c r="Y232" s="282"/>
      <c r="AE232" s="235"/>
      <c r="AF232" s="277"/>
    </row>
  </sheetData>
  <autoFilter ref="A1:AH1" xr:uid="{B4B03264-199A-4886-857D-303C27604CC4}"/>
  <conditionalFormatting sqref="C1:C1048576">
    <cfRule type="containsText" dxfId="16" priority="14" operator="containsText" text="EN TRANSITO">
      <formula>NOT(ISERROR(SEARCH("EN TRANSITO",C1)))</formula>
    </cfRule>
    <cfRule type="containsText" dxfId="15" priority="15" operator="containsText" text="DESPACHADO">
      <formula>NOT(ISERROR(SEARCH("DESPACHADO",C1)))</formula>
    </cfRule>
    <cfRule type="containsText" dxfId="14" priority="16" operator="containsText" text="LIBERADO">
      <formula>NOT(ISERROR(SEARCH("LIBERADO",C1)))</formula>
    </cfRule>
    <cfRule type="containsText" dxfId="13" priority="17" operator="containsText" text="EN ALMACEN">
      <formula>NOT(ISERROR(SEARCH("EN ALMACEN",C1)))</formula>
    </cfRule>
  </conditionalFormatting>
  <conditionalFormatting sqref="C33">
    <cfRule type="containsText" dxfId="12" priority="1" operator="containsText" text="ARRIBADA EN PUERTO">
      <formula>NOT(ISERROR(SEARCH("ARRIBADA EN PUERTO",C33)))</formula>
    </cfRule>
  </conditionalFormatting>
  <conditionalFormatting sqref="C43">
    <cfRule type="containsText" dxfId="11" priority="13" operator="containsText" text="ARRIBADA EN PUERTO">
      <formula>NOT(ISERROR(SEARCH("ARRIBADA EN PUERTO",C43)))</formula>
    </cfRule>
  </conditionalFormatting>
  <conditionalFormatting sqref="D1:D1048576 Y44:Y59 Y61:Y64 Y66:Y68 Y70:Y104 Y106:Y123 Y125:Y129 Y131 Y133:Y1048576">
    <cfRule type="containsText" dxfId="10" priority="12" operator="containsText" text="PENDIENTE">
      <formula>NOT(ISERROR(SEARCH("PENDIENTE",D1)))</formula>
    </cfRule>
  </conditionalFormatting>
  <conditionalFormatting sqref="D1:D1048576">
    <cfRule type="containsText" dxfId="9" priority="11" operator="containsText" text="EMITIDA">
      <formula>NOT(ISERROR(SEARCH("EMITIDA",D1)))</formula>
    </cfRule>
  </conditionalFormatting>
  <conditionalFormatting sqref="E1:E58 E60:E1048576">
    <cfRule type="containsBlanks" dxfId="8" priority="9">
      <formula>LEN(TRIM(E1))=0</formula>
    </cfRule>
  </conditionalFormatting>
  <conditionalFormatting sqref="X1:X32 X34 X36:X57 X60:X61 X63:X66 X68:X76 X78:X98 X100:X103 X105:X108 X111:X116 X118:X129 X131:X1048576">
    <cfRule type="containsText" dxfId="7" priority="2" operator="containsText" text="PENDIENTE">
      <formula>NOT(ISERROR(SEARCH("PENDIENTE",X1)))</formula>
    </cfRule>
  </conditionalFormatting>
  <conditionalFormatting sqref="Y1:Y42">
    <cfRule type="containsText" dxfId="6" priority="3" operator="containsText" text="PENDIENTE">
      <formula>NOT(ISERROR(SEARCH("PENDIENTE",Y1)))</formula>
    </cfRule>
  </conditionalFormatting>
  <conditionalFormatting sqref="AC1:AC10 AC12:AC29 AC31:AC32 AC35:AC39 AC42:AC54 AD56 AC57 AC59 AC61:AC62 AC64:AC69 AC71:AC73 AC75:AC83 AC85:AC90 AC92:AC101 AC103:AC112 AC114:AC118 AC120:AC1048576">
    <cfRule type="containsText" dxfId="5" priority="4" operator="containsText" text="PENDIENTE">
      <formula>NOT(ISERROR(SEARCH("PENDIENTE",AC1)))</formula>
    </cfRule>
  </conditionalFormatting>
  <conditionalFormatting sqref="AD1:AD36 AD38 AD40:AD51 AD53:AD72 AD75 AD79:AD84 AD86:AD112 AD114:AD1048576">
    <cfRule type="containsText" dxfId="4" priority="5" operator="containsText" text="PENDIENTE">
      <formula>NOT(ISERROR(SEARCH("PENDIENTE",AD1)))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38 C148:C232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A2" r:id="rId35" display="4090179930" xr:uid="{8930EA32-2DB6-4003-A422-57D1DD69C713}"/>
    <hyperlink ref="AA3" r:id="rId36" display="4090179947" xr:uid="{C2C776D6-C9A8-4954-BC49-541C88667221}"/>
    <hyperlink ref="AA4" r:id="rId37" display="4090179972" xr:uid="{B2555356-C8FD-4F62-B11E-296137ABCA21}"/>
    <hyperlink ref="AA5" r:id="rId38" display="4090180001" xr:uid="{69B161D8-C173-47D6-84DF-78083F7DE115}"/>
    <hyperlink ref="AA9" r:id="rId39" display="4090180057" xr:uid="{FA7CC50C-5E4E-4767-9E41-DFFADDEC7B3D}"/>
    <hyperlink ref="AA10" r:id="rId40" display="4090180059" xr:uid="{373520F7-470B-40BC-A5BC-D5D31EA5F68A}"/>
    <hyperlink ref="AA11" r:id="rId41" display="4090180066" xr:uid="{B199BCD7-999D-4581-9F59-28B17808CA86}"/>
    <hyperlink ref="AA12" r:id="rId42" display="4090180067" xr:uid="{1F8A462B-171C-4BA2-BD41-F2EDF407DED5}"/>
    <hyperlink ref="AA13" r:id="rId43" display="4090180070" xr:uid="{8BFBC5B3-281F-4BB2-8A05-14F274D2F4B0}"/>
    <hyperlink ref="AA14" r:id="rId44" display="4090180072" xr:uid="{1B3BBF75-822C-4255-B0BF-BB1E4DEF5CB1}"/>
    <hyperlink ref="AA15" r:id="rId45" display="4090180073" xr:uid="{1CB56625-F89D-4458-A990-90FBB2D5D474}"/>
    <hyperlink ref="AA16" r:id="rId46" display="4090180074" xr:uid="{0D17A1AD-E1F1-433D-B11A-DAA9C404F13A}"/>
    <hyperlink ref="AA17" r:id="rId47" display="4090180075" xr:uid="{27787B12-0C3C-44AC-940E-7606AB714B4C}"/>
    <hyperlink ref="AA18" r:id="rId48" display="4090180109" xr:uid="{73FC1381-B80C-4113-97F5-798C7897F36D}"/>
    <hyperlink ref="AA19" r:id="rId49" display="4090180110" xr:uid="{A27DD4EB-0F5C-4FF6-80D7-40EA539BCBBC}"/>
    <hyperlink ref="AA20" r:id="rId50" display="4090180112" xr:uid="{885564B3-9CFE-4F69-B06B-213CB9C92B1F}"/>
    <hyperlink ref="AA21" r:id="rId51" display="4090180114" xr:uid="{645300AA-0FF3-4998-BA0E-96FF48961E92}"/>
    <hyperlink ref="AA22" r:id="rId52" display="4090180115" xr:uid="{8362DA7D-8488-498E-B89A-AD4D787074A6}"/>
    <hyperlink ref="AA23" r:id="rId53" display="4090180133" xr:uid="{4B0000A1-FE48-4E02-8621-6FFF93A06776}"/>
    <hyperlink ref="AA24" r:id="rId54" display="4090180136" xr:uid="{2F72F3E4-EA48-4F38-8700-14C0D839290E}"/>
    <hyperlink ref="AA25" r:id="rId55" display="4090180137" xr:uid="{2AE64D88-AEC4-4C48-A80D-FE61839A4B47}"/>
    <hyperlink ref="AA26" r:id="rId56" display="4090180139" xr:uid="{9AD7934F-4793-4722-A016-83ECDA89325F}"/>
    <hyperlink ref="AA27" r:id="rId57" display="4090180145" xr:uid="{6229A0B9-61C4-42AD-B2A9-58D80DF1D136}"/>
    <hyperlink ref="AA28" r:id="rId58" display="4090180146" xr:uid="{CE6F043E-F282-4261-A502-FB612CC59ECE}"/>
    <hyperlink ref="AA29" r:id="rId59" display="4090180147" xr:uid="{7F637BD2-AA02-44C2-8B36-AE27C287F006}"/>
    <hyperlink ref="AA30" r:id="rId60" display="4090180152" xr:uid="{7DA3AD15-A336-48C8-8C41-E903E0FEAC0E}"/>
    <hyperlink ref="AA31" r:id="rId61" display="4090180153" xr:uid="{19B4E9B4-36CC-4BA0-8CCB-6D3BAE4DA3DB}"/>
    <hyperlink ref="AA32" r:id="rId62" display="4090180154" xr:uid="{99169E9F-1C45-4A18-830F-6B2A7FA10B61}"/>
    <hyperlink ref="AA33" r:id="rId63" display="4090180178" xr:uid="{B1376EB0-831D-423C-86A6-4AA0D83890FA}"/>
    <hyperlink ref="AA34" r:id="rId64" display="4090180180" xr:uid="{12E0CF3B-7EDA-455D-A99E-3C040EFD75D0}"/>
    <hyperlink ref="AA35" r:id="rId65" display="4090180181" xr:uid="{294BC336-0510-416A-BEFD-CDDDF8157C76}"/>
    <hyperlink ref="AA36" r:id="rId66" display="4090180183" xr:uid="{C8CD6CB2-170B-4E53-B870-36AC472FC35C}"/>
    <hyperlink ref="AA37" r:id="rId67" display="4090180184" xr:uid="{A22861AA-954F-422D-B45C-8130470DAF2F}"/>
    <hyperlink ref="AA38" r:id="rId68" display="4090180186" xr:uid="{EF25CA9F-D073-4ED3-A2B4-26C578DB63F8}"/>
    <hyperlink ref="AA39" r:id="rId69" display="4090180188" xr:uid="{404417C7-4FA1-4D03-B592-8135D29917E9}"/>
    <hyperlink ref="AA40" r:id="rId70" display="4090180190" xr:uid="{28B352EF-A283-410C-BBE1-037CDE1A7834}"/>
    <hyperlink ref="AA41" r:id="rId71" display="4090180192" xr:uid="{57521FCC-0EB7-4E2A-B7D0-CE58E9689993}"/>
    <hyperlink ref="AA42" r:id="rId72" display="4090180193" xr:uid="{E5ADBCDB-D2B4-44A2-B22A-6C564BA7BC78}"/>
    <hyperlink ref="AA43" r:id="rId73" display="4090180195" xr:uid="{05CD15ED-80E6-4275-92E0-0970192296BD}"/>
    <hyperlink ref="AA44" r:id="rId74" display="4090180196" xr:uid="{C3D05E78-37FE-4361-B91C-45DA3192F571}"/>
    <hyperlink ref="AA45" r:id="rId75" display="4090180198" xr:uid="{7AF51E6D-1CF7-48C2-B8FD-090E72111DD6}"/>
    <hyperlink ref="AA46" r:id="rId76" display="4090180199" xr:uid="{C7315F78-CC08-4AC4-B87B-EFF3DBE35B57}"/>
    <hyperlink ref="AA47" r:id="rId77" display="4090180201" xr:uid="{B038472F-FE60-4562-BD4D-639ADD8E9713}"/>
    <hyperlink ref="AA48" r:id="rId78" display="4090180202" xr:uid="{30EFE396-CBCC-45D8-BA7F-3BC296825A44}"/>
    <hyperlink ref="AA49" r:id="rId79" display="4090180213" xr:uid="{4F668229-009C-4246-9ABA-6AC7DB640972}"/>
    <hyperlink ref="AA50" r:id="rId80" display="4090180226" xr:uid="{BBBE7A0E-26FD-4931-8F3E-8DE8A57A338A}"/>
    <hyperlink ref="AA51" r:id="rId81" display="4090180228" xr:uid="{4F1618A6-B9C7-4492-A813-AA84E9A2F0B3}"/>
    <hyperlink ref="AA53" r:id="rId82" display="4090180242" xr:uid="{8434F620-183B-4ADE-9B3E-2B2A4385F8A3}"/>
    <hyperlink ref="AA54" r:id="rId83" display="4090180249" xr:uid="{5A8A65D5-5DA9-4D4E-8F8C-97036D8D4701}"/>
    <hyperlink ref="AA55" r:id="rId84" display="4090180257" xr:uid="{7E86B25E-ACF4-4683-A1E4-49551CD81D45}"/>
    <hyperlink ref="AA57" r:id="rId85" display="4090180263" xr:uid="{3657C55F-FD7B-49A4-AC3E-B15BBA99C856}"/>
    <hyperlink ref="AA6" r:id="rId86" display="4090180023" xr:uid="{E74AAF63-9813-4148-9DB3-189D7C647F76}"/>
    <hyperlink ref="AA7" r:id="rId87" display="4090180040" xr:uid="{F9A2FBA4-7FBE-4D05-8E5E-48B42C781863}"/>
    <hyperlink ref="AA8" r:id="rId88" display="4090180056" xr:uid="{29CC7CEF-9A3A-470A-916D-7113EB17F849}"/>
    <hyperlink ref="AB2" r:id="rId89" display="06/03/2026 17:25" xr:uid="{B8D899CC-EE25-4439-B6ED-6BC1FFF9D00C}"/>
    <hyperlink ref="AB3" r:id="rId90" display="04/03/2026 13:17" xr:uid="{098BDA95-513E-47A1-965B-981FDD0E579E}"/>
    <hyperlink ref="AB4" r:id="rId91" display="04/03/2026 15:40" xr:uid="{6893D9EF-05D9-4A1A-87E2-434217E0D0CD}"/>
    <hyperlink ref="AB5" r:id="rId92" display="06/03/2026" xr:uid="{2B96B0CE-85A6-436C-82D7-58C5F149152F}"/>
    <hyperlink ref="AB6" r:id="rId93" display="04/03/2026" xr:uid="{3E01BBB4-9E45-4254-972A-91FBCB90E9CC}"/>
    <hyperlink ref="AB7" r:id="rId94" display="03/03/2026" xr:uid="{30CD46D7-8EE2-4CE5-9536-8742BF3F0AFF}"/>
    <hyperlink ref="AB8" r:id="rId95" display="06/03/2026" xr:uid="{FD77DE1F-3292-4422-9B4E-6EF57D437B10}"/>
    <hyperlink ref="AB9" r:id="rId96" display="03/03/2026" xr:uid="{3E4D81F1-25EF-4723-BA90-268DA69412B5}"/>
    <hyperlink ref="AB10" r:id="rId97" display="06/03/2026" xr:uid="{C0CE373D-8B3E-4A56-B94B-C7EAEEC26470}"/>
    <hyperlink ref="AB13" r:id="rId98" display="04/03/2026" xr:uid="{45679808-198A-4D6A-A15E-BAA2FD3F9C38}"/>
    <hyperlink ref="AB14" r:id="rId99" display="04/03/2026" xr:uid="{59E79E3C-D863-4CA0-9F12-9E03B29A55EE}"/>
    <hyperlink ref="AB15" r:id="rId100" display="04/03/2026" xr:uid="{ED4C1DE8-6FCC-4916-9104-2F4DED578629}"/>
    <hyperlink ref="AB16" r:id="rId101" display="06/03/2026" xr:uid="{578850AF-3E3C-4D79-88E9-C9B7F8B7269C}"/>
    <hyperlink ref="AB19" r:id="rId102" display="06/03/2026" xr:uid="{71678E1E-B1D0-4D70-A8C1-3B58C1279D31}"/>
    <hyperlink ref="AB20" r:id="rId103" display="06/03/2026" xr:uid="{A826E5C3-2D76-4C71-9C8A-0452D399AABE}"/>
    <hyperlink ref="AB24" r:id="rId104" display="06/03/2026" xr:uid="{643898AA-4D73-40D9-BB58-F5A3E5718EE0}"/>
    <hyperlink ref="AB25" r:id="rId105" display="04/03/2026" xr:uid="{CB562403-7448-4BC5-95B4-6572B542EE3C}"/>
    <hyperlink ref="AB27" r:id="rId106" display="07/03/2026" xr:uid="{5BFA836D-AD1B-4D34-AC17-B9190D69049A}"/>
    <hyperlink ref="AB28" r:id="rId107" display="05/03/2026" xr:uid="{2A926FE1-A8E8-4521-87EF-4D9E5C387A68}"/>
    <hyperlink ref="AB29" r:id="rId108" display="04/03/2026" xr:uid="{AD293F16-4739-4766-A493-7B3430D227D1}"/>
    <hyperlink ref="AB38" r:id="rId109" display="06/03/2026" xr:uid="{05477BB3-8ED4-450B-8EF0-9016152E18B4}"/>
    <hyperlink ref="AB42" r:id="rId110" display="06/03/2026" xr:uid="{5995A39B-CA13-46AC-9F63-FC6D43CC51BC}"/>
    <hyperlink ref="AB45" r:id="rId111" display="05/03/2026" xr:uid="{23E05DA3-B29E-435F-BC6C-C5FEEEE3F76E}"/>
    <hyperlink ref="AB47" r:id="rId112" display="05/03/2026" xr:uid="{977C35D5-F31E-4645-8B91-37B2093E7517}"/>
    <hyperlink ref="AB49" r:id="rId113" display="06/03/2026" xr:uid="{1695B1EE-1118-4916-84F4-FC61CCD057C6}"/>
    <hyperlink ref="AA56" r:id="rId114" display="4090180261" xr:uid="{69B3FC5F-E247-461F-A433-0233498EFF5C}"/>
    <hyperlink ref="AA52" r:id="rId115" display="4090180230" xr:uid="{5BC566B8-43EB-41C0-9709-C18CC1D943D4}"/>
    <hyperlink ref="AB12" r:id="rId116" display="09/03/2026" xr:uid="{CB6F0284-F444-412B-9D22-C99F3BAE9193}"/>
    <hyperlink ref="AB46" r:id="rId117" display="09/03/2026" xr:uid="{7F1A2F28-DAEB-401C-8DEA-4500B452047B}"/>
    <hyperlink ref="AB48" r:id="rId118" display="09/03/2026" xr:uid="{EEAE1BC8-89A6-4E38-AE39-8929D8D0B155}"/>
    <hyperlink ref="AB50" r:id="rId119" display="09/03/2026" xr:uid="{B8896067-8877-4BBA-88FE-0D7CB53BDCF4}"/>
    <hyperlink ref="AB51" r:id="rId120" display="09/03/2026" xr:uid="{3A06AE19-CA35-4563-9E15-2374B89ED708}"/>
    <hyperlink ref="AB54" r:id="rId121" display="09/03/2026" xr:uid="{D9D82FD8-FBA4-401D-8A4F-B2AB1A7B0DDF}"/>
    <hyperlink ref="AB17" r:id="rId122" display="06/03/2026" xr:uid="{4059AB58-EA68-4B58-A181-F00AE4A2F773}"/>
    <hyperlink ref="AB21" r:id="rId123" display="06/03/2026" xr:uid="{191E2346-422F-4312-A3E4-54435E2E408C}"/>
    <hyperlink ref="AB22" r:id="rId124" display="09/03/2026" xr:uid="{4A205AC9-DE4E-4F39-9836-F65B1F85FCF6}"/>
    <hyperlink ref="AB37" r:id="rId125" display="09/03/2026" xr:uid="{ACC04394-A8D1-4CC5-9B92-B023C3730368}"/>
    <hyperlink ref="AB44" r:id="rId126" display="09/03/2026" xr:uid="{2424338C-3D91-48D0-9287-565DA6E1B296}"/>
    <hyperlink ref="AB53" r:id="rId127" display="09/03/2026" xr:uid="{0EFCDCD5-9A77-49F4-B7A9-C2C4A43655BE}"/>
    <hyperlink ref="AB55" r:id="rId128" display="09/03/2026" xr:uid="{FC9689CE-4B23-444E-A21C-C37B83C085A0}"/>
    <hyperlink ref="AB18" r:id="rId129" display="06/03/2026" xr:uid="{58101D93-9877-4E7C-9A60-922950891ECB}"/>
    <hyperlink ref="AB23" r:id="rId130" display="09/03/2026" xr:uid="{85AA2C09-66FD-4E81-86C3-CE776F367FAD}"/>
    <hyperlink ref="AB26" r:id="rId131" display="09/03/2026" xr:uid="{D8AA01B5-938C-4946-A230-16D60A9AF677}"/>
    <hyperlink ref="AB31" r:id="rId132" display="07/03/2026" xr:uid="{4E023B93-D386-49A3-BA6D-DABD2D72E54E}"/>
    <hyperlink ref="AB32" r:id="rId133" display="09/03/2026" xr:uid="{C74285FE-F249-4D40-AF7C-36A1E9FA0F49}"/>
    <hyperlink ref="AA58" r:id="rId134" display="4090180265" xr:uid="{24FE41A8-00ED-4C37-A525-D8486C8B1B74}"/>
    <hyperlink ref="AA63" r:id="rId135" display="4090180290" xr:uid="{46D20AF8-9775-4DAD-96E1-07D29974C3B2}"/>
    <hyperlink ref="AA65" r:id="rId136" display="4090180292" xr:uid="{4BCF86EA-058B-4C7B-A86A-A3D83AA8261B}"/>
    <hyperlink ref="AA59" r:id="rId137" display="4090180284" xr:uid="{A8BEB75C-CE2E-4151-9684-B2C99954E92A}"/>
    <hyperlink ref="AB11" r:id="rId138" display="09/03/2026" xr:uid="{9A8A954B-47BC-4F77-8AEA-F4A0DF08DCAE}"/>
    <hyperlink ref="AB35" r:id="rId139" display="10/03/2026" xr:uid="{48DE3500-1834-497F-9F1E-0EF99259BD1C}"/>
    <hyperlink ref="AB39" r:id="rId140" display="10/03/2026" xr:uid="{B2BBD44D-8102-476E-87F2-57D502F2E143}"/>
    <hyperlink ref="AB30" r:id="rId141" display="10/03/2026" xr:uid="{C499CDB4-ECC1-4304-9789-662CBF886C08}"/>
    <hyperlink ref="AB33" r:id="rId142" display="10/03/2026" xr:uid="{A444E740-B9AC-4EF4-B70F-D4193E45D9D2}"/>
    <hyperlink ref="AB34" r:id="rId143" display="09/03/2026" xr:uid="{C0ACD0E6-2681-4030-B632-F68316844D18}"/>
    <hyperlink ref="AB41" r:id="rId144" display="09/03/2026" xr:uid="{E0B3E835-2399-4824-824F-FE2EDFFD6DEB}"/>
    <hyperlink ref="AB43" r:id="rId145" display="10/03/2026" xr:uid="{A1CCB845-6F5D-4DDD-BC48-2ABFECB59EB6}"/>
    <hyperlink ref="AB79" r:id="rId146" display="11/03/2026" xr:uid="{45C7B58A-FD6A-44DE-A616-DD5A664D0537}"/>
    <hyperlink ref="AB80" r:id="rId147" display="10/03/2026" xr:uid="{FFEC7FA0-E1DD-4BD2-B6CA-520F953693F0}"/>
    <hyperlink ref="AB57" r:id="rId148" display="10/03/2026" xr:uid="{064BBC9E-77B9-45ED-B1F3-51075591B424}"/>
    <hyperlink ref="AA80" r:id="rId149" display="4090180338" xr:uid="{D7930A5C-71AA-4BBA-AE0F-F3034FCF232D}"/>
    <hyperlink ref="AA79" r:id="rId150" display="4090180334" xr:uid="{770A3172-C7D5-480B-9A9C-7C3D5204514B}"/>
    <hyperlink ref="AA73" r:id="rId151" display="4090180320" xr:uid="{C0C63C2D-D7AE-42DA-80B1-187FFD0D9C47}"/>
    <hyperlink ref="AA72" r:id="rId152" display="4090180319" xr:uid="{9664B1D2-2B65-4584-A18D-4AB0ACA0ED1D}"/>
    <hyperlink ref="AA71" r:id="rId153" display="4090180318" xr:uid="{C07423CC-E69E-41F1-B886-F7FA43FB7700}"/>
    <hyperlink ref="AA68" r:id="rId154" display="4090180312" xr:uid="{666858A7-8D61-4614-8668-9B039B141F67}"/>
    <hyperlink ref="AA67" r:id="rId155" display="4090180311" xr:uid="{52DEA386-0078-4EC3-A4C7-2586260F6FCB}"/>
    <hyperlink ref="AA66" r:id="rId156" display="4090180293" xr:uid="{412AA502-01A4-4602-96C3-C4D6CE3BA41A}"/>
    <hyperlink ref="AA64" r:id="rId157" display="4090180291" xr:uid="{DFFC3635-9BB2-4639-9F1D-55BC010E6335}"/>
    <hyperlink ref="AA62" r:id="rId158" display="4090180289" xr:uid="{57B04081-13EE-4AAD-B3FE-D7FB8ACC12A4}"/>
    <hyperlink ref="AA61" r:id="rId159" display="4090180288" xr:uid="{01C65B50-2B0C-4060-A3DD-AB59614E90F9}"/>
    <hyperlink ref="AA60" r:id="rId160" display="4090180286" xr:uid="{C2FA0250-7DA4-4EFA-A018-5D61A40BB5B2}"/>
    <hyperlink ref="AA75" r:id="rId161" display="4090180329" xr:uid="{C45B0691-CCF2-4098-A5B1-79C38AF7BB9E}"/>
    <hyperlink ref="AB56" r:id="rId162" display="11/03/2026" xr:uid="{2A632AF9-EA13-415F-8D96-F567A3EF394E}"/>
    <hyperlink ref="AB58" r:id="rId163" display="11/03/2026" xr:uid="{1BAFE017-3B45-47A1-A5C1-429BCD282742}"/>
    <hyperlink ref="AB59" r:id="rId164" display="11/03/2026" xr:uid="{6F064C8E-651F-4544-975C-7F855B858711}"/>
    <hyperlink ref="AB75" r:id="rId165" display="11/03/2026" xr:uid="{C3214585-8622-4BA6-9959-748FFF960CC5}"/>
    <hyperlink ref="AA76" r:id="rId166" display="4090180331" xr:uid="{BFF1695B-C1F4-44CE-98A8-1ABC2774A505}"/>
    <hyperlink ref="AA81" r:id="rId167" display="4090180339" xr:uid="{0F02EC50-404F-406D-AB35-7FC37797E33F}"/>
    <hyperlink ref="AA69" r:id="rId168" display="4090180313" xr:uid="{F3840030-4D25-440B-AB3B-31355806BFF3}"/>
    <hyperlink ref="AA77" r:id="rId169" display="4090180332" xr:uid="{29124C39-C757-4F91-B8E0-8BCBEFBCB9C4}"/>
    <hyperlink ref="AA78" r:id="rId170" display="4090180333" xr:uid="{66DE26D8-CE15-4EA4-9DEE-1E1838378D58}"/>
    <hyperlink ref="AA82" r:id="rId171" display="4090180340" xr:uid="{FA175C87-BCBC-4DB4-A69B-9CDB6680AAD7}"/>
    <hyperlink ref="AA83" r:id="rId172" display="4090180341" xr:uid="{C12EB6B7-0579-4C30-BBCC-C6FA5C21E406}"/>
    <hyperlink ref="AA84" r:id="rId173" display="4090180356" xr:uid="{A8A8C313-0BAB-4B39-A301-2925FB48F9D1}"/>
    <hyperlink ref="AA85" r:id="rId174" display="4090180357" xr:uid="{3C5459DD-05B9-463B-ADD7-75049C501213}"/>
    <hyperlink ref="AA91" r:id="rId175" display="4090180366" xr:uid="{4F5D2669-F2FA-49DF-B0FC-FDBD8C116973}"/>
    <hyperlink ref="AB85" r:id="rId176" display="12/03/2026" xr:uid="{90EC2EFF-017D-4EDA-B702-6A5A6BEF3073}"/>
    <hyperlink ref="AB84" r:id="rId177" display="12/03/2026" xr:uid="{BBADCC07-B04F-4FD6-8F4C-CE46AA5DD8D8}"/>
    <hyperlink ref="AB76" r:id="rId178" display="12/03/2026" xr:uid="{32850A03-8BC5-496F-B3BF-DF813143EF10}"/>
    <hyperlink ref="AA87" r:id="rId179" display="4090180359" xr:uid="{98A0CE9F-B214-4ADA-B064-0E293750BAD9}"/>
    <hyperlink ref="AA92" r:id="rId180" display="4090180369" xr:uid="{16B8E9BB-2639-49A9-B955-0D6F1AB83B8D}"/>
    <hyperlink ref="AA74" r:id="rId181" display="4090180328" xr:uid="{E09340C9-9ED0-4E47-8E0C-49306336684A}"/>
    <hyperlink ref="AA70" r:id="rId182" display="4090180314" xr:uid="{618D55FC-60A6-4060-9DCD-3145B8633B3C}"/>
    <hyperlink ref="AA88" r:id="rId183" display="4090180360" xr:uid="{D3530AB1-14FB-48B4-941E-007E1385EC56}"/>
    <hyperlink ref="AA90" r:id="rId184" display="4090180365" xr:uid="{FC25A46F-4CD5-4281-BD84-4ECE6829B4B8}"/>
    <hyperlink ref="AA94" r:id="rId185" display="4090180385" xr:uid="{DB12148C-FFA7-40CD-8E8C-A52ABE3FEB99}"/>
    <hyperlink ref="AA100" r:id="rId186" display="4090180407" xr:uid="{D5ED98D1-5ED4-4BD7-B088-841E095DC1A3}"/>
    <hyperlink ref="AA99" r:id="rId187" display="4090180405" xr:uid="{8E928C9B-6947-4EBA-9809-BB0FC33836EA}"/>
    <hyperlink ref="AA103" r:id="rId188" display="4090180410" xr:uid="{7EDDDB60-F767-440A-8C50-2F0203D7FF31}"/>
    <hyperlink ref="AA95" r:id="rId189" display="4090180400" xr:uid="{8170E5FA-0235-459B-A473-87431B2970FA}"/>
    <hyperlink ref="AA96" r:id="rId190" display="4090180401" xr:uid="{74E5B42E-31CC-4267-8726-7D0366595552}"/>
    <hyperlink ref="AA102" r:id="rId191" display="4090180409" xr:uid="{9FAC91F4-F9CC-424E-A812-13F019C2CC01}"/>
    <hyperlink ref="AA107" r:id="rId192" display="4090180418" xr:uid="{D7AD21BA-D705-4DDC-A30D-ACD47DC4119F}"/>
    <hyperlink ref="AA108" r:id="rId193" display="4090180419" xr:uid="{3A0B0492-6C2F-4FED-BC39-922DB2823B97}"/>
    <hyperlink ref="D60" r:id="rId194" xr:uid="{45A3ED28-A6D1-4942-8E79-05280BFCA93E}"/>
    <hyperlink ref="AA105" r:id="rId195" display="4090180412" xr:uid="{760D9F20-8774-4A94-B374-12EC4DB14823}"/>
    <hyperlink ref="AB70" r:id="rId196" display="13/03/2026" xr:uid="{6A5A8101-AC8E-40F1-AA76-C8897C486692}"/>
    <hyperlink ref="AB74" r:id="rId197" display="13/03/2026" xr:uid="{FAFC76C2-9AEC-43A3-AB09-40A53B010DB2}"/>
    <hyperlink ref="AA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A93" r:id="rId201" display="4090180370" xr:uid="{F0BCBF22-6E2B-4727-804C-557AEE1E5B73}"/>
    <hyperlink ref="AA86" r:id="rId202" display="4090180358" xr:uid="{726A5CE3-B538-49A7-83B0-9E1DB53513D4}"/>
    <hyperlink ref="AA89" r:id="rId203" display="4090180361" xr:uid="{BCCF4ABE-06DA-4BA8-9706-2FD1D4767FB9}"/>
    <hyperlink ref="AA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A106" r:id="rId212" display="4090180413" xr:uid="{8505BF1D-2759-4501-9D23-1DA33AF38378}"/>
    <hyperlink ref="AA119" r:id="rId213" display="4090180462" xr:uid="{7C9E799A-D682-4931-B077-8498D6CA3FCE}"/>
    <hyperlink ref="AA123" r:id="rId214" display="4090180472" xr:uid="{F7D4172D-60B7-404D-BD6D-F7AB2E458EB6}"/>
    <hyperlink ref="AA125" r:id="rId215" display="4090180481" xr:uid="{9002B628-DB19-4517-8A93-FF7F0F1CB8B8}"/>
    <hyperlink ref="AA97" r:id="rId216" display="4090180402" xr:uid="{5B8CE14E-57A3-43DB-9692-F05FFAAD43E3}"/>
    <hyperlink ref="AA101" r:id="rId217" display="4090180408" xr:uid="{A950EED5-9306-440A-9FEE-C48F52AF4E97}"/>
    <hyperlink ref="AA104" r:id="rId218" display="4090180411" xr:uid="{C92752A9-1151-492E-BAE5-BC71E195B905}"/>
    <hyperlink ref="AA114" r:id="rId219" display="4090180441" xr:uid="{065316C2-687C-4A03-8FFE-6211568B4820}"/>
    <hyperlink ref="AA121" r:id="rId220" display="4090180465" xr:uid="{93640BBF-C62E-469C-8356-BF2AEB6D82DC}"/>
    <hyperlink ref="D67" r:id="rId221" xr:uid="{F5FCA351-0106-47EA-94A8-3AC35414E6AC}"/>
    <hyperlink ref="AB119" r:id="rId222" display="16/03/2026" xr:uid="{6287A2C0-AC97-4971-A177-99644D43495D}"/>
    <hyperlink ref="AB91" r:id="rId223" display="16/03/2026" xr:uid="{3AE47101-6838-4EEE-993E-4EF6BFF07C28}"/>
    <hyperlink ref="AB88" r:id="rId224" display="16/03/2026" xr:uid="{1F59CFAE-F600-4FB0-85CA-F83D93FD2212}"/>
    <hyperlink ref="AB81" r:id="rId225" display="16/03/2026" xr:uid="{D45BA6AE-E451-42FC-8399-37A0F2CA6541}"/>
    <hyperlink ref="AB89" r:id="rId226" display="16/03/2026" xr:uid="{CA2BAD43-93AA-4C01-8239-2D4FC9F868AA}"/>
    <hyperlink ref="AB72" r:id="rId227" display="16/03/2026" xr:uid="{ADB71DE5-D1A4-4798-B571-C043F6699F12}"/>
    <hyperlink ref="AB71" r:id="rId228" display="16/03/2026" xr:uid="{7F89A1D8-1304-43C0-9BB3-937374C4B509}"/>
    <hyperlink ref="AB68" r:id="rId229" display="16/03/2026" xr:uid="{B59AB19B-504B-4ED3-80EA-B898566FDEAF}"/>
    <hyperlink ref="AB73" r:id="rId230" display="16/03/2026" xr:uid="{77373BED-2CCA-4458-8AF8-CB598BDA7BC9}"/>
    <hyperlink ref="AB65" r:id="rId231" display="16/03/2026" xr:uid="{23DB3436-3C22-4EA8-A6BF-17180926BF73}"/>
    <hyperlink ref="AB40" r:id="rId232" display="16/03/2026" xr:uid="{23278731-187E-4FCF-A944-77EBAF16CE61}"/>
    <hyperlink ref="AB102" r:id="rId233" display="16/03/2026" xr:uid="{2389859E-E0DC-4122-B5C8-F56F7AAFF675}"/>
    <hyperlink ref="AB87" r:id="rId234" display="16/03/2026" xr:uid="{CD1767BE-4B09-46DA-B64A-4EDA873256D0}"/>
    <hyperlink ref="AB115" r:id="rId235" display="16/03/2026" xr:uid="{40FE2A3B-B98F-419C-8968-CBE9B97E5A2D}"/>
    <hyperlink ref="AB100" r:id="rId236" display="16/03/2026" xr:uid="{18B6D7ED-A648-4FB2-B76E-FD8D3C9FDF43}"/>
    <hyperlink ref="AB66" r:id="rId237" display="16/03/2026" xr:uid="{BB110D5A-A802-4CC3-94F7-115CBBD1FACB}"/>
    <hyperlink ref="D52" r:id="rId238" xr:uid="{A332130F-31DF-43B3-8CB9-E76F9DF2041A}"/>
    <hyperlink ref="AA113" r:id="rId239" display="4090180438" xr:uid="{A482AE41-5F49-491B-B6F2-D9889448A4DD}"/>
    <hyperlink ref="AA117" r:id="rId240" display="4090180457" xr:uid="{D4B66D82-3E40-4B99-975F-9E2578DF2FDE}"/>
    <hyperlink ref="AA118" r:id="rId241" display="4090180458" xr:uid="{BA83565B-58BC-4726-B190-1EAB85886D82}"/>
    <hyperlink ref="AA132" r:id="rId242" display="4090180512" xr:uid="{CD7B2779-0C6E-437C-AD3A-8D6FE802FBAD}"/>
    <hyperlink ref="AA111" r:id="rId243" display="4090180433" xr:uid="{2A5A19F6-4F0E-446D-913B-56C8123DA2A0}"/>
    <hyperlink ref="AA98" r:id="rId244" display="4090180403" xr:uid="{22AD88EC-1FA9-4D93-A330-98A8EE3F1574}"/>
    <hyperlink ref="AB113" r:id="rId245" display="16/03/2026" xr:uid="{868BB5A1-500D-4DDE-A57E-B6F0A23969B3}"/>
    <hyperlink ref="AB118" r:id="rId246" display="16/03/2026" xr:uid="{9621350B-D8FB-41C9-9606-CDC1868D6F00}"/>
    <hyperlink ref="AA127" r:id="rId247" display="4090180497" xr:uid="{B9086E84-63BD-44CD-9898-6984312FC65E}"/>
    <hyperlink ref="AA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A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102" r:id="rId255" xr:uid="{A4526BD1-4415-401B-A0F8-03E0AC43B180}"/>
    <hyperlink ref="D68" r:id="rId256" xr:uid="{2876E30C-DF05-4454-802A-699B089CB0A6}"/>
    <hyperlink ref="D89" r:id="rId257" xr:uid="{F3FB58A2-A1C6-47DC-9C65-B4CDFC351ADE}"/>
    <hyperlink ref="D119" r:id="rId258" xr:uid="{B47F321E-D760-4E07-BD29-1E8B6ACE3092}"/>
    <hyperlink ref="D91" r:id="rId259" xr:uid="{12F51D04-1227-44C2-B794-25773DA924E6}"/>
    <hyperlink ref="D113" r:id="rId260" xr:uid="{CDC285C3-96CA-4BC0-934F-1E80CBC115B7}"/>
    <hyperlink ref="D63" r:id="rId261" xr:uid="{631EE4A6-9B56-44D7-B5E2-294E0D82BBC4}"/>
    <hyperlink ref="D101" r:id="rId262" xr:uid="{ABFE41F2-119F-49D1-8E7F-48A6DABF3D18}"/>
    <hyperlink ref="D115" r:id="rId263" xr:uid="{5F585F8C-DBBF-4513-8EF6-0605E263E72E}"/>
    <hyperlink ref="D118" r:id="rId264" xr:uid="{6A300A67-294C-4169-BC4B-5BBCF44BC8E2}"/>
  </hyperlinks>
  <pageMargins left="0.7" right="0.7" top="0.75" bottom="0.75" header="0.3" footer="0.3"/>
  <legacy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A326-0772-4A4D-8A32-3E70EE8E7130}">
  <dimension ref="A1:I441"/>
  <sheetViews>
    <sheetView topLeftCell="A283" workbookViewId="0">
      <selection activeCell="C299" sqref="C299"/>
    </sheetView>
  </sheetViews>
  <sheetFormatPr baseColWidth="10" defaultColWidth="9.140625" defaultRowHeight="15"/>
  <cols>
    <col min="1" max="1" width="16" customWidth="1"/>
    <col min="2" max="2" width="14.85546875" customWidth="1"/>
    <col min="3" max="3" width="27.7109375" customWidth="1"/>
    <col min="4" max="4" width="18" customWidth="1"/>
    <col min="5" max="5" width="24.85546875" customWidth="1"/>
    <col min="6" max="6" width="29.85546875" style="1" customWidth="1"/>
    <col min="7" max="7" width="16.28515625" customWidth="1"/>
    <col min="8" max="8" width="21.7109375" customWidth="1"/>
    <col min="9" max="9" width="24.140625" customWidth="1"/>
  </cols>
  <sheetData>
    <row r="1" spans="1:9" ht="54.75" customHeight="1">
      <c r="A1" s="174" t="s">
        <v>861</v>
      </c>
      <c r="B1" s="175" t="s">
        <v>862</v>
      </c>
      <c r="C1" s="176" t="s">
        <v>863</v>
      </c>
      <c r="D1" s="185" t="s">
        <v>864</v>
      </c>
      <c r="E1" s="198" t="s">
        <v>865</v>
      </c>
      <c r="F1" s="196" t="s">
        <v>866</v>
      </c>
      <c r="G1" s="175" t="s">
        <v>867</v>
      </c>
      <c r="H1" s="175" t="s">
        <v>868</v>
      </c>
      <c r="I1" s="177" t="s">
        <v>869</v>
      </c>
    </row>
    <row r="2" spans="1:9">
      <c r="A2" s="178" t="s">
        <v>34</v>
      </c>
      <c r="B2" s="178">
        <v>179930</v>
      </c>
      <c r="C2" s="178"/>
      <c r="D2" s="178" t="s">
        <v>870</v>
      </c>
      <c r="E2" s="178" t="s">
        <v>871</v>
      </c>
      <c r="F2" s="4">
        <v>2605113227</v>
      </c>
      <c r="G2" s="178" t="s">
        <v>872</v>
      </c>
      <c r="H2" s="178"/>
      <c r="I2" s="178"/>
    </row>
    <row r="3" spans="1:9">
      <c r="A3" s="178" t="s">
        <v>34</v>
      </c>
      <c r="B3" s="178">
        <v>179930</v>
      </c>
      <c r="C3" s="178"/>
      <c r="D3" s="178" t="s">
        <v>873</v>
      </c>
      <c r="E3" s="178" t="s">
        <v>871</v>
      </c>
      <c r="F3" s="4">
        <v>2605114532</v>
      </c>
      <c r="G3" s="178" t="s">
        <v>872</v>
      </c>
      <c r="H3" s="178"/>
      <c r="I3" s="178"/>
    </row>
    <row r="4" spans="1:9">
      <c r="A4" s="178" t="s">
        <v>34</v>
      </c>
      <c r="B4" s="178">
        <v>179930</v>
      </c>
      <c r="C4" s="178"/>
      <c r="D4" s="178" t="s">
        <v>870</v>
      </c>
      <c r="E4" s="178" t="s">
        <v>859</v>
      </c>
      <c r="F4" s="207" t="s">
        <v>874</v>
      </c>
      <c r="G4" s="178" t="s">
        <v>872</v>
      </c>
      <c r="H4" s="178"/>
      <c r="I4" s="178"/>
    </row>
    <row r="5" spans="1:9">
      <c r="A5" s="178" t="s">
        <v>34</v>
      </c>
      <c r="B5" s="178">
        <v>179930</v>
      </c>
      <c r="C5" s="178"/>
      <c r="D5" s="178" t="s">
        <v>860</v>
      </c>
      <c r="E5" s="178" t="s">
        <v>859</v>
      </c>
      <c r="F5" s="4" t="s">
        <v>875</v>
      </c>
      <c r="G5" s="178" t="s">
        <v>872</v>
      </c>
      <c r="H5" s="178"/>
      <c r="I5" s="178"/>
    </row>
    <row r="6" spans="1:9" s="201" customFormat="1">
      <c r="A6" s="199" t="s">
        <v>51</v>
      </c>
      <c r="B6" s="199">
        <v>179947</v>
      </c>
      <c r="C6" s="199"/>
      <c r="D6" s="199" t="s">
        <v>870</v>
      </c>
      <c r="E6" s="199" t="s">
        <v>871</v>
      </c>
      <c r="F6" s="4">
        <v>2605101385</v>
      </c>
      <c r="G6" s="199" t="s">
        <v>872</v>
      </c>
      <c r="H6" s="199"/>
      <c r="I6" s="199"/>
    </row>
    <row r="7" spans="1:9">
      <c r="A7" s="178" t="s">
        <v>51</v>
      </c>
      <c r="B7" s="178">
        <v>179947</v>
      </c>
      <c r="C7" s="178"/>
      <c r="D7" s="178" t="s">
        <v>873</v>
      </c>
      <c r="E7" s="178" t="s">
        <v>871</v>
      </c>
      <c r="F7" s="4">
        <v>2605109992</v>
      </c>
      <c r="G7" s="178" t="s">
        <v>872</v>
      </c>
      <c r="H7" s="178"/>
      <c r="I7" s="178"/>
    </row>
    <row r="8" spans="1:9">
      <c r="A8" s="178" t="s">
        <v>51</v>
      </c>
      <c r="B8" s="178">
        <v>179947</v>
      </c>
      <c r="C8" s="178"/>
      <c r="D8" s="178" t="s">
        <v>870</v>
      </c>
      <c r="E8" s="178" t="s">
        <v>859</v>
      </c>
      <c r="F8" s="207" t="s">
        <v>876</v>
      </c>
      <c r="G8" s="178" t="s">
        <v>872</v>
      </c>
      <c r="H8" s="178"/>
      <c r="I8" s="178"/>
    </row>
    <row r="9" spans="1:9" s="201" customFormat="1">
      <c r="A9" s="199" t="s">
        <v>63</v>
      </c>
      <c r="B9" s="199">
        <v>179972</v>
      </c>
      <c r="C9" s="199"/>
      <c r="D9" s="199" t="s">
        <v>870</v>
      </c>
      <c r="E9" s="199" t="s">
        <v>871</v>
      </c>
      <c r="F9" s="4">
        <v>2605106362</v>
      </c>
      <c r="G9" s="199" t="s">
        <v>872</v>
      </c>
      <c r="H9" s="199"/>
      <c r="I9" s="199"/>
    </row>
    <row r="10" spans="1:9">
      <c r="A10" s="178" t="s">
        <v>63</v>
      </c>
      <c r="B10" s="178">
        <v>179972</v>
      </c>
      <c r="C10" s="178"/>
      <c r="D10" s="178" t="s">
        <v>873</v>
      </c>
      <c r="E10" s="178" t="s">
        <v>871</v>
      </c>
      <c r="F10" s="4">
        <v>2605107634</v>
      </c>
      <c r="G10" s="178" t="s">
        <v>872</v>
      </c>
      <c r="H10" s="178"/>
      <c r="I10" s="178"/>
    </row>
    <row r="11" spans="1:9">
      <c r="A11" s="178" t="s">
        <v>63</v>
      </c>
      <c r="B11" s="178">
        <v>179972</v>
      </c>
      <c r="C11" s="178"/>
      <c r="D11" s="178" t="s">
        <v>870</v>
      </c>
      <c r="E11" s="178" t="s">
        <v>859</v>
      </c>
      <c r="F11" s="207" t="s">
        <v>877</v>
      </c>
      <c r="G11" s="178" t="s">
        <v>872</v>
      </c>
      <c r="H11" s="178"/>
      <c r="I11" s="178"/>
    </row>
    <row r="12" spans="1:9" s="201" customFormat="1">
      <c r="A12" s="199" t="s">
        <v>71</v>
      </c>
      <c r="B12" s="199">
        <v>180001</v>
      </c>
      <c r="C12" s="199"/>
      <c r="D12" s="199" t="s">
        <v>870</v>
      </c>
      <c r="E12" s="199" t="s">
        <v>871</v>
      </c>
      <c r="F12" s="4">
        <v>260595504</v>
      </c>
      <c r="G12" s="199" t="s">
        <v>872</v>
      </c>
      <c r="H12" s="199"/>
      <c r="I12" s="199"/>
    </row>
    <row r="13" spans="1:9">
      <c r="A13" s="178" t="s">
        <v>71</v>
      </c>
      <c r="B13" s="178">
        <v>180001</v>
      </c>
      <c r="C13" s="178"/>
      <c r="D13" s="178" t="s">
        <v>873</v>
      </c>
      <c r="E13" s="178" t="s">
        <v>871</v>
      </c>
      <c r="F13" s="4">
        <v>260597318</v>
      </c>
      <c r="G13" s="178" t="s">
        <v>872</v>
      </c>
      <c r="H13" s="178"/>
      <c r="I13" s="178"/>
    </row>
    <row r="14" spans="1:9">
      <c r="A14" s="178" t="s">
        <v>71</v>
      </c>
      <c r="B14" s="178">
        <v>180001</v>
      </c>
      <c r="C14" s="178"/>
      <c r="D14" s="178" t="s">
        <v>870</v>
      </c>
      <c r="E14" s="178" t="s">
        <v>859</v>
      </c>
      <c r="F14" s="207" t="s">
        <v>878</v>
      </c>
      <c r="G14" s="178" t="s">
        <v>872</v>
      </c>
      <c r="H14" s="178"/>
      <c r="I14" s="178"/>
    </row>
    <row r="15" spans="1:9" s="201" customFormat="1">
      <c r="A15" s="199" t="s">
        <v>77</v>
      </c>
      <c r="B15" s="199">
        <v>180023</v>
      </c>
      <c r="C15" s="199"/>
      <c r="D15" s="199" t="s">
        <v>870</v>
      </c>
      <c r="E15" s="199" t="s">
        <v>871</v>
      </c>
      <c r="F15" s="4">
        <v>260598254</v>
      </c>
      <c r="G15" s="199" t="s">
        <v>872</v>
      </c>
      <c r="H15" s="199"/>
      <c r="I15" s="199"/>
    </row>
    <row r="16" spans="1:9">
      <c r="A16" s="178" t="s">
        <v>77</v>
      </c>
      <c r="B16" s="178">
        <v>180023</v>
      </c>
      <c r="C16" s="178"/>
      <c r="D16" s="178" t="s">
        <v>873</v>
      </c>
      <c r="E16" s="178" t="s">
        <v>871</v>
      </c>
      <c r="F16" s="4">
        <v>260599583</v>
      </c>
      <c r="G16" s="178" t="s">
        <v>872</v>
      </c>
      <c r="H16" s="178"/>
      <c r="I16" s="178"/>
    </row>
    <row r="17" spans="1:9">
      <c r="A17" s="178" t="s">
        <v>77</v>
      </c>
      <c r="B17" s="178">
        <v>180023</v>
      </c>
      <c r="C17" s="178"/>
      <c r="D17" s="178" t="s">
        <v>870</v>
      </c>
      <c r="E17" s="178" t="s">
        <v>859</v>
      </c>
      <c r="F17" s="207" t="s">
        <v>879</v>
      </c>
      <c r="G17" s="178" t="s">
        <v>872</v>
      </c>
      <c r="H17" s="178"/>
      <c r="I17" s="178"/>
    </row>
    <row r="18" spans="1:9" s="201" customFormat="1">
      <c r="A18" s="199" t="s">
        <v>83</v>
      </c>
      <c r="B18" s="199">
        <v>180040</v>
      </c>
      <c r="C18" s="199"/>
      <c r="D18" s="199" t="s">
        <v>870</v>
      </c>
      <c r="E18" s="199" t="s">
        <v>871</v>
      </c>
      <c r="F18" s="4">
        <v>2605101685</v>
      </c>
      <c r="G18" s="199" t="s">
        <v>872</v>
      </c>
      <c r="H18" s="199"/>
      <c r="I18" s="199"/>
    </row>
    <row r="19" spans="1:9">
      <c r="A19" s="178" t="s">
        <v>83</v>
      </c>
      <c r="B19" s="178">
        <v>180040</v>
      </c>
      <c r="C19" s="178"/>
      <c r="D19" s="178" t="s">
        <v>873</v>
      </c>
      <c r="E19" s="178" t="s">
        <v>871</v>
      </c>
      <c r="F19" s="4">
        <v>2605107573</v>
      </c>
      <c r="G19" s="178" t="s">
        <v>872</v>
      </c>
      <c r="H19" s="178"/>
      <c r="I19" s="178"/>
    </row>
    <row r="20" spans="1:9">
      <c r="A20" s="178" t="s">
        <v>83</v>
      </c>
      <c r="B20" s="178">
        <v>180040</v>
      </c>
      <c r="C20" s="178"/>
      <c r="D20" s="178" t="s">
        <v>870</v>
      </c>
      <c r="E20" s="178" t="s">
        <v>859</v>
      </c>
      <c r="F20" s="207" t="s">
        <v>880</v>
      </c>
      <c r="G20" s="178" t="s">
        <v>872</v>
      </c>
      <c r="H20" s="178"/>
      <c r="I20" s="178"/>
    </row>
    <row r="21" spans="1:9" s="201" customFormat="1">
      <c r="A21" s="199" t="s">
        <v>91</v>
      </c>
      <c r="B21" s="199">
        <v>180056</v>
      </c>
      <c r="C21" s="199"/>
      <c r="D21" s="199" t="s">
        <v>870</v>
      </c>
      <c r="E21" s="199" t="s">
        <v>871</v>
      </c>
      <c r="F21" s="4">
        <v>2605101914</v>
      </c>
      <c r="G21" s="199" t="s">
        <v>872</v>
      </c>
      <c r="H21" s="199"/>
      <c r="I21" s="199"/>
    </row>
    <row r="22" spans="1:9">
      <c r="A22" s="178" t="s">
        <v>91</v>
      </c>
      <c r="B22" s="178">
        <v>180056</v>
      </c>
      <c r="C22" s="178"/>
      <c r="D22" s="178" t="s">
        <v>873</v>
      </c>
      <c r="E22" s="178" t="s">
        <v>871</v>
      </c>
      <c r="F22" s="4">
        <v>2605102768</v>
      </c>
      <c r="G22" s="178" t="s">
        <v>872</v>
      </c>
      <c r="H22" s="178"/>
      <c r="I22" s="178"/>
    </row>
    <row r="23" spans="1:9">
      <c r="A23" s="178" t="s">
        <v>91</v>
      </c>
      <c r="B23" s="178">
        <v>180056</v>
      </c>
      <c r="C23" s="178"/>
      <c r="D23" s="178" t="s">
        <v>870</v>
      </c>
      <c r="E23" s="178" t="s">
        <v>859</v>
      </c>
      <c r="F23" s="207" t="s">
        <v>881</v>
      </c>
      <c r="G23" s="178" t="s">
        <v>872</v>
      </c>
      <c r="H23" s="178"/>
      <c r="I23" s="178"/>
    </row>
    <row r="24" spans="1:9" s="201" customFormat="1">
      <c r="A24" s="199" t="s">
        <v>96</v>
      </c>
      <c r="B24" s="199">
        <v>180057</v>
      </c>
      <c r="C24" s="199"/>
      <c r="D24" s="199" t="s">
        <v>870</v>
      </c>
      <c r="E24" s="199" t="s">
        <v>871</v>
      </c>
      <c r="F24" s="4">
        <v>2605100691</v>
      </c>
      <c r="G24" s="199" t="s">
        <v>872</v>
      </c>
      <c r="H24" s="199"/>
      <c r="I24" s="199"/>
    </row>
    <row r="25" spans="1:9">
      <c r="A25" s="178" t="s">
        <v>96</v>
      </c>
      <c r="B25" s="178">
        <v>180057</v>
      </c>
      <c r="C25" s="178"/>
      <c r="D25" s="178" t="s">
        <v>873</v>
      </c>
      <c r="E25" s="178" t="s">
        <v>871</v>
      </c>
      <c r="F25" s="4">
        <v>2605101997</v>
      </c>
      <c r="G25" s="178" t="s">
        <v>872</v>
      </c>
      <c r="H25" s="178"/>
      <c r="I25" s="178"/>
    </row>
    <row r="26" spans="1:9">
      <c r="A26" s="178" t="s">
        <v>96</v>
      </c>
      <c r="B26" s="178">
        <v>180057</v>
      </c>
      <c r="C26" s="178"/>
      <c r="D26" s="178" t="s">
        <v>870</v>
      </c>
      <c r="E26" s="178" t="s">
        <v>859</v>
      </c>
      <c r="F26" s="207" t="s">
        <v>882</v>
      </c>
      <c r="G26" s="178" t="s">
        <v>872</v>
      </c>
      <c r="H26" s="178"/>
      <c r="I26" s="178"/>
    </row>
    <row r="27" spans="1:9" s="201" customFormat="1">
      <c r="A27" s="199" t="s">
        <v>103</v>
      </c>
      <c r="B27" s="199">
        <v>180059</v>
      </c>
      <c r="C27" s="199"/>
      <c r="D27" s="199" t="s">
        <v>870</v>
      </c>
      <c r="E27" s="199" t="s">
        <v>871</v>
      </c>
      <c r="F27" s="4">
        <v>2605101437</v>
      </c>
      <c r="G27" s="199" t="s">
        <v>872</v>
      </c>
      <c r="H27" s="199"/>
      <c r="I27" s="199"/>
    </row>
    <row r="28" spans="1:9">
      <c r="A28" s="178" t="s">
        <v>103</v>
      </c>
      <c r="B28" s="178">
        <v>180059</v>
      </c>
      <c r="C28" s="178"/>
      <c r="D28" s="178" t="s">
        <v>873</v>
      </c>
      <c r="E28" s="178" t="s">
        <v>871</v>
      </c>
      <c r="F28" s="4">
        <v>2605101999</v>
      </c>
      <c r="G28" s="178" t="s">
        <v>872</v>
      </c>
      <c r="H28" s="178"/>
      <c r="I28" s="178"/>
    </row>
    <row r="29" spans="1:9">
      <c r="A29" s="178" t="s">
        <v>103</v>
      </c>
      <c r="B29" s="178">
        <v>180059</v>
      </c>
      <c r="C29" s="178"/>
      <c r="D29" s="178" t="s">
        <v>870</v>
      </c>
      <c r="E29" s="178" t="s">
        <v>859</v>
      </c>
      <c r="F29" s="207" t="s">
        <v>883</v>
      </c>
      <c r="G29" s="178" t="s">
        <v>872</v>
      </c>
      <c r="H29" s="178"/>
      <c r="I29" s="178"/>
    </row>
    <row r="30" spans="1:9" s="201" customFormat="1">
      <c r="A30" s="199" t="s">
        <v>108</v>
      </c>
      <c r="B30" s="199">
        <v>180066</v>
      </c>
      <c r="C30" s="199"/>
      <c r="D30" s="199" t="s">
        <v>870</v>
      </c>
      <c r="E30" s="199" t="s">
        <v>871</v>
      </c>
      <c r="F30" s="4">
        <v>2605106858</v>
      </c>
      <c r="G30" s="199" t="s">
        <v>872</v>
      </c>
      <c r="H30" s="199"/>
      <c r="I30" s="199"/>
    </row>
    <row r="31" spans="1:9">
      <c r="A31" s="178" t="s">
        <v>108</v>
      </c>
      <c r="B31" s="178">
        <v>180066</v>
      </c>
      <c r="C31" s="178"/>
      <c r="D31" s="178" t="s">
        <v>873</v>
      </c>
      <c r="E31" s="178" t="s">
        <v>871</v>
      </c>
      <c r="F31" s="4">
        <v>2605107743</v>
      </c>
      <c r="G31" s="178" t="s">
        <v>872</v>
      </c>
      <c r="H31" s="178"/>
      <c r="I31" s="178"/>
    </row>
    <row r="32" spans="1:9">
      <c r="A32" s="178" t="s">
        <v>108</v>
      </c>
      <c r="B32" s="178">
        <v>180066</v>
      </c>
      <c r="C32" s="178"/>
      <c r="D32" s="178" t="s">
        <v>870</v>
      </c>
      <c r="E32" s="178" t="s">
        <v>859</v>
      </c>
      <c r="F32" s="207" t="s">
        <v>884</v>
      </c>
      <c r="G32" s="178" t="s">
        <v>872</v>
      </c>
      <c r="H32" s="178"/>
      <c r="I32" s="178"/>
    </row>
    <row r="33" spans="1:9" s="201" customFormat="1">
      <c r="A33" s="199" t="s">
        <v>885</v>
      </c>
      <c r="B33" s="199">
        <v>180067</v>
      </c>
      <c r="C33" s="199"/>
      <c r="D33" s="199" t="s">
        <v>870</v>
      </c>
      <c r="E33" s="199" t="s">
        <v>871</v>
      </c>
      <c r="F33" s="4">
        <v>2605100503</v>
      </c>
      <c r="G33" s="199" t="s">
        <v>872</v>
      </c>
      <c r="H33" s="199"/>
      <c r="I33" s="199"/>
    </row>
    <row r="34" spans="1:9">
      <c r="A34" s="178" t="s">
        <v>885</v>
      </c>
      <c r="B34" s="178">
        <v>180067</v>
      </c>
      <c r="C34" s="178"/>
      <c r="D34" s="178" t="s">
        <v>873</v>
      </c>
      <c r="E34" s="178" t="s">
        <v>871</v>
      </c>
      <c r="F34" s="4">
        <v>2605102001</v>
      </c>
      <c r="G34" s="178" t="s">
        <v>872</v>
      </c>
      <c r="H34" s="178"/>
      <c r="I34" s="178"/>
    </row>
    <row r="35" spans="1:9">
      <c r="A35" s="178" t="s">
        <v>885</v>
      </c>
      <c r="B35" s="178">
        <v>180067</v>
      </c>
      <c r="C35" s="178"/>
      <c r="D35" s="178" t="s">
        <v>870</v>
      </c>
      <c r="E35" s="178" t="s">
        <v>859</v>
      </c>
      <c r="F35" s="207" t="s">
        <v>886</v>
      </c>
      <c r="G35" s="178" t="s">
        <v>872</v>
      </c>
      <c r="H35" s="178"/>
      <c r="I35" s="178"/>
    </row>
    <row r="36" spans="1:9" s="201" customFormat="1">
      <c r="A36" s="199" t="s">
        <v>121</v>
      </c>
      <c r="B36" s="199">
        <v>180070</v>
      </c>
      <c r="C36" s="199"/>
      <c r="D36" s="199" t="s">
        <v>870</v>
      </c>
      <c r="E36" s="199" t="s">
        <v>871</v>
      </c>
      <c r="F36" s="4">
        <v>2605106749</v>
      </c>
      <c r="G36" s="199" t="s">
        <v>872</v>
      </c>
      <c r="H36" s="199"/>
      <c r="I36" s="199"/>
    </row>
    <row r="37" spans="1:9">
      <c r="A37" s="178" t="s">
        <v>121</v>
      </c>
      <c r="B37" s="178">
        <v>180070</v>
      </c>
      <c r="C37" s="178"/>
      <c r="D37" s="178" t="s">
        <v>873</v>
      </c>
      <c r="E37" s="178" t="s">
        <v>871</v>
      </c>
      <c r="F37" s="4">
        <v>2605107710</v>
      </c>
      <c r="G37" s="178" t="s">
        <v>872</v>
      </c>
      <c r="H37" s="178"/>
      <c r="I37" s="178"/>
    </row>
    <row r="38" spans="1:9">
      <c r="A38" s="178" t="s">
        <v>121</v>
      </c>
      <c r="B38" s="178">
        <v>180070</v>
      </c>
      <c r="C38" s="178"/>
      <c r="D38" s="178" t="s">
        <v>870</v>
      </c>
      <c r="E38" s="178" t="s">
        <v>859</v>
      </c>
      <c r="F38" s="207" t="s">
        <v>887</v>
      </c>
      <c r="G38" s="178" t="s">
        <v>872</v>
      </c>
      <c r="H38" s="178"/>
      <c r="I38" s="178"/>
    </row>
    <row r="39" spans="1:9" s="201" customFormat="1">
      <c r="A39" s="199" t="s">
        <v>125</v>
      </c>
      <c r="B39" s="199">
        <v>180072</v>
      </c>
      <c r="C39" s="199"/>
      <c r="D39" s="199" t="s">
        <v>870</v>
      </c>
      <c r="E39" s="199" t="s">
        <v>871</v>
      </c>
      <c r="F39" s="4">
        <v>2605104506</v>
      </c>
      <c r="G39" s="199" t="s">
        <v>872</v>
      </c>
      <c r="H39" s="199"/>
      <c r="I39" s="199"/>
    </row>
    <row r="40" spans="1:9">
      <c r="A40" s="178" t="s">
        <v>125</v>
      </c>
      <c r="B40" s="178">
        <v>180072</v>
      </c>
      <c r="C40" s="178"/>
      <c r="D40" s="178" t="s">
        <v>873</v>
      </c>
      <c r="E40" s="178" t="s">
        <v>871</v>
      </c>
      <c r="F40" s="4">
        <v>2605105058</v>
      </c>
      <c r="G40" s="178" t="s">
        <v>872</v>
      </c>
      <c r="H40" s="178"/>
      <c r="I40" s="178"/>
    </row>
    <row r="41" spans="1:9">
      <c r="A41" s="178" t="s">
        <v>125</v>
      </c>
      <c r="B41" s="178">
        <v>180072</v>
      </c>
      <c r="C41" s="178"/>
      <c r="D41" s="178" t="s">
        <v>870</v>
      </c>
      <c r="E41" s="178" t="s">
        <v>859</v>
      </c>
      <c r="F41" s="207" t="s">
        <v>888</v>
      </c>
      <c r="G41" s="178" t="s">
        <v>872</v>
      </c>
      <c r="H41" s="178"/>
      <c r="I41" s="178"/>
    </row>
    <row r="42" spans="1:9" s="201" customFormat="1">
      <c r="A42" s="199" t="s">
        <v>130</v>
      </c>
      <c r="B42" s="199">
        <v>180073</v>
      </c>
      <c r="C42" s="199"/>
      <c r="D42" s="199" t="s">
        <v>870</v>
      </c>
      <c r="E42" s="199" t="s">
        <v>871</v>
      </c>
      <c r="F42" s="4">
        <v>2605103079</v>
      </c>
      <c r="G42" s="199" t="s">
        <v>872</v>
      </c>
      <c r="H42" s="199"/>
      <c r="I42" s="199"/>
    </row>
    <row r="43" spans="1:9">
      <c r="A43" s="178" t="s">
        <v>130</v>
      </c>
      <c r="B43" s="178">
        <v>180073</v>
      </c>
      <c r="C43" s="178"/>
      <c r="D43" s="178" t="s">
        <v>873</v>
      </c>
      <c r="E43" s="178" t="s">
        <v>871</v>
      </c>
      <c r="F43" s="4">
        <v>2605105078</v>
      </c>
      <c r="G43" s="178" t="s">
        <v>872</v>
      </c>
      <c r="H43" s="178"/>
      <c r="I43" s="178"/>
    </row>
    <row r="44" spans="1:9">
      <c r="A44" s="178" t="s">
        <v>130</v>
      </c>
      <c r="B44" s="178">
        <v>180073</v>
      </c>
      <c r="C44" s="178"/>
      <c r="D44" s="178" t="s">
        <v>870</v>
      </c>
      <c r="E44" s="178" t="s">
        <v>859</v>
      </c>
      <c r="F44" s="207" t="s">
        <v>889</v>
      </c>
      <c r="G44" s="178" t="s">
        <v>872</v>
      </c>
      <c r="H44" s="178"/>
      <c r="I44" s="178"/>
    </row>
    <row r="45" spans="1:9" s="201" customFormat="1">
      <c r="A45" s="199" t="s">
        <v>135</v>
      </c>
      <c r="B45" s="199">
        <v>180074</v>
      </c>
      <c r="C45" s="199"/>
      <c r="D45" s="199" t="s">
        <v>870</v>
      </c>
      <c r="E45" s="199" t="s">
        <v>871</v>
      </c>
      <c r="F45" s="4">
        <v>2605103668</v>
      </c>
      <c r="G45" s="199" t="s">
        <v>872</v>
      </c>
      <c r="H45" s="199"/>
      <c r="I45" s="199"/>
    </row>
    <row r="46" spans="1:9">
      <c r="A46" s="178" t="s">
        <v>135</v>
      </c>
      <c r="B46" s="178">
        <v>180074</v>
      </c>
      <c r="C46" s="178"/>
      <c r="D46" s="178" t="s">
        <v>873</v>
      </c>
      <c r="E46" s="178" t="s">
        <v>871</v>
      </c>
      <c r="F46" s="4">
        <v>2605105134</v>
      </c>
      <c r="G46" s="178" t="s">
        <v>872</v>
      </c>
      <c r="H46" s="178"/>
      <c r="I46" s="178"/>
    </row>
    <row r="47" spans="1:9">
      <c r="A47" s="178" t="s">
        <v>135</v>
      </c>
      <c r="B47" s="178">
        <v>180074</v>
      </c>
      <c r="C47" s="178"/>
      <c r="D47" s="178" t="s">
        <v>870</v>
      </c>
      <c r="E47" s="178" t="s">
        <v>859</v>
      </c>
      <c r="F47" s="207" t="s">
        <v>890</v>
      </c>
      <c r="G47" s="178" t="s">
        <v>872</v>
      </c>
      <c r="H47" s="178"/>
      <c r="I47" s="178"/>
    </row>
    <row r="48" spans="1:9" s="201" customFormat="1">
      <c r="A48" s="199" t="s">
        <v>140</v>
      </c>
      <c r="B48" s="199">
        <v>180075</v>
      </c>
      <c r="C48" s="199"/>
      <c r="D48" s="199" t="s">
        <v>870</v>
      </c>
      <c r="E48" s="199" t="s">
        <v>871</v>
      </c>
      <c r="F48" s="4">
        <v>2605102035</v>
      </c>
      <c r="G48" s="199" t="s">
        <v>872</v>
      </c>
      <c r="H48" s="199"/>
      <c r="I48" s="199"/>
    </row>
    <row r="49" spans="1:9">
      <c r="A49" s="178" t="s">
        <v>140</v>
      </c>
      <c r="B49" s="178">
        <v>180075</v>
      </c>
      <c r="C49" s="178"/>
      <c r="D49" s="178" t="s">
        <v>873</v>
      </c>
      <c r="E49" s="178" t="s">
        <v>871</v>
      </c>
      <c r="F49" s="4">
        <v>2605102626</v>
      </c>
      <c r="G49" s="178" t="s">
        <v>872</v>
      </c>
      <c r="H49" s="178"/>
      <c r="I49" s="178"/>
    </row>
    <row r="50" spans="1:9">
      <c r="A50" s="178" t="s">
        <v>140</v>
      </c>
      <c r="B50" s="178">
        <v>180075</v>
      </c>
      <c r="C50" s="178"/>
      <c r="D50" s="178" t="s">
        <v>870</v>
      </c>
      <c r="E50" s="178" t="s">
        <v>859</v>
      </c>
      <c r="F50" s="207" t="s">
        <v>891</v>
      </c>
      <c r="G50" s="178" t="s">
        <v>872</v>
      </c>
      <c r="H50" s="178"/>
      <c r="I50" s="178"/>
    </row>
    <row r="51" spans="1:9" s="201" customFormat="1">
      <c r="A51" s="199" t="s">
        <v>144</v>
      </c>
      <c r="B51" s="199">
        <v>180109</v>
      </c>
      <c r="C51" s="199"/>
      <c r="D51" s="199" t="s">
        <v>870</v>
      </c>
      <c r="E51" s="199" t="s">
        <v>871</v>
      </c>
      <c r="F51" s="4">
        <v>2605103273</v>
      </c>
      <c r="G51" s="199" t="s">
        <v>872</v>
      </c>
      <c r="H51" s="199"/>
      <c r="I51" s="199"/>
    </row>
    <row r="52" spans="1:9">
      <c r="A52" s="178" t="s">
        <v>144</v>
      </c>
      <c r="B52" s="178">
        <v>180109</v>
      </c>
      <c r="C52" s="178"/>
      <c r="D52" s="178" t="s">
        <v>873</v>
      </c>
      <c r="E52" s="178" t="s">
        <v>871</v>
      </c>
      <c r="F52" s="4">
        <v>2605104792</v>
      </c>
      <c r="G52" s="178" t="s">
        <v>872</v>
      </c>
      <c r="H52" s="178"/>
      <c r="I52" s="178"/>
    </row>
    <row r="53" spans="1:9">
      <c r="A53" s="178" t="s">
        <v>144</v>
      </c>
      <c r="B53" s="178">
        <v>180109</v>
      </c>
      <c r="C53" s="178"/>
      <c r="D53" s="178" t="s">
        <v>870</v>
      </c>
      <c r="E53" s="178" t="s">
        <v>859</v>
      </c>
      <c r="F53" s="207" t="s">
        <v>892</v>
      </c>
      <c r="G53" s="178" t="s">
        <v>872</v>
      </c>
      <c r="H53" s="178"/>
      <c r="I53" s="178"/>
    </row>
    <row r="54" spans="1:9" s="201" customFormat="1">
      <c r="A54" s="199" t="s">
        <v>149</v>
      </c>
      <c r="B54" s="199">
        <v>180110</v>
      </c>
      <c r="C54" s="199"/>
      <c r="D54" s="199" t="s">
        <v>870</v>
      </c>
      <c r="E54" s="199" t="s">
        <v>871</v>
      </c>
      <c r="F54" s="4">
        <v>2605107269</v>
      </c>
      <c r="G54" s="199" t="s">
        <v>872</v>
      </c>
      <c r="H54" s="199"/>
      <c r="I54" s="199"/>
    </row>
    <row r="55" spans="1:9">
      <c r="A55" s="178" t="s">
        <v>149</v>
      </c>
      <c r="B55" s="178">
        <v>180110</v>
      </c>
      <c r="C55" s="178"/>
      <c r="D55" s="178" t="s">
        <v>873</v>
      </c>
      <c r="E55" s="178" t="s">
        <v>871</v>
      </c>
      <c r="F55" s="4">
        <v>2605110378</v>
      </c>
      <c r="G55" s="178" t="s">
        <v>872</v>
      </c>
      <c r="H55" s="178"/>
      <c r="I55" s="178"/>
    </row>
    <row r="56" spans="1:9">
      <c r="A56" s="178" t="s">
        <v>149</v>
      </c>
      <c r="B56" s="178">
        <v>180110</v>
      </c>
      <c r="C56" s="178"/>
      <c r="D56" s="178" t="s">
        <v>870</v>
      </c>
      <c r="E56" s="178" t="s">
        <v>859</v>
      </c>
      <c r="F56" s="207" t="s">
        <v>893</v>
      </c>
      <c r="G56" s="178" t="s">
        <v>872</v>
      </c>
      <c r="H56" s="178"/>
      <c r="I56" s="178"/>
    </row>
    <row r="57" spans="1:9" s="201" customFormat="1">
      <c r="A57" s="199" t="s">
        <v>153</v>
      </c>
      <c r="B57" s="199">
        <v>180112</v>
      </c>
      <c r="C57" s="199"/>
      <c r="D57" s="199" t="s">
        <v>870</v>
      </c>
      <c r="E57" s="199" t="s">
        <v>871</v>
      </c>
      <c r="F57" s="4">
        <v>2605107217</v>
      </c>
      <c r="G57" s="199" t="s">
        <v>872</v>
      </c>
      <c r="H57" s="199"/>
      <c r="I57" s="199"/>
    </row>
    <row r="58" spans="1:9">
      <c r="A58" s="178" t="s">
        <v>153</v>
      </c>
      <c r="B58" s="178">
        <v>180112</v>
      </c>
      <c r="C58" s="178"/>
      <c r="D58" s="178" t="s">
        <v>873</v>
      </c>
      <c r="E58" s="178" t="s">
        <v>871</v>
      </c>
      <c r="F58" s="4">
        <v>2605110317</v>
      </c>
      <c r="G58" s="178" t="s">
        <v>872</v>
      </c>
      <c r="H58" s="178"/>
      <c r="I58" s="178"/>
    </row>
    <row r="59" spans="1:9">
      <c r="A59" s="178" t="s">
        <v>153</v>
      </c>
      <c r="B59" s="178">
        <v>180112</v>
      </c>
      <c r="C59" s="178"/>
      <c r="D59" s="178" t="s">
        <v>870</v>
      </c>
      <c r="E59" s="178" t="s">
        <v>859</v>
      </c>
      <c r="F59" s="4" t="s">
        <v>894</v>
      </c>
      <c r="G59" s="178" t="s">
        <v>872</v>
      </c>
      <c r="H59" s="178"/>
      <c r="I59" s="178"/>
    </row>
    <row r="60" spans="1:9" s="201" customFormat="1">
      <c r="A60" s="199" t="s">
        <v>157</v>
      </c>
      <c r="B60" s="199">
        <v>180114</v>
      </c>
      <c r="C60" s="199"/>
      <c r="D60" s="199" t="s">
        <v>870</v>
      </c>
      <c r="E60" s="199" t="s">
        <v>871</v>
      </c>
      <c r="F60" s="4">
        <v>2605107322</v>
      </c>
      <c r="G60" s="199" t="s">
        <v>872</v>
      </c>
      <c r="H60" s="199"/>
      <c r="I60" s="199"/>
    </row>
    <row r="61" spans="1:9">
      <c r="A61" s="178" t="s">
        <v>157</v>
      </c>
      <c r="B61" s="178">
        <v>180114</v>
      </c>
      <c r="C61" s="178"/>
      <c r="D61" s="178" t="s">
        <v>873</v>
      </c>
      <c r="E61" s="178" t="s">
        <v>871</v>
      </c>
      <c r="F61" s="4">
        <v>2605110277</v>
      </c>
      <c r="G61" s="178" t="s">
        <v>872</v>
      </c>
      <c r="H61" s="178"/>
      <c r="I61" s="178"/>
    </row>
    <row r="62" spans="1:9" s="206" customFormat="1">
      <c r="A62" s="182" t="s">
        <v>157</v>
      </c>
      <c r="B62" s="182">
        <v>180114</v>
      </c>
      <c r="C62" s="182"/>
      <c r="D62" s="182" t="s">
        <v>870</v>
      </c>
      <c r="E62" s="182" t="s">
        <v>859</v>
      </c>
      <c r="F62" s="4" t="s">
        <v>895</v>
      </c>
      <c r="G62" s="182" t="s">
        <v>872</v>
      </c>
      <c r="H62" s="182"/>
      <c r="I62" s="182"/>
    </row>
    <row r="63" spans="1:9" ht="15" customHeight="1">
      <c r="A63" s="178" t="s">
        <v>162</v>
      </c>
      <c r="B63" s="178">
        <v>180115</v>
      </c>
      <c r="C63" s="178"/>
      <c r="D63" s="178" t="s">
        <v>870</v>
      </c>
      <c r="E63" s="178" t="s">
        <v>871</v>
      </c>
      <c r="F63" s="179">
        <v>2605103977</v>
      </c>
      <c r="G63" s="178" t="s">
        <v>872</v>
      </c>
      <c r="H63" s="178"/>
      <c r="I63" s="178"/>
    </row>
    <row r="64" spans="1:9">
      <c r="A64" s="178" t="s">
        <v>162</v>
      </c>
      <c r="B64" s="178">
        <v>180115</v>
      </c>
      <c r="C64" s="178"/>
      <c r="D64" s="178" t="s">
        <v>873</v>
      </c>
      <c r="E64" s="178" t="s">
        <v>871</v>
      </c>
      <c r="F64" s="4">
        <v>2605104765</v>
      </c>
      <c r="G64" s="178" t="s">
        <v>872</v>
      </c>
      <c r="H64" s="178"/>
      <c r="I64" s="178"/>
    </row>
    <row r="65" spans="1:9" s="206" customFormat="1">
      <c r="A65" s="182" t="s">
        <v>162</v>
      </c>
      <c r="B65" s="182">
        <v>180115</v>
      </c>
      <c r="C65" s="182"/>
      <c r="D65" s="182" t="s">
        <v>870</v>
      </c>
      <c r="E65" s="182" t="s">
        <v>859</v>
      </c>
      <c r="F65" s="4" t="s">
        <v>896</v>
      </c>
      <c r="G65" s="182" t="s">
        <v>872</v>
      </c>
      <c r="H65" s="182"/>
      <c r="I65" s="182"/>
    </row>
    <row r="66" spans="1:9">
      <c r="A66" s="178" t="s">
        <v>168</v>
      </c>
      <c r="B66" s="178">
        <v>180133</v>
      </c>
      <c r="C66" s="178"/>
      <c r="D66" s="178" t="s">
        <v>870</v>
      </c>
      <c r="E66" s="178" t="s">
        <v>871</v>
      </c>
      <c r="F66" s="179">
        <v>2605108712</v>
      </c>
      <c r="G66" s="178" t="s">
        <v>872</v>
      </c>
      <c r="H66" s="178"/>
      <c r="I66" s="178"/>
    </row>
    <row r="67" spans="1:9">
      <c r="A67" s="178" t="s">
        <v>168</v>
      </c>
      <c r="B67" s="178">
        <v>180133</v>
      </c>
      <c r="C67" s="178"/>
      <c r="D67" s="178" t="s">
        <v>873</v>
      </c>
      <c r="E67" s="178" t="s">
        <v>871</v>
      </c>
      <c r="F67" s="4">
        <v>2605110144</v>
      </c>
      <c r="G67" s="178" t="s">
        <v>872</v>
      </c>
      <c r="H67" s="178"/>
      <c r="I67" s="178"/>
    </row>
    <row r="68" spans="1:9" s="206" customFormat="1">
      <c r="A68" s="182" t="s">
        <v>168</v>
      </c>
      <c r="B68" s="182">
        <v>180133</v>
      </c>
      <c r="C68" s="182"/>
      <c r="D68" s="182" t="s">
        <v>870</v>
      </c>
      <c r="E68" s="182" t="s">
        <v>859</v>
      </c>
      <c r="F68" s="4" t="s">
        <v>897</v>
      </c>
      <c r="G68" s="182" t="s">
        <v>872</v>
      </c>
      <c r="H68" s="182"/>
      <c r="I68" s="182"/>
    </row>
    <row r="69" spans="1:9">
      <c r="A69" s="178" t="s">
        <v>898</v>
      </c>
      <c r="B69" s="178">
        <v>180136</v>
      </c>
      <c r="C69" s="178"/>
      <c r="D69" s="178" t="s">
        <v>870</v>
      </c>
      <c r="E69" s="178" t="s">
        <v>871</v>
      </c>
      <c r="F69" s="179">
        <v>2605109923</v>
      </c>
      <c r="G69" s="178" t="s">
        <v>872</v>
      </c>
      <c r="H69" s="178"/>
      <c r="I69" s="178"/>
    </row>
    <row r="70" spans="1:9">
      <c r="A70" s="178" t="s">
        <v>898</v>
      </c>
      <c r="B70" s="178">
        <v>180136</v>
      </c>
      <c r="C70" s="178"/>
      <c r="D70" s="178" t="s">
        <v>873</v>
      </c>
      <c r="E70" s="178" t="s">
        <v>871</v>
      </c>
      <c r="F70" s="4">
        <v>2605112548</v>
      </c>
      <c r="G70" s="178" t="s">
        <v>872</v>
      </c>
      <c r="H70" s="178"/>
      <c r="I70" s="178"/>
    </row>
    <row r="71" spans="1:9" s="206" customFormat="1">
      <c r="A71" s="182" t="s">
        <v>898</v>
      </c>
      <c r="B71" s="182">
        <v>180136</v>
      </c>
      <c r="C71" s="182"/>
      <c r="D71" s="182" t="s">
        <v>870</v>
      </c>
      <c r="E71" s="182" t="s">
        <v>859</v>
      </c>
      <c r="F71" s="4" t="s">
        <v>899</v>
      </c>
      <c r="G71" s="182" t="s">
        <v>872</v>
      </c>
      <c r="H71" s="182"/>
      <c r="I71" s="182"/>
    </row>
    <row r="72" spans="1:9">
      <c r="A72" s="178" t="s">
        <v>181</v>
      </c>
      <c r="B72" s="178">
        <v>180137</v>
      </c>
      <c r="C72" s="178"/>
      <c r="D72" s="178" t="s">
        <v>870</v>
      </c>
      <c r="E72" s="178" t="s">
        <v>871</v>
      </c>
      <c r="F72" s="179">
        <v>2605106196</v>
      </c>
      <c r="G72" s="178" t="s">
        <v>872</v>
      </c>
      <c r="H72" s="178"/>
      <c r="I72" s="178"/>
    </row>
    <row r="73" spans="1:9">
      <c r="A73" s="178" t="s">
        <v>181</v>
      </c>
      <c r="B73" s="178">
        <v>180137</v>
      </c>
      <c r="C73" s="178"/>
      <c r="D73" s="178" t="s">
        <v>873</v>
      </c>
      <c r="E73" s="178" t="s">
        <v>871</v>
      </c>
      <c r="F73" s="4">
        <v>2605107984</v>
      </c>
      <c r="G73" s="178" t="s">
        <v>872</v>
      </c>
      <c r="H73" s="178"/>
      <c r="I73" s="178"/>
    </row>
    <row r="74" spans="1:9" s="206" customFormat="1">
      <c r="A74" s="182" t="s">
        <v>181</v>
      </c>
      <c r="B74" s="182">
        <v>180137</v>
      </c>
      <c r="C74" s="182"/>
      <c r="D74" s="182" t="s">
        <v>870</v>
      </c>
      <c r="E74" s="182" t="s">
        <v>859</v>
      </c>
      <c r="F74" s="4" t="s">
        <v>900</v>
      </c>
      <c r="G74" s="182" t="s">
        <v>872</v>
      </c>
      <c r="H74" s="182"/>
      <c r="I74" s="182"/>
    </row>
    <row r="75" spans="1:9">
      <c r="A75" s="178" t="s">
        <v>186</v>
      </c>
      <c r="B75" s="178">
        <v>180139</v>
      </c>
      <c r="C75" s="178"/>
      <c r="D75" s="178" t="s">
        <v>870</v>
      </c>
      <c r="E75" s="178" t="s">
        <v>871</v>
      </c>
      <c r="F75" s="179">
        <v>2605109152</v>
      </c>
      <c r="G75" s="178" t="s">
        <v>872</v>
      </c>
      <c r="H75" s="178"/>
      <c r="I75" s="178"/>
    </row>
    <row r="76" spans="1:9">
      <c r="A76" s="178" t="s">
        <v>186</v>
      </c>
      <c r="B76" s="178">
        <v>180139</v>
      </c>
      <c r="C76" s="178"/>
      <c r="D76" s="178" t="s">
        <v>873</v>
      </c>
      <c r="E76" s="178" t="s">
        <v>871</v>
      </c>
      <c r="F76" s="4">
        <v>2605110090</v>
      </c>
      <c r="G76" s="178" t="s">
        <v>872</v>
      </c>
      <c r="H76" s="178"/>
      <c r="I76" s="178"/>
    </row>
    <row r="77" spans="1:9" s="206" customFormat="1">
      <c r="A77" s="182" t="s">
        <v>186</v>
      </c>
      <c r="B77" s="182">
        <v>180139</v>
      </c>
      <c r="C77" s="182"/>
      <c r="D77" s="182" t="s">
        <v>870</v>
      </c>
      <c r="E77" s="182" t="s">
        <v>859</v>
      </c>
      <c r="F77" s="4" t="s">
        <v>901</v>
      </c>
      <c r="G77" s="182" t="s">
        <v>872</v>
      </c>
      <c r="H77" s="182"/>
      <c r="I77" s="182"/>
    </row>
    <row r="78" spans="1:9">
      <c r="A78" s="178" t="s">
        <v>191</v>
      </c>
      <c r="B78" s="178">
        <v>180145</v>
      </c>
      <c r="C78" s="178"/>
      <c r="D78" s="178" t="s">
        <v>870</v>
      </c>
      <c r="E78" s="178" t="s">
        <v>871</v>
      </c>
      <c r="F78" s="179">
        <v>2605109255</v>
      </c>
      <c r="G78" s="178" t="s">
        <v>872</v>
      </c>
      <c r="H78" s="178"/>
      <c r="I78" s="178"/>
    </row>
    <row r="79" spans="1:9">
      <c r="A79" s="178" t="s">
        <v>191</v>
      </c>
      <c r="B79" s="178">
        <v>180145</v>
      </c>
      <c r="C79" s="178"/>
      <c r="D79" s="178" t="s">
        <v>873</v>
      </c>
      <c r="E79" s="178" t="s">
        <v>871</v>
      </c>
      <c r="F79" s="4">
        <v>2605110037</v>
      </c>
      <c r="G79" s="178" t="s">
        <v>872</v>
      </c>
      <c r="H79" s="178"/>
      <c r="I79" s="178"/>
    </row>
    <row r="80" spans="1:9">
      <c r="A80" s="182" t="s">
        <v>191</v>
      </c>
      <c r="B80" s="182">
        <v>180145</v>
      </c>
      <c r="C80" s="182"/>
      <c r="D80" s="182" t="s">
        <v>870</v>
      </c>
      <c r="E80" s="182" t="s">
        <v>859</v>
      </c>
      <c r="F80" s="4" t="s">
        <v>902</v>
      </c>
      <c r="G80" s="182" t="s">
        <v>872</v>
      </c>
      <c r="H80" s="182"/>
      <c r="I80" s="182"/>
    </row>
    <row r="81" spans="1:9">
      <c r="A81" s="178" t="s">
        <v>195</v>
      </c>
      <c r="B81" s="178">
        <v>180146</v>
      </c>
      <c r="C81" s="178"/>
      <c r="D81" s="178" t="s">
        <v>870</v>
      </c>
      <c r="E81" s="178" t="s">
        <v>871</v>
      </c>
      <c r="F81" s="179">
        <v>2605109265</v>
      </c>
      <c r="G81" s="178" t="s">
        <v>872</v>
      </c>
      <c r="H81" s="178"/>
      <c r="I81" s="178"/>
    </row>
    <row r="82" spans="1:9">
      <c r="A82" s="178" t="s">
        <v>195</v>
      </c>
      <c r="B82" s="178">
        <v>180146</v>
      </c>
      <c r="C82" s="178"/>
      <c r="D82" s="178" t="s">
        <v>873</v>
      </c>
      <c r="E82" s="178" t="s">
        <v>871</v>
      </c>
      <c r="F82" s="4">
        <v>2605110562</v>
      </c>
      <c r="G82" s="178" t="s">
        <v>872</v>
      </c>
      <c r="H82" s="178"/>
      <c r="I82" s="178"/>
    </row>
    <row r="83" spans="1:9">
      <c r="A83" s="182" t="s">
        <v>195</v>
      </c>
      <c r="B83" s="182">
        <v>180146</v>
      </c>
      <c r="C83" s="182"/>
      <c r="D83" s="182" t="s">
        <v>870</v>
      </c>
      <c r="E83" s="182" t="s">
        <v>859</v>
      </c>
      <c r="F83" s="4" t="s">
        <v>903</v>
      </c>
      <c r="G83" s="182" t="s">
        <v>872</v>
      </c>
      <c r="H83" s="182"/>
      <c r="I83" s="182"/>
    </row>
    <row r="84" spans="1:9" s="201" customFormat="1">
      <c r="A84" s="178" t="s">
        <v>201</v>
      </c>
      <c r="B84" s="178">
        <v>180147</v>
      </c>
      <c r="C84" s="178"/>
      <c r="D84" s="178" t="s">
        <v>870</v>
      </c>
      <c r="E84" s="178" t="s">
        <v>871</v>
      </c>
      <c r="F84" s="179">
        <v>2605105649</v>
      </c>
      <c r="G84" s="178" t="s">
        <v>872</v>
      </c>
      <c r="H84" s="178"/>
      <c r="I84" s="178"/>
    </row>
    <row r="85" spans="1:9">
      <c r="A85" s="178" t="s">
        <v>201</v>
      </c>
      <c r="B85" s="178">
        <v>180147</v>
      </c>
      <c r="C85" s="178"/>
      <c r="D85" s="178" t="s">
        <v>873</v>
      </c>
      <c r="E85" s="178" t="s">
        <v>871</v>
      </c>
      <c r="F85" s="4">
        <v>2605107389</v>
      </c>
      <c r="G85" s="178" t="s">
        <v>872</v>
      </c>
      <c r="H85" s="178"/>
      <c r="I85" s="178"/>
    </row>
    <row r="86" spans="1:9">
      <c r="A86" s="178" t="s">
        <v>201</v>
      </c>
      <c r="B86" s="178">
        <v>180147</v>
      </c>
      <c r="C86" s="178"/>
      <c r="D86" s="178" t="s">
        <v>870</v>
      </c>
      <c r="E86" s="178" t="s">
        <v>859</v>
      </c>
      <c r="F86" s="207" t="s">
        <v>904</v>
      </c>
      <c r="G86" s="178" t="s">
        <v>872</v>
      </c>
      <c r="H86" s="178"/>
      <c r="I86" s="178"/>
    </row>
    <row r="87" spans="1:9" s="16" customFormat="1">
      <c r="A87" s="221" t="s">
        <v>905</v>
      </c>
      <c r="B87" s="221">
        <v>180152</v>
      </c>
      <c r="C87" s="221"/>
      <c r="D87" s="221" t="s">
        <v>870</v>
      </c>
      <c r="E87" s="221" t="s">
        <v>871</v>
      </c>
      <c r="F87" s="4">
        <v>2605109941</v>
      </c>
      <c r="G87" s="221" t="s">
        <v>872</v>
      </c>
      <c r="H87" s="221"/>
      <c r="I87" s="221"/>
    </row>
    <row r="88" spans="1:9">
      <c r="A88" s="178" t="s">
        <v>905</v>
      </c>
      <c r="B88" s="178">
        <v>180152</v>
      </c>
      <c r="C88" s="178"/>
      <c r="D88" s="178" t="s">
        <v>873</v>
      </c>
      <c r="E88" s="178" t="s">
        <v>871</v>
      </c>
      <c r="F88" s="179">
        <v>2605112533</v>
      </c>
      <c r="G88" s="178" t="s">
        <v>872</v>
      </c>
      <c r="H88" s="178"/>
      <c r="I88" s="178"/>
    </row>
    <row r="89" spans="1:9" s="206" customFormat="1">
      <c r="A89" s="182" t="s">
        <v>905</v>
      </c>
      <c r="B89" s="182">
        <v>180152</v>
      </c>
      <c r="C89" s="182"/>
      <c r="D89" s="182" t="s">
        <v>870</v>
      </c>
      <c r="E89" s="182" t="s">
        <v>859</v>
      </c>
      <c r="F89" s="4" t="s">
        <v>906</v>
      </c>
      <c r="G89" s="182" t="s">
        <v>872</v>
      </c>
      <c r="H89" s="182"/>
      <c r="I89" s="182"/>
    </row>
    <row r="90" spans="1:9">
      <c r="A90" s="178" t="s">
        <v>212</v>
      </c>
      <c r="B90" s="178">
        <v>180153</v>
      </c>
      <c r="C90" s="178"/>
      <c r="D90" s="178" t="s">
        <v>870</v>
      </c>
      <c r="E90" s="178" t="s">
        <v>871</v>
      </c>
      <c r="F90" s="179">
        <v>2605105906</v>
      </c>
      <c r="G90" s="178" t="s">
        <v>872</v>
      </c>
      <c r="H90" s="178"/>
      <c r="I90" s="178"/>
    </row>
    <row r="91" spans="1:9">
      <c r="A91" s="178" t="s">
        <v>212</v>
      </c>
      <c r="B91" s="178">
        <v>180153</v>
      </c>
      <c r="C91" s="178"/>
      <c r="D91" s="178" t="s">
        <v>873</v>
      </c>
      <c r="E91" s="178" t="s">
        <v>871</v>
      </c>
      <c r="F91" s="4">
        <v>2605107383</v>
      </c>
      <c r="G91" s="178" t="s">
        <v>872</v>
      </c>
      <c r="H91" s="178"/>
      <c r="I91" s="178"/>
    </row>
    <row r="92" spans="1:9" s="206" customFormat="1">
      <c r="A92" s="182" t="s">
        <v>212</v>
      </c>
      <c r="B92" s="182">
        <v>180153</v>
      </c>
      <c r="C92" s="182"/>
      <c r="D92" s="182" t="s">
        <v>870</v>
      </c>
      <c r="E92" s="182" t="s">
        <v>859</v>
      </c>
      <c r="F92" s="4" t="s">
        <v>907</v>
      </c>
      <c r="G92" s="182" t="s">
        <v>872</v>
      </c>
      <c r="H92" s="182"/>
      <c r="I92" s="182"/>
    </row>
    <row r="93" spans="1:9">
      <c r="A93" s="178" t="s">
        <v>216</v>
      </c>
      <c r="B93" s="178">
        <v>180154</v>
      </c>
      <c r="C93" s="178"/>
      <c r="D93" s="178" t="s">
        <v>870</v>
      </c>
      <c r="E93" s="178" t="s">
        <v>871</v>
      </c>
      <c r="F93" s="179">
        <v>2605109424</v>
      </c>
      <c r="G93" s="178" t="s">
        <v>872</v>
      </c>
      <c r="H93" s="178"/>
      <c r="I93" s="178"/>
    </row>
    <row r="94" spans="1:9">
      <c r="A94" s="178" t="s">
        <v>216</v>
      </c>
      <c r="B94" s="178">
        <v>180154</v>
      </c>
      <c r="C94" s="178"/>
      <c r="D94" s="178" t="s">
        <v>873</v>
      </c>
      <c r="E94" s="178" t="s">
        <v>871</v>
      </c>
      <c r="F94" s="4">
        <v>2605110377</v>
      </c>
      <c r="G94" s="178" t="s">
        <v>872</v>
      </c>
      <c r="H94" s="178"/>
      <c r="I94" s="178"/>
    </row>
    <row r="95" spans="1:9" s="206" customFormat="1">
      <c r="A95" s="182" t="s">
        <v>216</v>
      </c>
      <c r="B95" s="182">
        <v>180154</v>
      </c>
      <c r="C95" s="182"/>
      <c r="D95" s="182" t="s">
        <v>870</v>
      </c>
      <c r="E95" s="182" t="s">
        <v>859</v>
      </c>
      <c r="F95" s="4" t="s">
        <v>908</v>
      </c>
      <c r="G95" s="182" t="s">
        <v>872</v>
      </c>
      <c r="H95" s="182"/>
      <c r="I95" s="182"/>
    </row>
    <row r="96" spans="1:9">
      <c r="A96" s="178" t="s">
        <v>221</v>
      </c>
      <c r="B96" s="178">
        <v>180178</v>
      </c>
      <c r="C96" s="178"/>
      <c r="D96" s="178" t="s">
        <v>870</v>
      </c>
      <c r="E96" s="178" t="s">
        <v>871</v>
      </c>
      <c r="F96" s="179">
        <v>2605111544</v>
      </c>
      <c r="G96" s="178" t="s">
        <v>872</v>
      </c>
      <c r="H96" s="178"/>
      <c r="I96" s="178"/>
    </row>
    <row r="97" spans="1:9">
      <c r="A97" s="178" t="s">
        <v>221</v>
      </c>
      <c r="B97" s="178">
        <v>180178</v>
      </c>
      <c r="C97" s="178"/>
      <c r="D97" s="178" t="s">
        <v>873</v>
      </c>
      <c r="E97" s="178" t="s">
        <v>871</v>
      </c>
      <c r="F97" s="4">
        <v>2605112433</v>
      </c>
      <c r="G97" s="178" t="s">
        <v>872</v>
      </c>
      <c r="H97" s="178"/>
      <c r="I97" s="178"/>
    </row>
    <row r="98" spans="1:9" s="206" customFormat="1">
      <c r="A98" s="182" t="s">
        <v>221</v>
      </c>
      <c r="B98" s="182">
        <v>180178</v>
      </c>
      <c r="C98" s="182"/>
      <c r="D98" s="182" t="s">
        <v>870</v>
      </c>
      <c r="E98" s="182" t="s">
        <v>859</v>
      </c>
      <c r="F98" s="4" t="s">
        <v>909</v>
      </c>
      <c r="G98" s="182" t="s">
        <v>872</v>
      </c>
      <c r="H98" s="182"/>
      <c r="I98" s="182"/>
    </row>
    <row r="99" spans="1:9">
      <c r="A99" s="178" t="s">
        <v>227</v>
      </c>
      <c r="B99" s="178">
        <v>180180</v>
      </c>
      <c r="C99" s="178"/>
      <c r="D99" s="178" t="s">
        <v>870</v>
      </c>
      <c r="E99" s="178" t="s">
        <v>871</v>
      </c>
      <c r="F99" s="179">
        <v>2605108064</v>
      </c>
      <c r="G99" s="178" t="s">
        <v>872</v>
      </c>
      <c r="H99" s="178"/>
      <c r="I99" s="178"/>
    </row>
    <row r="100" spans="1:9">
      <c r="A100" s="178" t="s">
        <v>227</v>
      </c>
      <c r="B100" s="178">
        <v>180180</v>
      </c>
      <c r="C100" s="178"/>
      <c r="D100" s="178" t="s">
        <v>873</v>
      </c>
      <c r="E100" s="178" t="s">
        <v>871</v>
      </c>
      <c r="F100" s="4">
        <v>2605109863</v>
      </c>
      <c r="G100" s="178" t="s">
        <v>872</v>
      </c>
      <c r="H100" s="178"/>
      <c r="I100" s="178"/>
    </row>
    <row r="101" spans="1:9" s="206" customFormat="1">
      <c r="A101" s="182" t="s">
        <v>227</v>
      </c>
      <c r="B101" s="182">
        <v>180180</v>
      </c>
      <c r="C101" s="182"/>
      <c r="D101" s="182" t="s">
        <v>870</v>
      </c>
      <c r="E101" s="182" t="s">
        <v>859</v>
      </c>
      <c r="F101" s="4" t="s">
        <v>910</v>
      </c>
      <c r="G101" s="182" t="s">
        <v>872</v>
      </c>
      <c r="H101" s="182"/>
      <c r="I101" s="182"/>
    </row>
    <row r="102" spans="1:9">
      <c r="A102" s="178" t="s">
        <v>232</v>
      </c>
      <c r="B102" s="178">
        <v>180181</v>
      </c>
      <c r="C102" s="178"/>
      <c r="D102" s="178" t="s">
        <v>870</v>
      </c>
      <c r="E102" s="178" t="s">
        <v>871</v>
      </c>
      <c r="F102" s="179">
        <v>2605109685</v>
      </c>
      <c r="G102" s="178" t="s">
        <v>872</v>
      </c>
      <c r="H102" s="178"/>
      <c r="I102" s="178"/>
    </row>
    <row r="103" spans="1:9">
      <c r="A103" s="178" t="s">
        <v>232</v>
      </c>
      <c r="B103" s="178">
        <v>180181</v>
      </c>
      <c r="C103" s="178"/>
      <c r="D103" s="178" t="s">
        <v>873</v>
      </c>
      <c r="E103" s="178" t="s">
        <v>871</v>
      </c>
      <c r="F103" s="4">
        <v>2605110139</v>
      </c>
      <c r="G103" s="178" t="s">
        <v>872</v>
      </c>
      <c r="H103" s="178"/>
      <c r="I103" s="178"/>
    </row>
    <row r="104" spans="1:9" s="206" customFormat="1">
      <c r="A104" s="182" t="s">
        <v>232</v>
      </c>
      <c r="B104" s="182">
        <v>180181</v>
      </c>
      <c r="C104" s="182"/>
      <c r="D104" s="182" t="s">
        <v>870</v>
      </c>
      <c r="E104" s="182" t="s">
        <v>859</v>
      </c>
      <c r="F104" s="4" t="s">
        <v>911</v>
      </c>
      <c r="G104" s="182" t="s">
        <v>872</v>
      </c>
      <c r="H104" s="182"/>
      <c r="I104" s="182"/>
    </row>
    <row r="105" spans="1:9">
      <c r="A105" s="178" t="s">
        <v>237</v>
      </c>
      <c r="B105" s="178">
        <v>180183</v>
      </c>
      <c r="C105" s="178"/>
      <c r="D105" s="178" t="s">
        <v>870</v>
      </c>
      <c r="E105" s="178" t="s">
        <v>871</v>
      </c>
      <c r="F105" s="179">
        <v>2605109639</v>
      </c>
      <c r="G105" s="178" t="s">
        <v>872</v>
      </c>
      <c r="H105" s="178"/>
      <c r="I105" s="178"/>
    </row>
    <row r="106" spans="1:9">
      <c r="A106" s="178" t="s">
        <v>237</v>
      </c>
      <c r="B106" s="178">
        <v>180183</v>
      </c>
      <c r="C106" s="178"/>
      <c r="D106" s="178" t="s">
        <v>873</v>
      </c>
      <c r="E106" s="178" t="s">
        <v>871</v>
      </c>
      <c r="F106" s="195">
        <v>2605110120</v>
      </c>
      <c r="G106" s="178" t="s">
        <v>872</v>
      </c>
      <c r="H106" s="178"/>
      <c r="I106" s="178"/>
    </row>
    <row r="107" spans="1:9" s="206" customFormat="1">
      <c r="A107" s="182" t="s">
        <v>237</v>
      </c>
      <c r="B107" s="182">
        <v>180183</v>
      </c>
      <c r="C107" s="182"/>
      <c r="D107" s="182" t="s">
        <v>870</v>
      </c>
      <c r="E107" s="182" t="s">
        <v>859</v>
      </c>
      <c r="F107" s="4" t="s">
        <v>912</v>
      </c>
      <c r="G107" s="182" t="s">
        <v>872</v>
      </c>
      <c r="H107" s="182"/>
      <c r="I107" s="182"/>
    </row>
    <row r="108" spans="1:9">
      <c r="A108" s="178" t="s">
        <v>243</v>
      </c>
      <c r="B108" s="178">
        <v>180184</v>
      </c>
      <c r="C108" s="178"/>
      <c r="D108" s="178" t="s">
        <v>870</v>
      </c>
      <c r="E108" s="178" t="s">
        <v>871</v>
      </c>
      <c r="F108" s="179">
        <v>2605111953</v>
      </c>
      <c r="G108" s="178" t="s">
        <v>872</v>
      </c>
      <c r="H108" s="178"/>
      <c r="I108" s="178"/>
    </row>
    <row r="109" spans="1:9">
      <c r="A109" s="178" t="s">
        <v>243</v>
      </c>
      <c r="B109" s="178">
        <v>180184</v>
      </c>
      <c r="C109" s="178"/>
      <c r="D109" s="178" t="s">
        <v>873</v>
      </c>
      <c r="E109" s="178" t="s">
        <v>871</v>
      </c>
      <c r="F109" s="4">
        <v>2605112430</v>
      </c>
      <c r="G109" s="178" t="s">
        <v>872</v>
      </c>
      <c r="H109" s="178"/>
      <c r="I109" s="178"/>
    </row>
    <row r="110" spans="1:9" s="206" customFormat="1">
      <c r="A110" s="182" t="s">
        <v>243</v>
      </c>
      <c r="B110" s="182">
        <v>180184</v>
      </c>
      <c r="C110" s="182"/>
      <c r="D110" s="182" t="s">
        <v>870</v>
      </c>
      <c r="E110" s="182" t="s">
        <v>859</v>
      </c>
      <c r="F110" s="4" t="s">
        <v>913</v>
      </c>
      <c r="G110" s="182" t="s">
        <v>872</v>
      </c>
      <c r="H110" s="182"/>
      <c r="I110" s="182"/>
    </row>
    <row r="111" spans="1:9">
      <c r="A111" s="178" t="s">
        <v>248</v>
      </c>
      <c r="B111" s="178">
        <v>180186</v>
      </c>
      <c r="C111" s="178"/>
      <c r="D111" s="178" t="s">
        <v>870</v>
      </c>
      <c r="E111" s="178" t="s">
        <v>871</v>
      </c>
      <c r="F111" s="179">
        <v>2605110760</v>
      </c>
      <c r="G111" s="178" t="s">
        <v>872</v>
      </c>
      <c r="H111" s="178"/>
      <c r="I111" s="178"/>
    </row>
    <row r="112" spans="1:9">
      <c r="A112" s="178" t="s">
        <v>248</v>
      </c>
      <c r="B112" s="178">
        <v>180186</v>
      </c>
      <c r="C112" s="178"/>
      <c r="D112" s="178" t="s">
        <v>873</v>
      </c>
      <c r="E112" s="178" t="s">
        <v>871</v>
      </c>
      <c r="F112" s="4">
        <v>2605112514</v>
      </c>
      <c r="G112" s="178" t="s">
        <v>872</v>
      </c>
      <c r="H112" s="178"/>
      <c r="I112" s="178"/>
    </row>
    <row r="113" spans="1:9" s="206" customFormat="1">
      <c r="A113" s="182" t="s">
        <v>248</v>
      </c>
      <c r="B113" s="182">
        <v>180186</v>
      </c>
      <c r="C113" s="182"/>
      <c r="D113" s="182" t="s">
        <v>870</v>
      </c>
      <c r="E113" s="182" t="s">
        <v>859</v>
      </c>
      <c r="F113" s="4" t="s">
        <v>914</v>
      </c>
      <c r="G113" s="182" t="s">
        <v>872</v>
      </c>
      <c r="H113" s="182"/>
      <c r="I113" s="182"/>
    </row>
    <row r="114" spans="1:9">
      <c r="A114" s="178" t="s">
        <v>253</v>
      </c>
      <c r="B114" s="178">
        <v>180188</v>
      </c>
      <c r="C114" s="178"/>
      <c r="D114" s="178" t="s">
        <v>870</v>
      </c>
      <c r="E114" s="178" t="s">
        <v>871</v>
      </c>
      <c r="F114" s="179">
        <v>2605108147</v>
      </c>
      <c r="G114" s="178" t="s">
        <v>872</v>
      </c>
      <c r="H114" s="178"/>
      <c r="I114" s="178"/>
    </row>
    <row r="115" spans="1:9">
      <c r="A115" s="178" t="s">
        <v>253</v>
      </c>
      <c r="B115" s="178">
        <v>180188</v>
      </c>
      <c r="C115" s="178"/>
      <c r="D115" s="178" t="s">
        <v>873</v>
      </c>
      <c r="E115" s="178" t="s">
        <v>871</v>
      </c>
      <c r="F115" s="4">
        <v>2605109858</v>
      </c>
      <c r="G115" s="178" t="s">
        <v>872</v>
      </c>
      <c r="H115" s="178"/>
      <c r="I115" s="178"/>
    </row>
    <row r="116" spans="1:9" s="206" customFormat="1">
      <c r="A116" s="182" t="s">
        <v>253</v>
      </c>
      <c r="B116" s="182">
        <v>180188</v>
      </c>
      <c r="C116" s="182"/>
      <c r="D116" s="182" t="s">
        <v>870</v>
      </c>
      <c r="E116" s="182" t="s">
        <v>859</v>
      </c>
      <c r="F116" s="4" t="s">
        <v>915</v>
      </c>
      <c r="G116" s="182" t="s">
        <v>872</v>
      </c>
      <c r="H116" s="182"/>
      <c r="I116" s="182"/>
    </row>
    <row r="117" spans="1:9">
      <c r="A117" s="178" t="s">
        <v>258</v>
      </c>
      <c r="B117" s="178">
        <v>180190</v>
      </c>
      <c r="C117" s="178"/>
      <c r="D117" s="178" t="s">
        <v>870</v>
      </c>
      <c r="E117" s="178" t="s">
        <v>871</v>
      </c>
      <c r="F117" s="179">
        <v>2605109742</v>
      </c>
      <c r="G117" s="178" t="s">
        <v>872</v>
      </c>
      <c r="H117" s="178"/>
      <c r="I117" s="178"/>
    </row>
    <row r="118" spans="1:9">
      <c r="A118" s="178" t="s">
        <v>258</v>
      </c>
      <c r="B118" s="178">
        <v>180190</v>
      </c>
      <c r="C118" s="178"/>
      <c r="D118" s="178" t="s">
        <v>873</v>
      </c>
      <c r="E118" s="178" t="s">
        <v>871</v>
      </c>
      <c r="F118" s="183">
        <v>2605110213</v>
      </c>
      <c r="G118" s="178" t="s">
        <v>872</v>
      </c>
      <c r="H118" s="178"/>
      <c r="I118" s="178"/>
    </row>
    <row r="119" spans="1:9" s="206" customFormat="1">
      <c r="A119" s="182" t="s">
        <v>258</v>
      </c>
      <c r="B119" s="182">
        <v>180190</v>
      </c>
      <c r="C119" s="182"/>
      <c r="D119" s="182" t="s">
        <v>870</v>
      </c>
      <c r="E119" s="182" t="s">
        <v>859</v>
      </c>
      <c r="F119" s="4" t="s">
        <v>916</v>
      </c>
      <c r="G119" s="182" t="s">
        <v>872</v>
      </c>
      <c r="H119" s="182"/>
      <c r="I119" s="182"/>
    </row>
    <row r="120" spans="1:9">
      <c r="A120" s="178" t="s">
        <v>264</v>
      </c>
      <c r="B120" s="178">
        <v>180192</v>
      </c>
      <c r="C120" s="178"/>
      <c r="D120" s="178" t="s">
        <v>870</v>
      </c>
      <c r="E120" s="178" t="s">
        <v>871</v>
      </c>
      <c r="F120" s="179">
        <v>2605108514</v>
      </c>
      <c r="G120" s="178" t="s">
        <v>872</v>
      </c>
      <c r="H120" s="178"/>
      <c r="I120" s="220" t="s">
        <v>917</v>
      </c>
    </row>
    <row r="121" spans="1:9">
      <c r="A121" s="178" t="s">
        <v>264</v>
      </c>
      <c r="B121" s="178">
        <v>180192</v>
      </c>
      <c r="C121" s="178"/>
      <c r="D121" s="178" t="s">
        <v>873</v>
      </c>
      <c r="E121" s="178" t="s">
        <v>871</v>
      </c>
      <c r="F121" s="207">
        <v>2605109851</v>
      </c>
      <c r="G121" s="178" t="s">
        <v>872</v>
      </c>
      <c r="H121" s="178"/>
      <c r="I121" s="178" t="s">
        <v>918</v>
      </c>
    </row>
    <row r="122" spans="1:9" s="206" customFormat="1">
      <c r="A122" s="182" t="s">
        <v>264</v>
      </c>
      <c r="B122" s="182">
        <v>180192</v>
      </c>
      <c r="C122" s="182"/>
      <c r="D122" s="182" t="s">
        <v>870</v>
      </c>
      <c r="E122" s="182" t="s">
        <v>859</v>
      </c>
      <c r="F122" s="4" t="s">
        <v>917</v>
      </c>
      <c r="G122" s="182" t="s">
        <v>919</v>
      </c>
      <c r="H122" s="182"/>
      <c r="I122" s="182"/>
    </row>
    <row r="123" spans="1:9">
      <c r="A123" s="178" t="s">
        <v>270</v>
      </c>
      <c r="B123" s="178">
        <v>180193</v>
      </c>
      <c r="C123" s="178"/>
      <c r="D123" s="178" t="s">
        <v>870</v>
      </c>
      <c r="E123" s="178" t="s">
        <v>871</v>
      </c>
      <c r="F123" s="179">
        <v>2605109732</v>
      </c>
      <c r="G123" s="178" t="s">
        <v>872</v>
      </c>
      <c r="H123" s="178"/>
      <c r="I123" s="178"/>
    </row>
    <row r="124" spans="1:9">
      <c r="A124" s="178" t="s">
        <v>270</v>
      </c>
      <c r="B124" s="178">
        <v>180193</v>
      </c>
      <c r="C124" s="178"/>
      <c r="D124" s="178" t="s">
        <v>873</v>
      </c>
      <c r="E124" s="178" t="s">
        <v>871</v>
      </c>
      <c r="F124" s="4">
        <v>2605110161</v>
      </c>
      <c r="G124" s="178" t="s">
        <v>872</v>
      </c>
      <c r="H124" s="178"/>
      <c r="I124" s="178"/>
    </row>
    <row r="125" spans="1:9" s="206" customFormat="1">
      <c r="A125" s="182" t="s">
        <v>270</v>
      </c>
      <c r="B125" s="182">
        <v>180193</v>
      </c>
      <c r="C125" s="182"/>
      <c r="D125" s="182" t="s">
        <v>870</v>
      </c>
      <c r="E125" s="182" t="s">
        <v>859</v>
      </c>
      <c r="F125" s="4" t="s">
        <v>920</v>
      </c>
      <c r="G125" s="182" t="s">
        <v>872</v>
      </c>
      <c r="H125" s="182"/>
      <c r="I125" s="182"/>
    </row>
    <row r="126" spans="1:9">
      <c r="A126" s="178" t="s">
        <v>276</v>
      </c>
      <c r="B126" s="178">
        <v>180195</v>
      </c>
      <c r="C126" s="178"/>
      <c r="D126" s="178" t="s">
        <v>870</v>
      </c>
      <c r="E126" s="178" t="s">
        <v>871</v>
      </c>
      <c r="F126" s="179">
        <v>2605113276</v>
      </c>
      <c r="G126" s="178" t="s">
        <v>872</v>
      </c>
      <c r="H126" s="178"/>
      <c r="I126" s="178"/>
    </row>
    <row r="127" spans="1:9">
      <c r="A127" s="178" t="s">
        <v>276</v>
      </c>
      <c r="B127" s="178">
        <v>180195</v>
      </c>
      <c r="C127" s="178"/>
      <c r="D127" s="178" t="s">
        <v>873</v>
      </c>
      <c r="E127" s="178" t="s">
        <v>871</v>
      </c>
      <c r="F127" s="4">
        <v>2605114534</v>
      </c>
      <c r="G127" s="178" t="s">
        <v>872</v>
      </c>
      <c r="H127" s="178"/>
      <c r="I127" s="178"/>
    </row>
    <row r="128" spans="1:9" s="206" customFormat="1">
      <c r="A128" s="182" t="s">
        <v>276</v>
      </c>
      <c r="B128" s="182">
        <v>180195</v>
      </c>
      <c r="C128" s="182"/>
      <c r="D128" s="182" t="s">
        <v>870</v>
      </c>
      <c r="E128" s="182" t="s">
        <v>859</v>
      </c>
      <c r="F128" s="4" t="s">
        <v>921</v>
      </c>
      <c r="G128" s="182" t="s">
        <v>872</v>
      </c>
      <c r="H128" s="182"/>
      <c r="I128" s="182"/>
    </row>
    <row r="129" spans="1:9">
      <c r="A129" s="178" t="s">
        <v>281</v>
      </c>
      <c r="B129" s="178">
        <v>180196</v>
      </c>
      <c r="C129" s="178"/>
      <c r="D129" s="178" t="s">
        <v>870</v>
      </c>
      <c r="E129" s="178" t="s">
        <v>871</v>
      </c>
      <c r="F129" s="179">
        <v>2605113362</v>
      </c>
      <c r="G129" s="178" t="s">
        <v>872</v>
      </c>
      <c r="H129" s="178"/>
      <c r="I129" s="178"/>
    </row>
    <row r="130" spans="1:9">
      <c r="A130" s="178" t="s">
        <v>281</v>
      </c>
      <c r="B130" s="178">
        <v>180196</v>
      </c>
      <c r="C130" s="178"/>
      <c r="D130" s="178" t="s">
        <v>873</v>
      </c>
      <c r="E130" s="178" t="s">
        <v>871</v>
      </c>
      <c r="F130" s="4">
        <v>2605114515</v>
      </c>
      <c r="G130" s="178" t="s">
        <v>872</v>
      </c>
      <c r="H130" s="178"/>
      <c r="I130" s="178"/>
    </row>
    <row r="131" spans="1:9" s="206" customFormat="1">
      <c r="A131" s="182" t="s">
        <v>281</v>
      </c>
      <c r="B131" s="182">
        <v>180196</v>
      </c>
      <c r="C131" s="182"/>
      <c r="D131" s="182" t="s">
        <v>870</v>
      </c>
      <c r="E131" s="182" t="s">
        <v>859</v>
      </c>
      <c r="F131" s="4" t="s">
        <v>922</v>
      </c>
      <c r="G131" s="182" t="s">
        <v>872</v>
      </c>
      <c r="H131" s="182"/>
      <c r="I131" s="182"/>
    </row>
    <row r="132" spans="1:9">
      <c r="A132" s="178" t="s">
        <v>286</v>
      </c>
      <c r="B132" s="178">
        <v>180198</v>
      </c>
      <c r="C132" s="178"/>
      <c r="D132" s="178" t="s">
        <v>870</v>
      </c>
      <c r="E132" s="178" t="s">
        <v>871</v>
      </c>
      <c r="F132" s="179">
        <v>2605108328</v>
      </c>
      <c r="G132" s="178" t="s">
        <v>872</v>
      </c>
      <c r="H132" s="178"/>
      <c r="I132" s="178"/>
    </row>
    <row r="133" spans="1:9">
      <c r="A133" s="178" t="s">
        <v>286</v>
      </c>
      <c r="B133" s="178">
        <v>180198</v>
      </c>
      <c r="C133" s="178"/>
      <c r="D133" s="178" t="s">
        <v>873</v>
      </c>
      <c r="E133" s="178" t="s">
        <v>871</v>
      </c>
      <c r="F133" s="4">
        <v>2605109841</v>
      </c>
      <c r="G133" s="178" t="s">
        <v>872</v>
      </c>
      <c r="H133" s="178"/>
      <c r="I133" s="178"/>
    </row>
    <row r="134" spans="1:9" s="206" customFormat="1">
      <c r="A134" s="182" t="s">
        <v>286</v>
      </c>
      <c r="B134" s="182">
        <v>180198</v>
      </c>
      <c r="C134" s="182"/>
      <c r="D134" s="182" t="s">
        <v>870</v>
      </c>
      <c r="E134" s="182" t="s">
        <v>859</v>
      </c>
      <c r="F134" s="4" t="s">
        <v>923</v>
      </c>
      <c r="G134" s="182" t="s">
        <v>872</v>
      </c>
      <c r="H134" s="182"/>
      <c r="I134" s="182"/>
    </row>
    <row r="135" spans="1:9">
      <c r="A135" s="178" t="s">
        <v>290</v>
      </c>
      <c r="B135" s="178">
        <v>180199</v>
      </c>
      <c r="C135" s="178"/>
      <c r="D135" s="178" t="s">
        <v>870</v>
      </c>
      <c r="E135" s="178" t="s">
        <v>871</v>
      </c>
      <c r="F135" s="179">
        <v>2605109779</v>
      </c>
      <c r="G135" s="178" t="s">
        <v>872</v>
      </c>
      <c r="H135" s="178"/>
      <c r="I135" s="178"/>
    </row>
    <row r="136" spans="1:9">
      <c r="A136" s="178" t="s">
        <v>290</v>
      </c>
      <c r="B136" s="178">
        <v>180199</v>
      </c>
      <c r="C136" s="178"/>
      <c r="D136" s="178" t="s">
        <v>873</v>
      </c>
      <c r="E136" s="178" t="s">
        <v>871</v>
      </c>
      <c r="F136" s="4">
        <v>2605112451</v>
      </c>
      <c r="G136" s="178" t="s">
        <v>872</v>
      </c>
      <c r="H136" s="178"/>
      <c r="I136" s="178"/>
    </row>
    <row r="137" spans="1:9" s="206" customFormat="1">
      <c r="A137" s="182" t="s">
        <v>290</v>
      </c>
      <c r="B137" s="182">
        <v>180199</v>
      </c>
      <c r="C137" s="182"/>
      <c r="D137" s="182" t="s">
        <v>870</v>
      </c>
      <c r="E137" s="182" t="s">
        <v>859</v>
      </c>
      <c r="F137" s="4" t="s">
        <v>924</v>
      </c>
      <c r="G137" s="182" t="s">
        <v>872</v>
      </c>
      <c r="H137" s="182"/>
      <c r="I137" s="182"/>
    </row>
    <row r="138" spans="1:9">
      <c r="A138" s="178" t="s">
        <v>295</v>
      </c>
      <c r="B138" s="178">
        <v>180201</v>
      </c>
      <c r="C138" s="178"/>
      <c r="D138" s="178" t="s">
        <v>870</v>
      </c>
      <c r="E138" s="178" t="s">
        <v>871</v>
      </c>
      <c r="F138" s="179">
        <v>2605108680</v>
      </c>
      <c r="G138" s="178" t="s">
        <v>872</v>
      </c>
      <c r="H138" s="178"/>
      <c r="I138" s="178"/>
    </row>
    <row r="139" spans="1:9">
      <c r="A139" s="178" t="s">
        <v>295</v>
      </c>
      <c r="B139" s="178">
        <v>180201</v>
      </c>
      <c r="C139" s="178"/>
      <c r="D139" s="178" t="s">
        <v>873</v>
      </c>
      <c r="E139" s="178" t="s">
        <v>871</v>
      </c>
      <c r="F139" s="4">
        <v>2605110346</v>
      </c>
      <c r="G139" s="178" t="s">
        <v>872</v>
      </c>
      <c r="H139" s="178"/>
      <c r="I139" s="178"/>
    </row>
    <row r="140" spans="1:9" s="206" customFormat="1">
      <c r="A140" s="182" t="s">
        <v>295</v>
      </c>
      <c r="B140" s="182">
        <v>180201</v>
      </c>
      <c r="C140" s="182"/>
      <c r="D140" s="182" t="s">
        <v>870</v>
      </c>
      <c r="E140" s="182" t="s">
        <v>859</v>
      </c>
      <c r="F140" s="4" t="s">
        <v>925</v>
      </c>
      <c r="G140" s="182" t="s">
        <v>872</v>
      </c>
      <c r="H140" s="182"/>
      <c r="I140" s="182"/>
    </row>
    <row r="141" spans="1:9">
      <c r="A141" s="178" t="s">
        <v>302</v>
      </c>
      <c r="B141" s="178">
        <v>180202</v>
      </c>
      <c r="C141" s="178"/>
      <c r="D141" s="178" t="s">
        <v>870</v>
      </c>
      <c r="E141" s="178" t="s">
        <v>871</v>
      </c>
      <c r="F141" s="179">
        <v>2605113395</v>
      </c>
      <c r="G141" s="178" t="s">
        <v>872</v>
      </c>
      <c r="H141" s="178"/>
      <c r="I141" s="178"/>
    </row>
    <row r="142" spans="1:9">
      <c r="A142" s="178" t="s">
        <v>302</v>
      </c>
      <c r="B142" s="178">
        <v>180202</v>
      </c>
      <c r="C142" s="178"/>
      <c r="D142" s="178" t="s">
        <v>873</v>
      </c>
      <c r="E142" s="178" t="s">
        <v>871</v>
      </c>
      <c r="F142" s="4">
        <v>2605114518</v>
      </c>
      <c r="G142" s="178" t="s">
        <v>872</v>
      </c>
      <c r="H142" s="178"/>
      <c r="I142" s="178"/>
    </row>
    <row r="143" spans="1:9" s="206" customFormat="1">
      <c r="A143" s="182" t="s">
        <v>302</v>
      </c>
      <c r="B143" s="182">
        <v>180202</v>
      </c>
      <c r="C143" s="182"/>
      <c r="D143" s="182" t="s">
        <v>870</v>
      </c>
      <c r="E143" s="182" t="s">
        <v>859</v>
      </c>
      <c r="F143" s="4" t="s">
        <v>926</v>
      </c>
      <c r="G143" s="182" t="s">
        <v>872</v>
      </c>
      <c r="H143" s="182"/>
      <c r="I143" s="182"/>
    </row>
    <row r="144" spans="1:9">
      <c r="A144" s="178" t="s">
        <v>308</v>
      </c>
      <c r="B144" s="178">
        <v>180213</v>
      </c>
      <c r="C144" s="178"/>
      <c r="D144" s="178" t="s">
        <v>870</v>
      </c>
      <c r="E144" s="178" t="s">
        <v>871</v>
      </c>
      <c r="F144" s="179">
        <v>2605110890</v>
      </c>
      <c r="G144" s="178" t="s">
        <v>872</v>
      </c>
      <c r="H144" s="178"/>
      <c r="I144" s="178"/>
    </row>
    <row r="145" spans="1:9">
      <c r="A145" s="178" t="s">
        <v>308</v>
      </c>
      <c r="B145" s="178">
        <v>180213</v>
      </c>
      <c r="C145" s="178"/>
      <c r="D145" s="178" t="s">
        <v>873</v>
      </c>
      <c r="E145" s="178" t="s">
        <v>871</v>
      </c>
      <c r="F145" s="4">
        <v>2605112505</v>
      </c>
      <c r="G145" s="178" t="s">
        <v>872</v>
      </c>
      <c r="H145" s="178"/>
      <c r="I145" s="178"/>
    </row>
    <row r="146" spans="1:9" s="206" customFormat="1">
      <c r="A146" s="182" t="s">
        <v>308</v>
      </c>
      <c r="B146" s="182">
        <v>180213</v>
      </c>
      <c r="C146" s="182"/>
      <c r="D146" s="182" t="s">
        <v>870</v>
      </c>
      <c r="E146" s="182" t="s">
        <v>859</v>
      </c>
      <c r="F146" s="4" t="s">
        <v>927</v>
      </c>
      <c r="G146" s="182" t="s">
        <v>872</v>
      </c>
      <c r="H146" s="182"/>
      <c r="I146" s="182"/>
    </row>
    <row r="147" spans="1:9">
      <c r="A147" s="178" t="s">
        <v>315</v>
      </c>
      <c r="B147" s="178">
        <v>180226</v>
      </c>
      <c r="C147" s="178"/>
      <c r="D147" s="178" t="s">
        <v>870</v>
      </c>
      <c r="E147" s="178" t="s">
        <v>871</v>
      </c>
      <c r="F147" s="179">
        <v>2605113776</v>
      </c>
      <c r="G147" s="178" t="s">
        <v>872</v>
      </c>
      <c r="H147" s="178"/>
      <c r="I147" s="178"/>
    </row>
    <row r="148" spans="1:9">
      <c r="A148" s="178" t="s">
        <v>315</v>
      </c>
      <c r="B148" s="178">
        <v>180226</v>
      </c>
      <c r="C148" s="178"/>
      <c r="D148" s="178" t="s">
        <v>873</v>
      </c>
      <c r="E148" s="178" t="s">
        <v>871</v>
      </c>
      <c r="F148" s="4">
        <v>2605114358</v>
      </c>
      <c r="G148" s="178" t="s">
        <v>872</v>
      </c>
      <c r="H148" s="178"/>
      <c r="I148" s="178"/>
    </row>
    <row r="149" spans="1:9" s="206" customFormat="1">
      <c r="A149" s="182" t="s">
        <v>315</v>
      </c>
      <c r="B149" s="182">
        <v>180226</v>
      </c>
      <c r="C149" s="182"/>
      <c r="D149" s="182" t="s">
        <v>870</v>
      </c>
      <c r="E149" s="182" t="s">
        <v>859</v>
      </c>
      <c r="F149" s="4" t="s">
        <v>928</v>
      </c>
      <c r="G149" s="182" t="s">
        <v>872</v>
      </c>
      <c r="H149" s="182"/>
      <c r="I149" s="182"/>
    </row>
    <row r="150" spans="1:9">
      <c r="A150" s="178" t="s">
        <v>321</v>
      </c>
      <c r="B150" s="178">
        <v>180228</v>
      </c>
      <c r="C150" s="178"/>
      <c r="D150" s="178" t="s">
        <v>870</v>
      </c>
      <c r="E150" s="178" t="s">
        <v>871</v>
      </c>
      <c r="F150" s="179">
        <v>2605113989</v>
      </c>
      <c r="G150" s="178" t="s">
        <v>872</v>
      </c>
      <c r="H150" s="178"/>
      <c r="I150" s="178"/>
    </row>
    <row r="151" spans="1:9">
      <c r="A151" s="178" t="s">
        <v>321</v>
      </c>
      <c r="B151" s="178">
        <v>180228</v>
      </c>
      <c r="C151" s="178"/>
      <c r="D151" s="178" t="s">
        <v>873</v>
      </c>
      <c r="E151" s="178" t="s">
        <v>871</v>
      </c>
      <c r="F151" s="4">
        <v>2605114359</v>
      </c>
      <c r="G151" s="178" t="s">
        <v>872</v>
      </c>
      <c r="H151" s="178"/>
      <c r="I151" s="178"/>
    </row>
    <row r="152" spans="1:9" s="206" customFormat="1">
      <c r="A152" s="182" t="s">
        <v>321</v>
      </c>
      <c r="B152" s="182">
        <v>180228</v>
      </c>
      <c r="C152" s="182"/>
      <c r="D152" s="182" t="s">
        <v>870</v>
      </c>
      <c r="E152" s="182" t="s">
        <v>859</v>
      </c>
      <c r="F152" s="4" t="s">
        <v>929</v>
      </c>
      <c r="G152" s="182" t="s">
        <v>872</v>
      </c>
      <c r="H152" s="182"/>
      <c r="I152" s="182"/>
    </row>
    <row r="153" spans="1:9">
      <c r="A153" s="178" t="s">
        <v>327</v>
      </c>
      <c r="B153" s="178">
        <v>180230</v>
      </c>
      <c r="C153" s="178"/>
      <c r="D153" s="178" t="s">
        <v>870</v>
      </c>
      <c r="E153" s="178" t="s">
        <v>871</v>
      </c>
      <c r="F153" s="179">
        <v>2605114628</v>
      </c>
      <c r="G153" s="178" t="s">
        <v>872</v>
      </c>
      <c r="H153" s="178"/>
      <c r="I153" s="178"/>
    </row>
    <row r="154" spans="1:9">
      <c r="A154" s="178" t="s">
        <v>327</v>
      </c>
      <c r="B154" s="178">
        <v>180230</v>
      </c>
      <c r="C154" s="178"/>
      <c r="D154" s="178" t="s">
        <v>873</v>
      </c>
      <c r="E154" s="178" t="s">
        <v>871</v>
      </c>
      <c r="F154" s="197">
        <v>2605117796</v>
      </c>
      <c r="G154" s="178" t="s">
        <v>872</v>
      </c>
      <c r="H154" s="178"/>
      <c r="I154" s="178"/>
    </row>
    <row r="155" spans="1:9" s="206" customFormat="1">
      <c r="A155" s="182" t="s">
        <v>327</v>
      </c>
      <c r="B155" s="182">
        <v>180230</v>
      </c>
      <c r="C155" s="219">
        <v>46088</v>
      </c>
      <c r="D155" s="182" t="s">
        <v>870</v>
      </c>
      <c r="E155" s="182" t="s">
        <v>859</v>
      </c>
      <c r="F155" s="4" t="s">
        <v>930</v>
      </c>
      <c r="G155" s="182" t="s">
        <v>872</v>
      </c>
      <c r="H155" s="182"/>
      <c r="I155" s="182"/>
    </row>
    <row r="156" spans="1:9">
      <c r="A156" s="178" t="s">
        <v>334</v>
      </c>
      <c r="B156" s="178">
        <v>180242</v>
      </c>
      <c r="C156" s="178"/>
      <c r="D156" s="178" t="s">
        <v>870</v>
      </c>
      <c r="E156" s="178" t="s">
        <v>871</v>
      </c>
      <c r="F156" s="179">
        <v>2605111955</v>
      </c>
      <c r="G156" s="178" t="s">
        <v>872</v>
      </c>
      <c r="H156" s="178"/>
      <c r="I156" s="178"/>
    </row>
    <row r="157" spans="1:9">
      <c r="A157" s="178" t="s">
        <v>334</v>
      </c>
      <c r="B157" s="178">
        <v>180242</v>
      </c>
      <c r="C157" s="178"/>
      <c r="D157" s="178" t="s">
        <v>873</v>
      </c>
      <c r="E157" s="178" t="s">
        <v>871</v>
      </c>
      <c r="F157" s="4">
        <v>2605112639</v>
      </c>
      <c r="G157" s="178" t="s">
        <v>872</v>
      </c>
      <c r="H157" s="178"/>
      <c r="I157" s="178"/>
    </row>
    <row r="158" spans="1:9" s="206" customFormat="1">
      <c r="A158" s="182" t="s">
        <v>334</v>
      </c>
      <c r="B158" s="182">
        <v>180242</v>
      </c>
      <c r="C158" s="182"/>
      <c r="D158" s="182" t="s">
        <v>870</v>
      </c>
      <c r="E158" s="182" t="s">
        <v>859</v>
      </c>
      <c r="F158" s="4" t="s">
        <v>931</v>
      </c>
      <c r="G158" s="182" t="s">
        <v>872</v>
      </c>
      <c r="H158" s="182"/>
      <c r="I158" s="182"/>
    </row>
    <row r="159" spans="1:9">
      <c r="A159" s="178" t="s">
        <v>342</v>
      </c>
      <c r="B159" s="178">
        <v>180249</v>
      </c>
      <c r="C159" s="178"/>
      <c r="D159" s="178" t="s">
        <v>870</v>
      </c>
      <c r="E159" s="178" t="s">
        <v>871</v>
      </c>
      <c r="F159" s="179">
        <v>2605111677</v>
      </c>
      <c r="G159" s="178" t="s">
        <v>872</v>
      </c>
      <c r="H159" s="178"/>
      <c r="I159" s="178"/>
    </row>
    <row r="160" spans="1:9">
      <c r="A160" s="178" t="s">
        <v>342</v>
      </c>
      <c r="B160" s="178">
        <v>180249</v>
      </c>
      <c r="C160" s="178"/>
      <c r="D160" s="178" t="s">
        <v>873</v>
      </c>
      <c r="E160" s="178" t="s">
        <v>871</v>
      </c>
      <c r="F160" s="4">
        <v>2605112425</v>
      </c>
      <c r="G160" s="178" t="s">
        <v>872</v>
      </c>
      <c r="H160" s="178"/>
      <c r="I160" s="178"/>
    </row>
    <row r="161" spans="1:9" s="206" customFormat="1">
      <c r="A161" s="182" t="s">
        <v>342</v>
      </c>
      <c r="B161" s="182">
        <v>180249</v>
      </c>
      <c r="C161" s="182"/>
      <c r="D161" s="182" t="s">
        <v>870</v>
      </c>
      <c r="E161" s="182" t="s">
        <v>859</v>
      </c>
      <c r="F161" s="4" t="s">
        <v>932</v>
      </c>
      <c r="G161" s="182" t="s">
        <v>872</v>
      </c>
      <c r="H161" s="182"/>
      <c r="I161" s="182"/>
    </row>
    <row r="162" spans="1:9">
      <c r="A162" s="178" t="s">
        <v>348</v>
      </c>
      <c r="B162" s="178">
        <v>180257</v>
      </c>
      <c r="C162" s="178"/>
      <c r="D162" s="178" t="s">
        <v>870</v>
      </c>
      <c r="E162" s="178" t="s">
        <v>871</v>
      </c>
      <c r="F162" s="179">
        <v>2605113022</v>
      </c>
      <c r="G162" s="178" t="s">
        <v>872</v>
      </c>
      <c r="H162" s="178"/>
      <c r="I162" s="178"/>
    </row>
    <row r="163" spans="1:9">
      <c r="A163" s="178" t="s">
        <v>348</v>
      </c>
      <c r="B163" s="178">
        <v>180257</v>
      </c>
      <c r="C163" s="178"/>
      <c r="D163" s="178" t="s">
        <v>873</v>
      </c>
      <c r="E163" s="178" t="s">
        <v>871</v>
      </c>
      <c r="F163" s="4">
        <v>2605114351</v>
      </c>
      <c r="G163" s="178" t="s">
        <v>872</v>
      </c>
      <c r="H163" s="178"/>
      <c r="I163" s="178"/>
    </row>
    <row r="164" spans="1:9" s="206" customFormat="1">
      <c r="A164" s="182" t="s">
        <v>348</v>
      </c>
      <c r="B164" s="182">
        <v>180257</v>
      </c>
      <c r="C164" s="182"/>
      <c r="D164" s="182" t="s">
        <v>870</v>
      </c>
      <c r="E164" s="182" t="s">
        <v>859</v>
      </c>
      <c r="F164" s="4" t="s">
        <v>933</v>
      </c>
      <c r="G164" s="182" t="s">
        <v>872</v>
      </c>
      <c r="H164" s="182"/>
      <c r="I164" s="182"/>
    </row>
    <row r="165" spans="1:9">
      <c r="A165" s="178" t="s">
        <v>356</v>
      </c>
      <c r="B165" s="178">
        <v>180261</v>
      </c>
      <c r="C165" s="178"/>
      <c r="D165" s="178" t="s">
        <v>870</v>
      </c>
      <c r="E165" s="178" t="s">
        <v>871</v>
      </c>
      <c r="F165" s="179">
        <v>2605114146</v>
      </c>
      <c r="G165" s="178" t="s">
        <v>872</v>
      </c>
      <c r="H165" s="178"/>
      <c r="I165" s="178"/>
    </row>
    <row r="166" spans="1:9">
      <c r="A166" s="178" t="s">
        <v>356</v>
      </c>
      <c r="B166" s="178">
        <v>180261</v>
      </c>
      <c r="C166" s="178"/>
      <c r="D166" s="178" t="s">
        <v>873</v>
      </c>
      <c r="E166" s="178" t="s">
        <v>871</v>
      </c>
      <c r="F166" s="4">
        <v>2605117769</v>
      </c>
      <c r="G166" s="178" t="s">
        <v>872</v>
      </c>
      <c r="H166" s="178"/>
      <c r="I166" s="178"/>
    </row>
    <row r="167" spans="1:9" s="206" customFormat="1">
      <c r="A167" s="182" t="s">
        <v>356</v>
      </c>
      <c r="B167" s="182">
        <v>180261</v>
      </c>
      <c r="C167" s="182"/>
      <c r="D167" s="182" t="s">
        <v>870</v>
      </c>
      <c r="E167" s="182" t="s">
        <v>859</v>
      </c>
      <c r="F167" s="4" t="s">
        <v>934</v>
      </c>
      <c r="G167" s="182" t="s">
        <v>872</v>
      </c>
      <c r="H167" s="182"/>
      <c r="I167" s="182"/>
    </row>
    <row r="168" spans="1:9">
      <c r="A168" s="178" t="s">
        <v>361</v>
      </c>
      <c r="B168" s="178">
        <v>180263</v>
      </c>
      <c r="C168" s="178"/>
      <c r="D168" s="178" t="s">
        <v>870</v>
      </c>
      <c r="E168" s="178" t="s">
        <v>871</v>
      </c>
      <c r="F168" s="179">
        <v>2605112925</v>
      </c>
      <c r="G168" s="178" t="s">
        <v>872</v>
      </c>
      <c r="H168" s="178"/>
      <c r="I168" s="178"/>
    </row>
    <row r="169" spans="1:9">
      <c r="A169" s="178" t="s">
        <v>361</v>
      </c>
      <c r="B169" s="178">
        <v>180263</v>
      </c>
      <c r="C169" s="178"/>
      <c r="D169" s="178" t="s">
        <v>873</v>
      </c>
      <c r="E169" s="178" t="s">
        <v>871</v>
      </c>
      <c r="F169" s="4">
        <v>2605114353</v>
      </c>
      <c r="G169" s="178" t="s">
        <v>872</v>
      </c>
      <c r="H169" s="178"/>
      <c r="I169" s="178"/>
    </row>
    <row r="170" spans="1:9" s="206" customFormat="1">
      <c r="A170" s="182" t="s">
        <v>361</v>
      </c>
      <c r="B170" s="182">
        <v>180263</v>
      </c>
      <c r="C170" s="182"/>
      <c r="D170" s="182" t="s">
        <v>870</v>
      </c>
      <c r="E170" s="182" t="s">
        <v>859</v>
      </c>
      <c r="F170" s="4" t="s">
        <v>935</v>
      </c>
      <c r="G170" s="182" t="s">
        <v>872</v>
      </c>
      <c r="H170" s="182"/>
      <c r="I170" s="182"/>
    </row>
    <row r="171" spans="1:9">
      <c r="A171" s="178" t="s">
        <v>367</v>
      </c>
      <c r="B171" s="178">
        <v>180265</v>
      </c>
      <c r="C171" s="178"/>
      <c r="D171" s="178" t="s">
        <v>870</v>
      </c>
      <c r="E171" s="178" t="s">
        <v>871</v>
      </c>
      <c r="F171" s="179">
        <v>2605115963</v>
      </c>
      <c r="G171" s="178" t="s">
        <v>872</v>
      </c>
      <c r="H171" s="178"/>
      <c r="I171" s="178"/>
    </row>
    <row r="172" spans="1:9">
      <c r="A172" s="178" t="s">
        <v>367</v>
      </c>
      <c r="B172" s="178">
        <v>180265</v>
      </c>
      <c r="C172" s="178"/>
      <c r="D172" s="178" t="s">
        <v>873</v>
      </c>
      <c r="E172" s="178" t="s">
        <v>871</v>
      </c>
      <c r="F172" s="195">
        <v>2605117795</v>
      </c>
      <c r="G172" s="178" t="s">
        <v>872</v>
      </c>
      <c r="H172" s="178"/>
      <c r="I172" s="178"/>
    </row>
    <row r="173" spans="1:9" s="206" customFormat="1">
      <c r="A173" s="182" t="s">
        <v>367</v>
      </c>
      <c r="B173" s="182">
        <v>180265</v>
      </c>
      <c r="C173" s="182"/>
      <c r="D173" s="182" t="s">
        <v>870</v>
      </c>
      <c r="E173" s="182" t="s">
        <v>859</v>
      </c>
      <c r="F173" s="4" t="s">
        <v>936</v>
      </c>
      <c r="G173" s="182" t="s">
        <v>872</v>
      </c>
      <c r="H173" s="182"/>
      <c r="I173" s="182"/>
    </row>
    <row r="174" spans="1:9">
      <c r="A174" s="178" t="s">
        <v>373</v>
      </c>
      <c r="B174" s="178">
        <v>180284</v>
      </c>
      <c r="C174" s="178"/>
      <c r="D174" s="178" t="s">
        <v>870</v>
      </c>
      <c r="E174" s="178" t="s">
        <v>871</v>
      </c>
      <c r="F174" s="179">
        <v>2605116837</v>
      </c>
      <c r="G174" s="178" t="s">
        <v>872</v>
      </c>
      <c r="H174" s="178"/>
      <c r="I174" s="178"/>
    </row>
    <row r="175" spans="1:9">
      <c r="A175" s="178" t="s">
        <v>373</v>
      </c>
      <c r="B175" s="178">
        <v>180284</v>
      </c>
      <c r="C175" s="178"/>
      <c r="D175" s="178" t="s">
        <v>873</v>
      </c>
      <c r="E175" s="178" t="s">
        <v>871</v>
      </c>
      <c r="F175" s="4">
        <v>2605117897</v>
      </c>
      <c r="G175" s="178" t="s">
        <v>872</v>
      </c>
      <c r="H175" s="178"/>
      <c r="I175" s="178"/>
    </row>
    <row r="176" spans="1:9" s="206" customFormat="1">
      <c r="A176" s="182" t="s">
        <v>373</v>
      </c>
      <c r="B176" s="182">
        <v>180284</v>
      </c>
      <c r="C176" s="182"/>
      <c r="D176" s="182" t="s">
        <v>870</v>
      </c>
      <c r="E176" s="182" t="s">
        <v>859</v>
      </c>
      <c r="F176" s="4" t="s">
        <v>937</v>
      </c>
      <c r="G176" s="182" t="s">
        <v>872</v>
      </c>
      <c r="H176" s="182"/>
      <c r="I176" s="182"/>
    </row>
    <row r="177" spans="1:9">
      <c r="A177" s="178" t="s">
        <v>378</v>
      </c>
      <c r="B177" s="178">
        <v>180286</v>
      </c>
      <c r="C177" s="178"/>
      <c r="D177" s="178" t="s">
        <v>870</v>
      </c>
      <c r="E177" s="178" t="s">
        <v>871</v>
      </c>
      <c r="F177" s="179">
        <v>2605115511</v>
      </c>
      <c r="G177" s="178" t="s">
        <v>872</v>
      </c>
      <c r="H177" s="178"/>
      <c r="I177" s="178"/>
    </row>
    <row r="178" spans="1:9">
      <c r="A178" s="178" t="s">
        <v>378</v>
      </c>
      <c r="B178" s="178">
        <v>180286</v>
      </c>
      <c r="C178" s="178"/>
      <c r="D178" s="178" t="s">
        <v>873</v>
      </c>
      <c r="E178" s="178" t="s">
        <v>871</v>
      </c>
      <c r="F178" s="4">
        <v>2605123254</v>
      </c>
      <c r="G178" s="178" t="s">
        <v>872</v>
      </c>
      <c r="H178" s="178"/>
      <c r="I178" s="178"/>
    </row>
    <row r="179" spans="1:9" s="206" customFormat="1">
      <c r="A179" s="182" t="s">
        <v>378</v>
      </c>
      <c r="B179" s="182">
        <v>180286</v>
      </c>
      <c r="C179" s="182"/>
      <c r="D179" s="182" t="s">
        <v>870</v>
      </c>
      <c r="E179" s="182" t="s">
        <v>859</v>
      </c>
      <c r="F179" s="4" t="s">
        <v>938</v>
      </c>
      <c r="G179" s="182" t="s">
        <v>872</v>
      </c>
      <c r="H179" s="182"/>
      <c r="I179" s="182"/>
    </row>
    <row r="180" spans="1:9">
      <c r="A180" s="178" t="s">
        <v>384</v>
      </c>
      <c r="B180" s="178">
        <v>180288</v>
      </c>
      <c r="C180" s="178"/>
      <c r="D180" s="178" t="s">
        <v>870</v>
      </c>
      <c r="E180" s="178" t="s">
        <v>871</v>
      </c>
      <c r="F180" s="179">
        <v>2605117066</v>
      </c>
      <c r="G180" s="178" t="s">
        <v>872</v>
      </c>
      <c r="H180" s="178"/>
      <c r="I180" s="178"/>
    </row>
    <row r="181" spans="1:9">
      <c r="A181" s="178" t="s">
        <v>384</v>
      </c>
      <c r="B181" s="178">
        <v>180288</v>
      </c>
      <c r="C181" s="178"/>
      <c r="D181" s="178" t="s">
        <v>873</v>
      </c>
      <c r="E181" s="178" t="s">
        <v>871</v>
      </c>
      <c r="F181" s="183">
        <v>2605117915</v>
      </c>
      <c r="G181" s="178" t="s">
        <v>872</v>
      </c>
      <c r="H181" s="178"/>
      <c r="I181" s="178"/>
    </row>
    <row r="182" spans="1:9" s="206" customFormat="1">
      <c r="A182" s="182" t="s">
        <v>384</v>
      </c>
      <c r="B182" s="182">
        <v>180288</v>
      </c>
      <c r="C182" s="182"/>
      <c r="D182" s="182" t="s">
        <v>870</v>
      </c>
      <c r="E182" s="182" t="s">
        <v>859</v>
      </c>
      <c r="F182" s="4" t="s">
        <v>939</v>
      </c>
      <c r="G182" s="182" t="s">
        <v>872</v>
      </c>
      <c r="H182" s="182"/>
      <c r="I182" s="182"/>
    </row>
    <row r="183" spans="1:9">
      <c r="A183" s="178" t="s">
        <v>391</v>
      </c>
      <c r="B183" s="178">
        <v>180289</v>
      </c>
      <c r="C183" s="178"/>
      <c r="D183" s="178" t="s">
        <v>870</v>
      </c>
      <c r="E183" s="178" t="s">
        <v>871</v>
      </c>
      <c r="F183" s="179">
        <v>2605118034</v>
      </c>
      <c r="G183" s="178" t="s">
        <v>872</v>
      </c>
      <c r="H183" s="178"/>
      <c r="I183" s="178"/>
    </row>
    <row r="184" spans="1:9">
      <c r="A184" s="178" t="s">
        <v>391</v>
      </c>
      <c r="B184" s="178">
        <v>180289</v>
      </c>
      <c r="C184" s="178"/>
      <c r="D184" s="178" t="s">
        <v>873</v>
      </c>
      <c r="E184" s="178" t="s">
        <v>871</v>
      </c>
      <c r="F184" s="183">
        <v>2605120449</v>
      </c>
      <c r="G184" s="178" t="s">
        <v>872</v>
      </c>
      <c r="H184" s="178"/>
      <c r="I184" s="178"/>
    </row>
    <row r="185" spans="1:9" s="206" customFormat="1">
      <c r="A185" s="182" t="s">
        <v>391</v>
      </c>
      <c r="B185" s="182">
        <v>180289</v>
      </c>
      <c r="C185" s="182"/>
      <c r="D185" s="182" t="s">
        <v>870</v>
      </c>
      <c r="E185" s="182" t="s">
        <v>859</v>
      </c>
      <c r="F185" s="4" t="s">
        <v>940</v>
      </c>
      <c r="G185" s="182" t="s">
        <v>872</v>
      </c>
      <c r="H185" s="182"/>
      <c r="I185" s="182"/>
    </row>
    <row r="186" spans="1:9">
      <c r="A186" s="178" t="s">
        <v>400</v>
      </c>
      <c r="B186" s="178">
        <v>180290</v>
      </c>
      <c r="C186" s="178"/>
      <c r="D186" s="178" t="s">
        <v>870</v>
      </c>
      <c r="E186" s="178" t="s">
        <v>871</v>
      </c>
      <c r="F186" s="179">
        <v>2605115713</v>
      </c>
      <c r="G186" s="178" t="s">
        <v>872</v>
      </c>
      <c r="H186" s="178"/>
      <c r="I186" s="178"/>
    </row>
    <row r="187" spans="1:9">
      <c r="A187" s="178" t="s">
        <v>400</v>
      </c>
      <c r="B187" s="178">
        <v>180290</v>
      </c>
      <c r="C187" s="178"/>
      <c r="D187" s="178" t="s">
        <v>873</v>
      </c>
      <c r="E187" s="178" t="s">
        <v>871</v>
      </c>
      <c r="F187" s="183">
        <v>2605117940</v>
      </c>
      <c r="G187" s="178" t="s">
        <v>872</v>
      </c>
      <c r="H187" s="178"/>
      <c r="I187" s="178"/>
    </row>
    <row r="188" spans="1:9" s="206" customFormat="1">
      <c r="A188" s="182" t="s">
        <v>400</v>
      </c>
      <c r="B188" s="182">
        <v>180290</v>
      </c>
      <c r="C188" s="182"/>
      <c r="D188" s="182" t="s">
        <v>870</v>
      </c>
      <c r="E188" s="182" t="s">
        <v>859</v>
      </c>
      <c r="F188" s="4" t="s">
        <v>941</v>
      </c>
      <c r="G188" s="182" t="s">
        <v>872</v>
      </c>
      <c r="H188" s="182"/>
      <c r="I188" s="182"/>
    </row>
    <row r="189" spans="1:9">
      <c r="A189" s="178" t="s">
        <v>407</v>
      </c>
      <c r="B189" s="178">
        <v>180291</v>
      </c>
      <c r="C189" s="178"/>
      <c r="D189" s="178" t="s">
        <v>870</v>
      </c>
      <c r="E189" s="178" t="s">
        <v>871</v>
      </c>
      <c r="F189" s="179">
        <v>2605117336</v>
      </c>
      <c r="G189" s="178" t="s">
        <v>872</v>
      </c>
      <c r="H189" s="178"/>
      <c r="I189" s="178"/>
    </row>
    <row r="190" spans="1:9">
      <c r="A190" s="178" t="s">
        <v>407</v>
      </c>
      <c r="B190" s="178">
        <v>180291</v>
      </c>
      <c r="C190" s="178"/>
      <c r="D190" s="178" t="s">
        <v>873</v>
      </c>
      <c r="E190" s="178" t="s">
        <v>871</v>
      </c>
      <c r="F190" s="195">
        <v>2605120518</v>
      </c>
      <c r="G190" s="178" t="s">
        <v>872</v>
      </c>
      <c r="H190" s="178"/>
      <c r="I190" s="178"/>
    </row>
    <row r="191" spans="1:9" s="206" customFormat="1">
      <c r="A191" s="182" t="s">
        <v>407</v>
      </c>
      <c r="B191" s="182">
        <v>180291</v>
      </c>
      <c r="C191" s="182"/>
      <c r="D191" s="182" t="s">
        <v>870</v>
      </c>
      <c r="E191" s="182" t="s">
        <v>859</v>
      </c>
      <c r="F191" s="4" t="s">
        <v>942</v>
      </c>
      <c r="G191" s="182" t="s">
        <v>872</v>
      </c>
      <c r="H191" s="182"/>
      <c r="I191" s="182"/>
    </row>
    <row r="192" spans="1:9">
      <c r="A192" s="178" t="s">
        <v>413</v>
      </c>
      <c r="B192" s="178">
        <v>180292</v>
      </c>
      <c r="C192" s="178"/>
      <c r="D192" s="178" t="s">
        <v>870</v>
      </c>
      <c r="E192" s="178" t="s">
        <v>871</v>
      </c>
      <c r="F192" s="179">
        <v>2605116674</v>
      </c>
      <c r="G192" s="178" t="s">
        <v>872</v>
      </c>
      <c r="H192" s="178"/>
      <c r="I192" s="178"/>
    </row>
    <row r="193" spans="1:9">
      <c r="A193" s="178" t="s">
        <v>413</v>
      </c>
      <c r="B193" s="178">
        <v>180292</v>
      </c>
      <c r="C193" s="178"/>
      <c r="D193" s="178" t="s">
        <v>873</v>
      </c>
      <c r="E193" s="178" t="s">
        <v>871</v>
      </c>
      <c r="F193" s="183">
        <v>2605117725</v>
      </c>
      <c r="G193" s="178" t="s">
        <v>872</v>
      </c>
      <c r="H193" s="178"/>
      <c r="I193" s="178"/>
    </row>
    <row r="194" spans="1:9" s="206" customFormat="1">
      <c r="A194" s="182" t="s">
        <v>413</v>
      </c>
      <c r="B194" s="182">
        <v>180292</v>
      </c>
      <c r="C194" s="182"/>
      <c r="D194" s="182" t="s">
        <v>870</v>
      </c>
      <c r="E194" s="182" t="s">
        <v>859</v>
      </c>
      <c r="F194" s="4" t="s">
        <v>943</v>
      </c>
      <c r="G194" s="182" t="s">
        <v>872</v>
      </c>
      <c r="H194" s="182"/>
      <c r="I194" s="182"/>
    </row>
    <row r="195" spans="1:9">
      <c r="A195" s="178" t="s">
        <v>418</v>
      </c>
      <c r="B195" s="178">
        <v>180293</v>
      </c>
      <c r="C195" s="178"/>
      <c r="D195" s="178" t="s">
        <v>870</v>
      </c>
      <c r="E195" s="178" t="s">
        <v>871</v>
      </c>
      <c r="F195" s="179">
        <v>2605116951</v>
      </c>
      <c r="G195" s="178" t="s">
        <v>872</v>
      </c>
      <c r="H195" s="178"/>
      <c r="I195" s="178"/>
    </row>
    <row r="196" spans="1:9">
      <c r="A196" s="178" t="s">
        <v>418</v>
      </c>
      <c r="B196" s="178">
        <v>180293</v>
      </c>
      <c r="C196" s="178"/>
      <c r="D196" s="178" t="s">
        <v>873</v>
      </c>
      <c r="E196" s="178" t="s">
        <v>871</v>
      </c>
      <c r="F196" s="183">
        <v>2605117885</v>
      </c>
      <c r="G196" s="178" t="s">
        <v>872</v>
      </c>
      <c r="H196" s="178"/>
      <c r="I196" s="178"/>
    </row>
    <row r="197" spans="1:9" s="206" customFormat="1">
      <c r="A197" s="182" t="s">
        <v>418</v>
      </c>
      <c r="B197" s="182">
        <v>180293</v>
      </c>
      <c r="C197" s="182"/>
      <c r="D197" s="182" t="s">
        <v>870</v>
      </c>
      <c r="E197" s="182" t="s">
        <v>859</v>
      </c>
      <c r="F197" s="4" t="s">
        <v>944</v>
      </c>
      <c r="G197" s="182" t="s">
        <v>872</v>
      </c>
      <c r="H197" s="182"/>
      <c r="I197" s="182"/>
    </row>
    <row r="198" spans="1:9">
      <c r="A198" s="178" t="s">
        <v>424</v>
      </c>
      <c r="B198" s="178">
        <v>180311</v>
      </c>
      <c r="C198" s="178"/>
      <c r="D198" s="178" t="s">
        <v>870</v>
      </c>
      <c r="E198" s="178" t="s">
        <v>871</v>
      </c>
      <c r="F198" s="179">
        <v>2605119647</v>
      </c>
      <c r="G198" s="178" t="s">
        <v>872</v>
      </c>
      <c r="H198" s="178"/>
      <c r="I198" s="178"/>
    </row>
    <row r="199" spans="1:9">
      <c r="A199" s="178" t="s">
        <v>424</v>
      </c>
      <c r="B199" s="178">
        <v>180311</v>
      </c>
      <c r="C199" s="178"/>
      <c r="D199" s="178" t="s">
        <v>873</v>
      </c>
      <c r="E199" s="178" t="s">
        <v>871</v>
      </c>
      <c r="F199" s="195">
        <v>2605120411</v>
      </c>
      <c r="G199" s="178" t="s">
        <v>872</v>
      </c>
      <c r="H199" s="178"/>
      <c r="I199" s="178"/>
    </row>
    <row r="200" spans="1:9">
      <c r="A200" s="178" t="s">
        <v>424</v>
      </c>
      <c r="B200" s="178">
        <v>180311</v>
      </c>
      <c r="C200" s="178"/>
      <c r="D200" s="178" t="s">
        <v>870</v>
      </c>
      <c r="E200" s="178" t="s">
        <v>859</v>
      </c>
      <c r="F200" s="207" t="s">
        <v>945</v>
      </c>
      <c r="G200" s="178" t="s">
        <v>872</v>
      </c>
      <c r="H200" s="178"/>
      <c r="I200" s="178"/>
    </row>
    <row r="201" spans="1:9" s="201" customFormat="1">
      <c r="A201" s="199" t="s">
        <v>429</v>
      </c>
      <c r="B201" s="199">
        <v>180312</v>
      </c>
      <c r="C201" s="199"/>
      <c r="D201" s="199" t="s">
        <v>870</v>
      </c>
      <c r="E201" s="199" t="s">
        <v>871</v>
      </c>
      <c r="F201" s="4">
        <v>2605118330</v>
      </c>
      <c r="G201" s="199" t="s">
        <v>872</v>
      </c>
      <c r="H201" s="199"/>
      <c r="I201" s="199"/>
    </row>
    <row r="202" spans="1:9">
      <c r="A202" s="178" t="s">
        <v>429</v>
      </c>
      <c r="B202" s="178">
        <v>180312</v>
      </c>
      <c r="C202" s="178"/>
      <c r="D202" s="178" t="s">
        <v>873</v>
      </c>
      <c r="E202" s="178" t="s">
        <v>871</v>
      </c>
      <c r="F202" s="183">
        <v>2605120465</v>
      </c>
      <c r="G202" s="178" t="s">
        <v>872</v>
      </c>
      <c r="H202" s="178"/>
      <c r="I202" s="178"/>
    </row>
    <row r="203" spans="1:9" s="206" customFormat="1">
      <c r="A203" s="182" t="s">
        <v>429</v>
      </c>
      <c r="B203" s="182">
        <v>180312</v>
      </c>
      <c r="C203" s="182"/>
      <c r="D203" s="182" t="s">
        <v>870</v>
      </c>
      <c r="E203" s="182" t="s">
        <v>859</v>
      </c>
      <c r="F203" s="4" t="s">
        <v>946</v>
      </c>
      <c r="G203" s="182" t="s">
        <v>872</v>
      </c>
      <c r="H203" s="182"/>
      <c r="I203" s="182"/>
    </row>
    <row r="204" spans="1:9">
      <c r="A204" s="178" t="s">
        <v>435</v>
      </c>
      <c r="B204" s="178">
        <v>180313</v>
      </c>
      <c r="C204" s="178"/>
      <c r="D204" s="178" t="s">
        <v>870</v>
      </c>
      <c r="E204" s="178" t="s">
        <v>871</v>
      </c>
      <c r="F204" s="179">
        <v>2605117369</v>
      </c>
      <c r="G204" s="178" t="s">
        <v>872</v>
      </c>
      <c r="H204" s="178"/>
      <c r="I204" s="178"/>
    </row>
    <row r="205" spans="1:9">
      <c r="A205" s="178" t="s">
        <v>435</v>
      </c>
      <c r="B205" s="178">
        <v>180313</v>
      </c>
      <c r="C205" s="178"/>
      <c r="D205" s="178" t="s">
        <v>873</v>
      </c>
      <c r="E205" s="178" t="s">
        <v>871</v>
      </c>
      <c r="F205" s="195">
        <v>2605122815</v>
      </c>
      <c r="G205" s="178" t="s">
        <v>872</v>
      </c>
      <c r="H205" s="178"/>
      <c r="I205" s="178"/>
    </row>
    <row r="206" spans="1:9" s="206" customFormat="1">
      <c r="A206" s="182" t="s">
        <v>435</v>
      </c>
      <c r="B206" s="182">
        <v>180313</v>
      </c>
      <c r="C206" s="182"/>
      <c r="D206" s="182" t="s">
        <v>870</v>
      </c>
      <c r="E206" s="182" t="s">
        <v>859</v>
      </c>
      <c r="F206" s="4" t="s">
        <v>947</v>
      </c>
      <c r="G206" s="182" t="s">
        <v>872</v>
      </c>
      <c r="H206" s="182"/>
      <c r="I206" s="182"/>
    </row>
    <row r="207" spans="1:9">
      <c r="A207" s="178" t="s">
        <v>441</v>
      </c>
      <c r="B207" s="178">
        <v>180314</v>
      </c>
      <c r="C207" s="178"/>
      <c r="D207" s="178" t="s">
        <v>870</v>
      </c>
      <c r="E207" s="178" t="s">
        <v>871</v>
      </c>
      <c r="F207" s="179">
        <v>2605116934</v>
      </c>
      <c r="G207" s="178" t="s">
        <v>872</v>
      </c>
      <c r="H207" s="178"/>
      <c r="I207" s="178"/>
    </row>
    <row r="208" spans="1:9">
      <c r="A208" s="178" t="s">
        <v>441</v>
      </c>
      <c r="B208" s="178">
        <v>180314</v>
      </c>
      <c r="C208" s="178"/>
      <c r="D208" s="178" t="s">
        <v>873</v>
      </c>
      <c r="E208" s="178" t="s">
        <v>871</v>
      </c>
      <c r="F208" s="4">
        <v>2605125477</v>
      </c>
      <c r="G208" s="178" t="s">
        <v>872</v>
      </c>
      <c r="H208" s="178"/>
      <c r="I208" s="178"/>
    </row>
    <row r="209" spans="1:9" s="206" customFormat="1">
      <c r="A209" s="182" t="s">
        <v>441</v>
      </c>
      <c r="B209" s="182">
        <v>180314</v>
      </c>
      <c r="C209" s="182"/>
      <c r="D209" s="182" t="s">
        <v>870</v>
      </c>
      <c r="E209" s="182" t="s">
        <v>859</v>
      </c>
      <c r="F209" s="4" t="s">
        <v>948</v>
      </c>
      <c r="G209" s="182" t="s">
        <v>872</v>
      </c>
      <c r="H209" s="182"/>
      <c r="I209" s="182"/>
    </row>
    <row r="210" spans="1:9">
      <c r="A210" s="178" t="s">
        <v>448</v>
      </c>
      <c r="B210" s="178">
        <v>180318</v>
      </c>
      <c r="C210" s="178"/>
      <c r="D210" s="178" t="s">
        <v>870</v>
      </c>
      <c r="E210" s="178" t="s">
        <v>871</v>
      </c>
      <c r="F210" s="179">
        <v>2605117104</v>
      </c>
      <c r="G210" s="178" t="s">
        <v>872</v>
      </c>
      <c r="H210" s="178"/>
      <c r="I210" s="178"/>
    </row>
    <row r="211" spans="1:9">
      <c r="A211" s="178" t="s">
        <v>448</v>
      </c>
      <c r="B211" s="178">
        <v>180318</v>
      </c>
      <c r="C211" s="178"/>
      <c r="D211" s="178" t="s">
        <v>873</v>
      </c>
      <c r="E211" s="178" t="s">
        <v>871</v>
      </c>
      <c r="F211" s="183">
        <v>2605118333</v>
      </c>
      <c r="G211" s="178" t="s">
        <v>872</v>
      </c>
      <c r="H211" s="178"/>
      <c r="I211" s="178"/>
    </row>
    <row r="212" spans="1:9" s="206" customFormat="1">
      <c r="A212" s="182" t="s">
        <v>448</v>
      </c>
      <c r="B212" s="182">
        <v>180318</v>
      </c>
      <c r="C212" s="182"/>
      <c r="D212" s="182" t="s">
        <v>870</v>
      </c>
      <c r="E212" s="182" t="s">
        <v>859</v>
      </c>
      <c r="F212" s="4" t="s">
        <v>949</v>
      </c>
      <c r="G212" s="182" t="s">
        <v>872</v>
      </c>
      <c r="H212" s="182"/>
      <c r="I212" s="182"/>
    </row>
    <row r="213" spans="1:9">
      <c r="A213" s="178" t="s">
        <v>454</v>
      </c>
      <c r="B213" s="178">
        <v>180319</v>
      </c>
      <c r="C213" s="178"/>
      <c r="D213" s="178" t="s">
        <v>870</v>
      </c>
      <c r="E213" s="178" t="s">
        <v>871</v>
      </c>
      <c r="F213" s="179">
        <v>2605119861</v>
      </c>
      <c r="G213" s="178" t="s">
        <v>872</v>
      </c>
      <c r="H213" s="178"/>
      <c r="I213" s="178"/>
    </row>
    <row r="214" spans="1:9">
      <c r="A214" s="178" t="s">
        <v>454</v>
      </c>
      <c r="B214" s="178">
        <v>180319</v>
      </c>
      <c r="C214" s="178"/>
      <c r="D214" s="178" t="s">
        <v>873</v>
      </c>
      <c r="E214" s="178" t="s">
        <v>871</v>
      </c>
      <c r="F214" s="183">
        <v>2605120421</v>
      </c>
      <c r="G214" s="178" t="s">
        <v>872</v>
      </c>
      <c r="H214" s="178"/>
      <c r="I214" s="178"/>
    </row>
    <row r="215" spans="1:9">
      <c r="A215" s="182" t="s">
        <v>454</v>
      </c>
      <c r="B215" s="182">
        <v>180319</v>
      </c>
      <c r="C215" s="182"/>
      <c r="D215" s="182" t="s">
        <v>870</v>
      </c>
      <c r="E215" s="182" t="s">
        <v>859</v>
      </c>
      <c r="F215" s="4" t="s">
        <v>950</v>
      </c>
      <c r="G215" s="182" t="s">
        <v>872</v>
      </c>
      <c r="H215" s="182"/>
      <c r="I215" s="182"/>
    </row>
    <row r="216" spans="1:9" s="201" customFormat="1">
      <c r="A216" s="178" t="s">
        <v>460</v>
      </c>
      <c r="B216" s="178">
        <v>180320</v>
      </c>
      <c r="C216" s="178"/>
      <c r="D216" s="178" t="s">
        <v>870</v>
      </c>
      <c r="E216" s="178" t="s">
        <v>871</v>
      </c>
      <c r="F216" s="179">
        <v>2605118527</v>
      </c>
      <c r="G216" s="178" t="s">
        <v>872</v>
      </c>
      <c r="H216" s="178"/>
      <c r="I216" s="178"/>
    </row>
    <row r="217" spans="1:9">
      <c r="A217" s="178" t="s">
        <v>460</v>
      </c>
      <c r="B217" s="178">
        <v>180320</v>
      </c>
      <c r="C217" s="178"/>
      <c r="D217" s="178" t="s">
        <v>873</v>
      </c>
      <c r="E217" s="178" t="s">
        <v>871</v>
      </c>
      <c r="F217" s="183">
        <v>2605120479</v>
      </c>
      <c r="G217" s="178" t="s">
        <v>872</v>
      </c>
      <c r="H217" s="178"/>
      <c r="I217" s="178"/>
    </row>
    <row r="218" spans="1:9" s="206" customFormat="1">
      <c r="A218" s="182" t="s">
        <v>460</v>
      </c>
      <c r="B218" s="182">
        <v>180320</v>
      </c>
      <c r="C218" s="182"/>
      <c r="D218" s="182" t="s">
        <v>870</v>
      </c>
      <c r="E218" s="182" t="s">
        <v>859</v>
      </c>
      <c r="F218" s="4" t="s">
        <v>951</v>
      </c>
      <c r="G218" s="182" t="s">
        <v>872</v>
      </c>
      <c r="H218" s="182"/>
      <c r="I218" s="182"/>
    </row>
    <row r="219" spans="1:9">
      <c r="A219" s="178" t="s">
        <v>466</v>
      </c>
      <c r="B219" s="178">
        <v>180328</v>
      </c>
      <c r="C219" s="178"/>
      <c r="D219" s="178" t="s">
        <v>870</v>
      </c>
      <c r="E219" s="178" t="s">
        <v>871</v>
      </c>
      <c r="F219" s="179">
        <v>2605121781</v>
      </c>
      <c r="G219" s="178" t="s">
        <v>872</v>
      </c>
      <c r="H219" s="178"/>
      <c r="I219" s="178"/>
    </row>
    <row r="220" spans="1:9">
      <c r="A220" s="178" t="s">
        <v>466</v>
      </c>
      <c r="B220" s="178">
        <v>180328</v>
      </c>
      <c r="C220" s="178"/>
      <c r="D220" s="178" t="s">
        <v>873</v>
      </c>
      <c r="E220" s="178" t="s">
        <v>871</v>
      </c>
      <c r="F220" s="4">
        <v>2605125611</v>
      </c>
      <c r="G220" s="178" t="s">
        <v>872</v>
      </c>
      <c r="H220" s="178"/>
      <c r="I220" s="178"/>
    </row>
    <row r="221" spans="1:9" s="206" customFormat="1">
      <c r="A221" s="182" t="s">
        <v>466</v>
      </c>
      <c r="B221" s="182">
        <v>180328</v>
      </c>
      <c r="C221" s="182"/>
      <c r="D221" s="182" t="s">
        <v>870</v>
      </c>
      <c r="E221" s="182" t="s">
        <v>859</v>
      </c>
      <c r="F221" s="4" t="s">
        <v>952</v>
      </c>
      <c r="G221" s="182" t="s">
        <v>872</v>
      </c>
      <c r="H221" s="182"/>
      <c r="I221" s="182"/>
    </row>
    <row r="222" spans="1:9">
      <c r="A222" s="178" t="s">
        <v>473</v>
      </c>
      <c r="B222" s="178">
        <v>180329</v>
      </c>
      <c r="C222" s="178"/>
      <c r="D222" s="178" t="s">
        <v>870</v>
      </c>
      <c r="E222" s="178" t="s">
        <v>871</v>
      </c>
      <c r="F222" s="179">
        <v>2605118861</v>
      </c>
      <c r="G222" s="178" t="s">
        <v>872</v>
      </c>
      <c r="H222" s="178"/>
      <c r="I222" s="178"/>
    </row>
    <row r="223" spans="1:9">
      <c r="A223" s="178" t="s">
        <v>473</v>
      </c>
      <c r="B223" s="178">
        <v>180329</v>
      </c>
      <c r="C223" s="178"/>
      <c r="D223" s="178" t="s">
        <v>873</v>
      </c>
      <c r="E223" s="178" t="s">
        <v>871</v>
      </c>
      <c r="F223" s="4">
        <v>2605120536</v>
      </c>
      <c r="G223" s="178" t="s">
        <v>872</v>
      </c>
      <c r="H223" s="178"/>
      <c r="I223" s="178"/>
    </row>
    <row r="224" spans="1:9" s="206" customFormat="1">
      <c r="A224" s="182" t="s">
        <v>473</v>
      </c>
      <c r="B224" s="182">
        <v>180329</v>
      </c>
      <c r="C224" s="182"/>
      <c r="D224" s="182" t="s">
        <v>870</v>
      </c>
      <c r="E224" s="182" t="s">
        <v>859</v>
      </c>
      <c r="F224" s="4" t="s">
        <v>953</v>
      </c>
      <c r="G224" s="182" t="s">
        <v>872</v>
      </c>
      <c r="H224" s="182"/>
      <c r="I224" s="182"/>
    </row>
    <row r="225" spans="1:9">
      <c r="A225" s="178" t="s">
        <v>479</v>
      </c>
      <c r="B225" s="178">
        <v>180331</v>
      </c>
      <c r="C225" s="178"/>
      <c r="D225" s="178" t="s">
        <v>870</v>
      </c>
      <c r="E225" s="178" t="s">
        <v>871</v>
      </c>
      <c r="F225" s="179">
        <v>2605119244</v>
      </c>
      <c r="G225" s="178" t="s">
        <v>872</v>
      </c>
      <c r="H225" s="178"/>
      <c r="I225" s="178"/>
    </row>
    <row r="226" spans="1:9">
      <c r="A226" s="178" t="s">
        <v>479</v>
      </c>
      <c r="B226" s="178">
        <v>180331</v>
      </c>
      <c r="C226" s="178"/>
      <c r="D226" s="178" t="s">
        <v>873</v>
      </c>
      <c r="E226" s="178" t="s">
        <v>871</v>
      </c>
      <c r="F226" s="4">
        <v>2605120402</v>
      </c>
      <c r="G226" s="178" t="s">
        <v>872</v>
      </c>
      <c r="H226" s="178"/>
      <c r="I226" s="178"/>
    </row>
    <row r="227" spans="1:9" s="206" customFormat="1">
      <c r="A227" s="182" t="s">
        <v>479</v>
      </c>
      <c r="B227" s="182">
        <v>180331</v>
      </c>
      <c r="C227" s="182"/>
      <c r="D227" s="182" t="s">
        <v>870</v>
      </c>
      <c r="E227" s="182" t="s">
        <v>859</v>
      </c>
      <c r="F227" s="4" t="s">
        <v>954</v>
      </c>
      <c r="G227" s="182" t="s">
        <v>872</v>
      </c>
      <c r="H227" s="182"/>
      <c r="I227" s="182"/>
    </row>
    <row r="228" spans="1:9">
      <c r="A228" s="178" t="s">
        <v>489</v>
      </c>
      <c r="B228" s="178">
        <v>180332</v>
      </c>
      <c r="C228" s="178"/>
      <c r="D228" s="178" t="s">
        <v>870</v>
      </c>
      <c r="E228" s="178" t="s">
        <v>871</v>
      </c>
      <c r="F228" s="179">
        <v>2605119955</v>
      </c>
      <c r="G228" s="178" t="s">
        <v>872</v>
      </c>
      <c r="H228" s="178"/>
      <c r="I228" s="178"/>
    </row>
    <row r="229" spans="1:9">
      <c r="A229" s="178" t="s">
        <v>489</v>
      </c>
      <c r="B229" s="178">
        <v>180332</v>
      </c>
      <c r="C229" s="178"/>
      <c r="D229" s="178" t="s">
        <v>873</v>
      </c>
      <c r="E229" s="178" t="s">
        <v>871</v>
      </c>
      <c r="F229" s="195">
        <v>2605121038</v>
      </c>
      <c r="G229" s="178" t="s">
        <v>872</v>
      </c>
      <c r="H229" s="178"/>
      <c r="I229" s="178"/>
    </row>
    <row r="230" spans="1:9" s="206" customFormat="1">
      <c r="A230" s="182" t="s">
        <v>489</v>
      </c>
      <c r="B230" s="182">
        <v>180332</v>
      </c>
      <c r="C230" s="182"/>
      <c r="D230" s="182" t="s">
        <v>870</v>
      </c>
      <c r="E230" s="182" t="s">
        <v>859</v>
      </c>
      <c r="F230" s="4" t="s">
        <v>955</v>
      </c>
      <c r="G230" s="182" t="s">
        <v>872</v>
      </c>
      <c r="H230" s="182"/>
      <c r="I230" s="182"/>
    </row>
    <row r="231" spans="1:9">
      <c r="A231" s="178" t="s">
        <v>494</v>
      </c>
      <c r="B231" s="178">
        <v>180333</v>
      </c>
      <c r="C231" s="178"/>
      <c r="D231" s="178" t="s">
        <v>870</v>
      </c>
      <c r="E231" s="178" t="s">
        <v>871</v>
      </c>
      <c r="F231" s="179">
        <v>2605120001</v>
      </c>
      <c r="G231" s="178" t="s">
        <v>872</v>
      </c>
      <c r="H231" s="178"/>
      <c r="I231" s="178"/>
    </row>
    <row r="232" spans="1:9">
      <c r="A232" s="178" t="s">
        <v>494</v>
      </c>
      <c r="B232" s="178">
        <v>180333</v>
      </c>
      <c r="C232" s="178"/>
      <c r="D232" s="178" t="s">
        <v>873</v>
      </c>
      <c r="E232" s="178" t="s">
        <v>871</v>
      </c>
      <c r="F232" s="218">
        <v>2605121013</v>
      </c>
      <c r="G232" s="178" t="s">
        <v>872</v>
      </c>
      <c r="H232" s="178"/>
      <c r="I232" s="178"/>
    </row>
    <row r="233" spans="1:9" s="206" customFormat="1">
      <c r="A233" s="182" t="s">
        <v>494</v>
      </c>
      <c r="B233" s="182">
        <v>180333</v>
      </c>
      <c r="C233" s="182"/>
      <c r="D233" s="182" t="s">
        <v>956</v>
      </c>
      <c r="E233" s="182" t="s">
        <v>859</v>
      </c>
      <c r="F233" s="4" t="s">
        <v>955</v>
      </c>
      <c r="G233" s="182" t="s">
        <v>872</v>
      </c>
      <c r="H233" s="182"/>
      <c r="I233" s="182"/>
    </row>
    <row r="234" spans="1:9">
      <c r="A234" s="178" t="s">
        <v>496</v>
      </c>
      <c r="B234" s="178">
        <v>180334</v>
      </c>
      <c r="C234" s="178"/>
      <c r="D234" s="178" t="s">
        <v>870</v>
      </c>
      <c r="E234" s="178" t="s">
        <v>871</v>
      </c>
      <c r="F234" s="179">
        <v>2605118942</v>
      </c>
      <c r="G234" s="178" t="s">
        <v>872</v>
      </c>
      <c r="H234" s="178"/>
      <c r="I234" s="178"/>
    </row>
    <row r="235" spans="1:9">
      <c r="A235" s="178" t="s">
        <v>496</v>
      </c>
      <c r="B235" s="178">
        <v>180334</v>
      </c>
      <c r="C235" s="178"/>
      <c r="D235" s="178" t="s">
        <v>873</v>
      </c>
      <c r="E235" s="178" t="s">
        <v>871</v>
      </c>
      <c r="F235" s="4">
        <v>2605120305</v>
      </c>
      <c r="G235" s="178" t="s">
        <v>872</v>
      </c>
      <c r="H235" s="178"/>
      <c r="I235" s="178"/>
    </row>
    <row r="236" spans="1:9" s="206" customFormat="1">
      <c r="A236" s="182" t="s">
        <v>496</v>
      </c>
      <c r="B236" s="182">
        <v>180334</v>
      </c>
      <c r="C236" s="182"/>
      <c r="D236" s="182" t="s">
        <v>870</v>
      </c>
      <c r="E236" s="182" t="s">
        <v>859</v>
      </c>
      <c r="F236" s="4" t="s">
        <v>957</v>
      </c>
      <c r="G236" s="182" t="s">
        <v>872</v>
      </c>
      <c r="H236" s="182"/>
      <c r="I236" s="182"/>
    </row>
    <row r="237" spans="1:9">
      <c r="A237" s="178" t="s">
        <v>502</v>
      </c>
      <c r="B237" s="178">
        <v>180338</v>
      </c>
      <c r="C237" s="178"/>
      <c r="D237" s="178" t="s">
        <v>870</v>
      </c>
      <c r="E237" s="178" t="s">
        <v>871</v>
      </c>
      <c r="F237" s="179">
        <v>2605118967</v>
      </c>
      <c r="G237" s="178" t="s">
        <v>872</v>
      </c>
      <c r="H237" s="178"/>
      <c r="I237" s="178"/>
    </row>
    <row r="238" spans="1:9">
      <c r="A238" s="178" t="s">
        <v>502</v>
      </c>
      <c r="B238" s="178">
        <v>180338</v>
      </c>
      <c r="C238" s="178"/>
      <c r="D238" s="178" t="s">
        <v>873</v>
      </c>
      <c r="E238" s="178" t="s">
        <v>871</v>
      </c>
      <c r="F238" s="4">
        <v>2605120420</v>
      </c>
      <c r="G238" s="178" t="s">
        <v>872</v>
      </c>
      <c r="H238" s="178"/>
      <c r="I238" s="178"/>
    </row>
    <row r="239" spans="1:9" s="206" customFormat="1">
      <c r="A239" s="182" t="s">
        <v>502</v>
      </c>
      <c r="B239" s="182">
        <v>180338</v>
      </c>
      <c r="C239" s="182"/>
      <c r="D239" s="182" t="s">
        <v>870</v>
      </c>
      <c r="E239" s="182" t="s">
        <v>859</v>
      </c>
      <c r="F239" s="4" t="s">
        <v>958</v>
      </c>
      <c r="G239" s="182" t="s">
        <v>872</v>
      </c>
      <c r="H239" s="182"/>
      <c r="I239" s="182"/>
    </row>
    <row r="240" spans="1:9">
      <c r="A240" s="178" t="s">
        <v>508</v>
      </c>
      <c r="B240" s="178">
        <v>180339</v>
      </c>
      <c r="C240" s="178"/>
      <c r="D240" s="178" t="s">
        <v>870</v>
      </c>
      <c r="E240" s="178" t="s">
        <v>871</v>
      </c>
      <c r="F240" s="179">
        <v>2605120555</v>
      </c>
      <c r="G240" s="178" t="s">
        <v>872</v>
      </c>
      <c r="H240" s="178"/>
      <c r="I240" s="178"/>
    </row>
    <row r="241" spans="1:9">
      <c r="A241" s="178" t="s">
        <v>508</v>
      </c>
      <c r="B241" s="178">
        <v>180339</v>
      </c>
      <c r="C241" s="178"/>
      <c r="D241" s="178" t="s">
        <v>873</v>
      </c>
      <c r="E241" s="178" t="s">
        <v>871</v>
      </c>
      <c r="F241" s="183">
        <v>2605122751</v>
      </c>
      <c r="G241" s="178" t="s">
        <v>872</v>
      </c>
      <c r="H241" s="178"/>
      <c r="I241" s="178"/>
    </row>
    <row r="242" spans="1:9" s="206" customFormat="1">
      <c r="A242" s="182" t="s">
        <v>508</v>
      </c>
      <c r="B242" s="182">
        <v>180339</v>
      </c>
      <c r="C242" s="182"/>
      <c r="D242" s="182" t="s">
        <v>870</v>
      </c>
      <c r="E242" s="182" t="s">
        <v>859</v>
      </c>
      <c r="F242" s="4" t="s">
        <v>959</v>
      </c>
      <c r="G242" s="182" t="s">
        <v>872</v>
      </c>
      <c r="H242" s="182"/>
      <c r="I242" s="182"/>
    </row>
    <row r="243" spans="1:9">
      <c r="A243" s="178" t="s">
        <v>514</v>
      </c>
      <c r="B243" s="178">
        <v>180340</v>
      </c>
      <c r="C243" s="178"/>
      <c r="D243" s="178" t="s">
        <v>870</v>
      </c>
      <c r="E243" s="178" t="s">
        <v>871</v>
      </c>
      <c r="F243" s="179">
        <v>2605120568</v>
      </c>
      <c r="G243" s="178" t="s">
        <v>872</v>
      </c>
      <c r="H243" s="178"/>
      <c r="I243" s="178"/>
    </row>
    <row r="244" spans="1:9">
      <c r="A244" s="178" t="s">
        <v>514</v>
      </c>
      <c r="B244" s="178">
        <v>180340</v>
      </c>
      <c r="C244" s="178"/>
      <c r="D244" s="178" t="s">
        <v>873</v>
      </c>
      <c r="E244" s="178" t="s">
        <v>871</v>
      </c>
      <c r="F244" s="183">
        <v>2605122896</v>
      </c>
      <c r="G244" s="178" t="s">
        <v>872</v>
      </c>
      <c r="H244" s="178"/>
      <c r="I244" s="178"/>
    </row>
    <row r="245" spans="1:9" s="206" customFormat="1">
      <c r="A245" s="182" t="s">
        <v>514</v>
      </c>
      <c r="B245" s="182">
        <v>180340</v>
      </c>
      <c r="C245" s="182"/>
      <c r="D245" s="182" t="s">
        <v>870</v>
      </c>
      <c r="E245" s="182" t="s">
        <v>859</v>
      </c>
      <c r="F245" s="4" t="s">
        <v>960</v>
      </c>
      <c r="G245" s="182" t="s">
        <v>872</v>
      </c>
      <c r="H245" s="182"/>
      <c r="I245" s="182"/>
    </row>
    <row r="246" spans="1:9">
      <c r="A246" s="178" t="s">
        <v>520</v>
      </c>
      <c r="B246" s="178">
        <v>180341</v>
      </c>
      <c r="C246" s="178"/>
      <c r="D246" s="178" t="s">
        <v>870</v>
      </c>
      <c r="E246" s="178" t="s">
        <v>871</v>
      </c>
      <c r="F246" s="179">
        <v>2605120044</v>
      </c>
      <c r="G246" s="178" t="s">
        <v>872</v>
      </c>
      <c r="H246" s="178"/>
      <c r="I246" s="178"/>
    </row>
    <row r="247" spans="1:9">
      <c r="A247" s="178" t="s">
        <v>520</v>
      </c>
      <c r="B247" s="178">
        <v>180341</v>
      </c>
      <c r="C247" s="178"/>
      <c r="D247" s="178" t="s">
        <v>873</v>
      </c>
      <c r="E247" s="178" t="s">
        <v>871</v>
      </c>
      <c r="F247" s="184">
        <v>2605122843</v>
      </c>
      <c r="G247" s="178" t="s">
        <v>872</v>
      </c>
      <c r="H247" s="178"/>
      <c r="I247" s="178"/>
    </row>
    <row r="248" spans="1:9" s="206" customFormat="1">
      <c r="A248" s="182" t="s">
        <v>514</v>
      </c>
      <c r="B248" s="182">
        <v>180341</v>
      </c>
      <c r="C248" s="182"/>
      <c r="D248" s="182" t="s">
        <v>870</v>
      </c>
      <c r="E248" s="182" t="s">
        <v>859</v>
      </c>
      <c r="F248" s="4" t="s">
        <v>960</v>
      </c>
      <c r="G248" s="182" t="s">
        <v>872</v>
      </c>
      <c r="H248" s="182"/>
      <c r="I248" s="182"/>
    </row>
    <row r="249" spans="1:9">
      <c r="A249" s="178" t="s">
        <v>523</v>
      </c>
      <c r="B249" s="178">
        <v>180356</v>
      </c>
      <c r="C249" s="178"/>
      <c r="D249" s="178" t="s">
        <v>870</v>
      </c>
      <c r="E249" s="178" t="s">
        <v>871</v>
      </c>
      <c r="F249" s="179">
        <v>2605120769</v>
      </c>
      <c r="G249" s="178" t="s">
        <v>872</v>
      </c>
      <c r="H249" s="178"/>
      <c r="I249" s="178"/>
    </row>
    <row r="250" spans="1:9">
      <c r="A250" s="178" t="s">
        <v>523</v>
      </c>
      <c r="B250" s="178">
        <v>180356</v>
      </c>
      <c r="C250" s="178"/>
      <c r="D250" s="178" t="s">
        <v>873</v>
      </c>
      <c r="E250" s="178" t="s">
        <v>871</v>
      </c>
      <c r="F250" s="4">
        <v>2605122963</v>
      </c>
      <c r="G250" s="178" t="s">
        <v>872</v>
      </c>
      <c r="H250" s="178"/>
      <c r="I250" s="178"/>
    </row>
    <row r="251" spans="1:9" s="206" customFormat="1">
      <c r="A251" s="182" t="s">
        <v>523</v>
      </c>
      <c r="B251" s="182">
        <v>180356</v>
      </c>
      <c r="C251" s="182"/>
      <c r="D251" s="182" t="s">
        <v>870</v>
      </c>
      <c r="E251" s="182" t="s">
        <v>859</v>
      </c>
      <c r="F251" s="4" t="s">
        <v>961</v>
      </c>
      <c r="G251" s="182" t="s">
        <v>872</v>
      </c>
      <c r="H251" s="182"/>
      <c r="I251" s="182"/>
    </row>
    <row r="252" spans="1:9">
      <c r="A252" s="178" t="s">
        <v>530</v>
      </c>
      <c r="B252" s="178">
        <v>180357</v>
      </c>
      <c r="C252" s="178"/>
      <c r="D252" s="178" t="s">
        <v>870</v>
      </c>
      <c r="E252" s="178" t="s">
        <v>871</v>
      </c>
      <c r="F252" s="179">
        <v>2605121478</v>
      </c>
      <c r="G252" s="178" t="s">
        <v>872</v>
      </c>
      <c r="H252" s="178"/>
      <c r="I252" s="178"/>
    </row>
    <row r="253" spans="1:9">
      <c r="A253" s="178" t="s">
        <v>530</v>
      </c>
      <c r="B253" s="178">
        <v>180357</v>
      </c>
      <c r="C253" s="178"/>
      <c r="D253" s="178" t="s">
        <v>873</v>
      </c>
      <c r="E253" s="178" t="s">
        <v>871</v>
      </c>
      <c r="F253" s="4">
        <v>2605122911</v>
      </c>
      <c r="G253" s="178" t="s">
        <v>872</v>
      </c>
      <c r="H253" s="178"/>
      <c r="I253" s="178"/>
    </row>
    <row r="254" spans="1:9" s="206" customFormat="1">
      <c r="A254" s="182" t="s">
        <v>530</v>
      </c>
      <c r="B254" s="182">
        <v>180357</v>
      </c>
      <c r="C254" s="182"/>
      <c r="D254" s="182" t="s">
        <v>870</v>
      </c>
      <c r="E254" s="182" t="s">
        <v>859</v>
      </c>
      <c r="F254" s="4" t="s">
        <v>962</v>
      </c>
      <c r="G254" s="182" t="s">
        <v>872</v>
      </c>
      <c r="H254" s="182"/>
      <c r="I254" s="182"/>
    </row>
    <row r="255" spans="1:9">
      <c r="A255" s="178" t="s">
        <v>536</v>
      </c>
      <c r="B255" s="178">
        <v>180358</v>
      </c>
      <c r="C255" s="178"/>
      <c r="D255" s="178" t="s">
        <v>870</v>
      </c>
      <c r="E255" s="178" t="s">
        <v>871</v>
      </c>
      <c r="F255" s="179">
        <v>2605125296</v>
      </c>
      <c r="G255" s="178" t="s">
        <v>872</v>
      </c>
      <c r="H255" s="178"/>
      <c r="I255" s="178"/>
    </row>
    <row r="256" spans="1:9">
      <c r="A256" s="178" t="s">
        <v>536</v>
      </c>
      <c r="B256" s="178">
        <v>180358</v>
      </c>
      <c r="C256" s="178"/>
      <c r="D256" s="178" t="s">
        <v>873</v>
      </c>
      <c r="E256" s="178" t="s">
        <v>871</v>
      </c>
      <c r="F256" s="183">
        <v>2605127569</v>
      </c>
      <c r="G256" s="178" t="s">
        <v>872</v>
      </c>
      <c r="H256" s="178"/>
      <c r="I256" s="178"/>
    </row>
    <row r="257" spans="1:9" s="206" customFormat="1">
      <c r="A257" s="182" t="s">
        <v>536</v>
      </c>
      <c r="B257" s="182">
        <v>180358</v>
      </c>
      <c r="C257" s="182"/>
      <c r="D257" s="182" t="s">
        <v>870</v>
      </c>
      <c r="E257" s="182" t="s">
        <v>859</v>
      </c>
      <c r="F257" s="4" t="s">
        <v>963</v>
      </c>
      <c r="G257" s="182" t="s">
        <v>872</v>
      </c>
      <c r="H257" s="182"/>
      <c r="I257" s="182"/>
    </row>
    <row r="258" spans="1:9">
      <c r="A258" s="178" t="s">
        <v>542</v>
      </c>
      <c r="B258" s="178">
        <v>180359</v>
      </c>
      <c r="C258" s="178"/>
      <c r="D258" s="178" t="s">
        <v>870</v>
      </c>
      <c r="E258" s="178" t="s">
        <v>871</v>
      </c>
      <c r="F258" s="179">
        <v>2605122382</v>
      </c>
      <c r="G258" s="178" t="s">
        <v>872</v>
      </c>
      <c r="H258" s="178"/>
      <c r="I258" s="178"/>
    </row>
    <row r="259" spans="1:9">
      <c r="A259" s="178" t="s">
        <v>542</v>
      </c>
      <c r="B259" s="178">
        <v>180359</v>
      </c>
      <c r="C259" s="178"/>
      <c r="D259" s="178" t="s">
        <v>873</v>
      </c>
      <c r="E259" s="178" t="s">
        <v>871</v>
      </c>
      <c r="F259" s="183">
        <v>2605125584</v>
      </c>
      <c r="G259" s="178" t="s">
        <v>872</v>
      </c>
      <c r="H259" s="178"/>
      <c r="I259" s="178"/>
    </row>
    <row r="260" spans="1:9" s="206" customFormat="1">
      <c r="A260" s="182" t="s">
        <v>542</v>
      </c>
      <c r="B260" s="182">
        <v>180359</v>
      </c>
      <c r="C260" s="182"/>
      <c r="D260" s="182" t="s">
        <v>870</v>
      </c>
      <c r="E260" s="182" t="s">
        <v>859</v>
      </c>
      <c r="F260" s="4" t="s">
        <v>964</v>
      </c>
      <c r="G260" s="182" t="s">
        <v>872</v>
      </c>
      <c r="H260" s="182"/>
      <c r="I260" s="182"/>
    </row>
    <row r="261" spans="1:9">
      <c r="A261" s="178" t="s">
        <v>548</v>
      </c>
      <c r="B261" s="178">
        <v>180360</v>
      </c>
      <c r="C261" s="178"/>
      <c r="D261" s="178" t="s">
        <v>870</v>
      </c>
      <c r="E261" s="178" t="s">
        <v>871</v>
      </c>
      <c r="F261" s="179">
        <v>2605122451</v>
      </c>
      <c r="G261" s="178" t="s">
        <v>872</v>
      </c>
      <c r="H261" s="178"/>
      <c r="I261" s="178"/>
    </row>
    <row r="262" spans="1:9">
      <c r="A262" s="178" t="s">
        <v>548</v>
      </c>
      <c r="B262" s="178">
        <v>180360</v>
      </c>
      <c r="C262" s="178"/>
      <c r="D262" s="178" t="s">
        <v>873</v>
      </c>
      <c r="E262" s="178" t="s">
        <v>871</v>
      </c>
      <c r="F262" s="183">
        <v>2605125662</v>
      </c>
      <c r="G262" s="178" t="s">
        <v>872</v>
      </c>
      <c r="H262" s="178"/>
      <c r="I262" s="178"/>
    </row>
    <row r="263" spans="1:9" s="206" customFormat="1">
      <c r="A263" s="182" t="s">
        <v>548</v>
      </c>
      <c r="B263" s="182">
        <v>180360</v>
      </c>
      <c r="C263" s="182"/>
      <c r="D263" s="182" t="s">
        <v>870</v>
      </c>
      <c r="E263" s="182" t="s">
        <v>859</v>
      </c>
      <c r="F263" s="4" t="s">
        <v>965</v>
      </c>
      <c r="G263" s="182" t="s">
        <v>872</v>
      </c>
      <c r="H263" s="182"/>
      <c r="I263" s="182"/>
    </row>
    <row r="264" spans="1:9">
      <c r="A264" s="178" t="s">
        <v>554</v>
      </c>
      <c r="B264" s="178">
        <v>180361</v>
      </c>
      <c r="C264" s="178"/>
      <c r="D264" s="178" t="s">
        <v>870</v>
      </c>
      <c r="E264" s="178" t="s">
        <v>871</v>
      </c>
      <c r="F264" s="179">
        <v>2605125301</v>
      </c>
      <c r="G264" s="178" t="s">
        <v>872</v>
      </c>
      <c r="H264" s="178"/>
      <c r="I264" s="178"/>
    </row>
    <row r="265" spans="1:9">
      <c r="A265" s="178" t="s">
        <v>554</v>
      </c>
      <c r="B265" s="178">
        <v>180361</v>
      </c>
      <c r="C265" s="178"/>
      <c r="D265" s="178" t="s">
        <v>873</v>
      </c>
      <c r="E265" s="178" t="s">
        <v>871</v>
      </c>
      <c r="F265" s="183">
        <v>2605127571</v>
      </c>
      <c r="G265" s="178" t="s">
        <v>872</v>
      </c>
      <c r="H265" s="178"/>
      <c r="I265" s="178"/>
    </row>
    <row r="266" spans="1:9" s="206" customFormat="1">
      <c r="A266" s="182" t="s">
        <v>554</v>
      </c>
      <c r="B266" s="182">
        <v>180361</v>
      </c>
      <c r="C266" s="182"/>
      <c r="D266" s="182" t="s">
        <v>870</v>
      </c>
      <c r="E266" s="182" t="s">
        <v>859</v>
      </c>
      <c r="F266" s="4" t="s">
        <v>966</v>
      </c>
      <c r="G266" s="182" t="s">
        <v>872</v>
      </c>
      <c r="H266" s="182"/>
      <c r="I266" s="182"/>
    </row>
    <row r="267" spans="1:9">
      <c r="A267" s="178" t="s">
        <v>560</v>
      </c>
      <c r="B267" s="178">
        <v>180365</v>
      </c>
      <c r="C267" s="178"/>
      <c r="D267" s="178" t="s">
        <v>870</v>
      </c>
      <c r="E267" s="178" t="s">
        <v>871</v>
      </c>
      <c r="F267" s="179">
        <v>2605123608</v>
      </c>
      <c r="G267" s="178" t="s">
        <v>872</v>
      </c>
      <c r="H267" s="178"/>
      <c r="I267" s="178"/>
    </row>
    <row r="268" spans="1:9">
      <c r="A268" s="178" t="s">
        <v>560</v>
      </c>
      <c r="B268" s="178">
        <v>180365</v>
      </c>
      <c r="C268" s="178"/>
      <c r="D268" s="178" t="s">
        <v>873</v>
      </c>
      <c r="E268" s="178" t="s">
        <v>871</v>
      </c>
      <c r="F268" s="183">
        <v>2605125446</v>
      </c>
      <c r="G268" s="178" t="s">
        <v>872</v>
      </c>
      <c r="H268" s="178"/>
      <c r="I268" s="178"/>
    </row>
    <row r="269" spans="1:9" s="206" customFormat="1">
      <c r="A269" s="182" t="s">
        <v>560</v>
      </c>
      <c r="B269" s="182">
        <v>180365</v>
      </c>
      <c r="C269" s="182"/>
      <c r="D269" s="182" t="s">
        <v>870</v>
      </c>
      <c r="E269" s="182" t="s">
        <v>859</v>
      </c>
      <c r="F269" s="4" t="s">
        <v>967</v>
      </c>
      <c r="G269" s="182" t="s">
        <v>872</v>
      </c>
      <c r="H269" s="182"/>
      <c r="I269" s="182"/>
    </row>
    <row r="270" spans="1:9">
      <c r="A270" s="178" t="s">
        <v>566</v>
      </c>
      <c r="B270" s="178">
        <v>180366</v>
      </c>
      <c r="C270" s="178"/>
      <c r="D270" s="178" t="s">
        <v>870</v>
      </c>
      <c r="E270" s="178" t="s">
        <v>871</v>
      </c>
      <c r="F270" s="179">
        <v>2605121569</v>
      </c>
      <c r="G270" s="178" t="s">
        <v>872</v>
      </c>
      <c r="H270" s="178"/>
      <c r="I270" s="178"/>
    </row>
    <row r="271" spans="1:9">
      <c r="A271" s="178" t="s">
        <v>566</v>
      </c>
      <c r="B271" s="178">
        <v>180366</v>
      </c>
      <c r="C271" s="178"/>
      <c r="D271" s="178" t="s">
        <v>873</v>
      </c>
      <c r="E271" s="178" t="s">
        <v>871</v>
      </c>
      <c r="F271" s="183">
        <v>2605122923</v>
      </c>
      <c r="G271" s="178" t="s">
        <v>872</v>
      </c>
      <c r="H271" s="178"/>
      <c r="I271" s="178"/>
    </row>
    <row r="272" spans="1:9" s="206" customFormat="1">
      <c r="A272" s="182" t="s">
        <v>566</v>
      </c>
      <c r="B272" s="182">
        <v>180366</v>
      </c>
      <c r="C272" s="182"/>
      <c r="D272" s="182" t="s">
        <v>870</v>
      </c>
      <c r="E272" s="182" t="s">
        <v>859</v>
      </c>
      <c r="F272" s="4" t="s">
        <v>968</v>
      </c>
      <c r="G272" s="182" t="s">
        <v>872</v>
      </c>
      <c r="H272" s="182"/>
      <c r="I272" s="182"/>
    </row>
    <row r="273" spans="1:9">
      <c r="A273" s="178" t="s">
        <v>572</v>
      </c>
      <c r="B273" s="178">
        <v>180369</v>
      </c>
      <c r="C273" s="178"/>
      <c r="D273" s="178" t="s">
        <v>870</v>
      </c>
      <c r="E273" s="178" t="s">
        <v>871</v>
      </c>
      <c r="F273" s="179">
        <v>2605123199</v>
      </c>
      <c r="G273" s="178" t="s">
        <v>872</v>
      </c>
      <c r="H273" s="178"/>
      <c r="I273" s="178"/>
    </row>
    <row r="274" spans="1:9">
      <c r="A274" s="178" t="s">
        <v>572</v>
      </c>
      <c r="B274" s="178">
        <v>180369</v>
      </c>
      <c r="C274" s="178"/>
      <c r="D274" s="178" t="s">
        <v>873</v>
      </c>
      <c r="E274" s="178" t="s">
        <v>871</v>
      </c>
      <c r="F274" s="183">
        <v>2605125529</v>
      </c>
      <c r="G274" s="178" t="s">
        <v>872</v>
      </c>
      <c r="H274" s="178"/>
      <c r="I274" s="178"/>
    </row>
    <row r="275" spans="1:9" s="206" customFormat="1">
      <c r="A275" s="182" t="s">
        <v>572</v>
      </c>
      <c r="B275" s="182">
        <v>180369</v>
      </c>
      <c r="C275" s="182"/>
      <c r="D275" s="182" t="s">
        <v>870</v>
      </c>
      <c r="E275" s="182" t="s">
        <v>859</v>
      </c>
      <c r="F275" s="4" t="s">
        <v>969</v>
      </c>
      <c r="G275" s="182" t="s">
        <v>872</v>
      </c>
      <c r="H275" s="182"/>
      <c r="I275" s="182"/>
    </row>
    <row r="276" spans="1:9">
      <c r="A276" s="178" t="s">
        <v>577</v>
      </c>
      <c r="B276" s="178">
        <v>180370</v>
      </c>
      <c r="C276" s="178"/>
      <c r="D276" s="178" t="s">
        <v>870</v>
      </c>
      <c r="E276" s="178" t="s">
        <v>871</v>
      </c>
      <c r="F276" s="179">
        <v>2605125312</v>
      </c>
      <c r="G276" s="178" t="s">
        <v>872</v>
      </c>
      <c r="H276" s="178"/>
      <c r="I276" s="178"/>
    </row>
    <row r="277" spans="1:9">
      <c r="A277" s="178" t="s">
        <v>577</v>
      </c>
      <c r="B277" s="178">
        <v>180370</v>
      </c>
      <c r="C277" s="178"/>
      <c r="D277" s="178" t="s">
        <v>873</v>
      </c>
      <c r="E277" s="178" t="s">
        <v>871</v>
      </c>
      <c r="F277" s="183">
        <v>2605127573</v>
      </c>
      <c r="G277" s="178" t="s">
        <v>872</v>
      </c>
      <c r="H277" s="178"/>
      <c r="I277" s="178"/>
    </row>
    <row r="278" spans="1:9" s="206" customFormat="1">
      <c r="A278" s="182" t="s">
        <v>577</v>
      </c>
      <c r="B278" s="182">
        <v>180370</v>
      </c>
      <c r="C278" s="182"/>
      <c r="D278" s="182" t="s">
        <v>870</v>
      </c>
      <c r="E278" s="182" t="s">
        <v>859</v>
      </c>
      <c r="F278" s="4" t="s">
        <v>970</v>
      </c>
      <c r="G278" s="182" t="s">
        <v>872</v>
      </c>
      <c r="H278" s="182"/>
      <c r="I278" s="182"/>
    </row>
    <row r="279" spans="1:9">
      <c r="A279" s="178" t="s">
        <v>583</v>
      </c>
      <c r="B279" s="178">
        <v>180385</v>
      </c>
      <c r="C279" s="178"/>
      <c r="D279" s="178" t="s">
        <v>870</v>
      </c>
      <c r="E279" s="178" t="s">
        <v>871</v>
      </c>
      <c r="F279" s="179">
        <v>2605123531</v>
      </c>
      <c r="G279" s="178" t="s">
        <v>872</v>
      </c>
      <c r="H279" s="178"/>
      <c r="I279" s="178"/>
    </row>
    <row r="280" spans="1:9">
      <c r="A280" s="178" t="s">
        <v>583</v>
      </c>
      <c r="B280" s="178">
        <v>180385</v>
      </c>
      <c r="C280" s="178"/>
      <c r="D280" s="178" t="s">
        <v>873</v>
      </c>
      <c r="E280" s="178" t="s">
        <v>871</v>
      </c>
      <c r="F280" s="183">
        <v>2605125490</v>
      </c>
      <c r="G280" s="178" t="s">
        <v>872</v>
      </c>
      <c r="H280" s="178"/>
      <c r="I280" s="178"/>
    </row>
    <row r="281" spans="1:9" s="206" customFormat="1">
      <c r="A281" s="182" t="s">
        <v>583</v>
      </c>
      <c r="B281" s="182">
        <v>180385</v>
      </c>
      <c r="C281" s="182"/>
      <c r="D281" s="182" t="s">
        <v>870</v>
      </c>
      <c r="E281" s="182" t="s">
        <v>859</v>
      </c>
      <c r="F281" s="4" t="s">
        <v>971</v>
      </c>
      <c r="G281" s="182" t="s">
        <v>872</v>
      </c>
      <c r="H281" s="182"/>
      <c r="I281" s="182"/>
    </row>
    <row r="282" spans="1:9">
      <c r="A282" s="178" t="s">
        <v>589</v>
      </c>
      <c r="B282" s="178">
        <v>180400</v>
      </c>
      <c r="C282" s="178"/>
      <c r="D282" s="178" t="s">
        <v>870</v>
      </c>
      <c r="E282" s="178" t="s">
        <v>871</v>
      </c>
      <c r="F282" s="179">
        <v>2605124864</v>
      </c>
      <c r="G282" s="178" t="s">
        <v>872</v>
      </c>
      <c r="H282" s="178"/>
      <c r="I282" s="178"/>
    </row>
    <row r="283" spans="1:9">
      <c r="A283" s="178" t="s">
        <v>589</v>
      </c>
      <c r="B283" s="178">
        <v>180400</v>
      </c>
      <c r="C283" s="178"/>
      <c r="D283" s="178" t="s">
        <v>873</v>
      </c>
      <c r="E283" s="178" t="s">
        <v>871</v>
      </c>
      <c r="F283" s="183">
        <v>2605125499</v>
      </c>
      <c r="G283" s="178" t="s">
        <v>872</v>
      </c>
      <c r="H283" s="178"/>
      <c r="I283" s="178"/>
    </row>
    <row r="284" spans="1:9" s="206" customFormat="1">
      <c r="A284" s="182" t="s">
        <v>589</v>
      </c>
      <c r="B284" s="182">
        <v>180400</v>
      </c>
      <c r="C284" s="182"/>
      <c r="D284" s="182" t="s">
        <v>870</v>
      </c>
      <c r="E284" s="182" t="s">
        <v>859</v>
      </c>
      <c r="F284" s="4" t="s">
        <v>972</v>
      </c>
      <c r="G284" s="182" t="s">
        <v>872</v>
      </c>
      <c r="H284" s="182"/>
      <c r="I284" s="182"/>
    </row>
    <row r="285" spans="1:9">
      <c r="A285" s="178" t="s">
        <v>594</v>
      </c>
      <c r="B285" s="178">
        <v>180401</v>
      </c>
      <c r="C285" s="178"/>
      <c r="D285" s="178" t="s">
        <v>870</v>
      </c>
      <c r="E285" s="178" t="s">
        <v>871</v>
      </c>
      <c r="F285" s="179">
        <v>2605124553</v>
      </c>
      <c r="G285" s="178" t="s">
        <v>872</v>
      </c>
      <c r="H285" s="178"/>
      <c r="I285" s="178"/>
    </row>
    <row r="286" spans="1:9">
      <c r="A286" s="178" t="s">
        <v>594</v>
      </c>
      <c r="B286" s="178">
        <v>180401</v>
      </c>
      <c r="C286" s="178"/>
      <c r="D286" s="178" t="s">
        <v>873</v>
      </c>
      <c r="E286" s="178" t="s">
        <v>871</v>
      </c>
      <c r="F286" s="183">
        <v>2605125424</v>
      </c>
      <c r="G286" s="178" t="s">
        <v>872</v>
      </c>
      <c r="H286" s="178"/>
      <c r="I286" s="178"/>
    </row>
    <row r="287" spans="1:9" s="206" customFormat="1">
      <c r="A287" s="182" t="s">
        <v>594</v>
      </c>
      <c r="B287" s="182">
        <v>180401</v>
      </c>
      <c r="C287" s="182"/>
      <c r="D287" s="182" t="s">
        <v>870</v>
      </c>
      <c r="E287" s="182" t="s">
        <v>859</v>
      </c>
      <c r="F287" s="4" t="s">
        <v>973</v>
      </c>
      <c r="G287" s="182" t="s">
        <v>872</v>
      </c>
      <c r="H287" s="182"/>
      <c r="I287" s="182"/>
    </row>
    <row r="288" spans="1:9">
      <c r="A288" s="178" t="s">
        <v>601</v>
      </c>
      <c r="B288" s="178">
        <v>180402</v>
      </c>
      <c r="C288" s="178"/>
      <c r="D288" s="178" t="s">
        <v>870</v>
      </c>
      <c r="E288" s="178" t="s">
        <v>871</v>
      </c>
      <c r="F288" s="179">
        <v>2605127196</v>
      </c>
      <c r="G288" s="178" t="s">
        <v>872</v>
      </c>
      <c r="H288" s="178"/>
      <c r="I288" s="178"/>
    </row>
    <row r="289" spans="1:9">
      <c r="A289" s="178" t="s">
        <v>601</v>
      </c>
      <c r="B289" s="178">
        <v>180402</v>
      </c>
      <c r="C289" s="178"/>
      <c r="D289" s="178" t="s">
        <v>873</v>
      </c>
      <c r="E289" s="178" t="s">
        <v>871</v>
      </c>
      <c r="F289" s="183">
        <v>2605127579</v>
      </c>
      <c r="G289" s="178" t="s">
        <v>872</v>
      </c>
      <c r="H289" s="178"/>
      <c r="I289" s="178"/>
    </row>
    <row r="290" spans="1:9" s="206" customFormat="1">
      <c r="A290" s="182" t="s">
        <v>601</v>
      </c>
      <c r="B290" s="182">
        <v>180402</v>
      </c>
      <c r="C290" s="182"/>
      <c r="D290" s="182" t="s">
        <v>870</v>
      </c>
      <c r="E290" s="182" t="s">
        <v>859</v>
      </c>
      <c r="F290" s="4" t="s">
        <v>974</v>
      </c>
      <c r="G290" s="182" t="s">
        <v>872</v>
      </c>
      <c r="H290" s="182"/>
      <c r="I290" s="182"/>
    </row>
    <row r="291" spans="1:9">
      <c r="A291" s="178" t="s">
        <v>607</v>
      </c>
      <c r="B291" s="178">
        <v>180403</v>
      </c>
      <c r="C291" s="178"/>
      <c r="D291" s="178" t="s">
        <v>870</v>
      </c>
      <c r="E291" s="178" t="s">
        <v>871</v>
      </c>
      <c r="F291" s="179">
        <v>2605123208</v>
      </c>
      <c r="G291" s="178" t="s">
        <v>872</v>
      </c>
      <c r="H291" s="178"/>
      <c r="I291" s="178"/>
    </row>
    <row r="292" spans="1:9">
      <c r="A292" s="178" t="s">
        <v>607</v>
      </c>
      <c r="B292" s="178">
        <v>180403</v>
      </c>
      <c r="C292" s="178"/>
      <c r="D292" s="178" t="s">
        <v>873</v>
      </c>
      <c r="E292" s="178" t="s">
        <v>871</v>
      </c>
      <c r="F292" s="183">
        <v>2605125489</v>
      </c>
      <c r="G292" s="178" t="s">
        <v>872</v>
      </c>
      <c r="H292" s="178"/>
      <c r="I292" s="178"/>
    </row>
    <row r="293" spans="1:9" s="206" customFormat="1">
      <c r="A293" s="182" t="s">
        <v>607</v>
      </c>
      <c r="B293" s="182">
        <v>180403</v>
      </c>
      <c r="C293" s="182"/>
      <c r="D293" s="182" t="s">
        <v>870</v>
      </c>
      <c r="E293" s="182" t="s">
        <v>859</v>
      </c>
      <c r="F293" s="4" t="s">
        <v>975</v>
      </c>
      <c r="G293" s="182" t="s">
        <v>872</v>
      </c>
      <c r="H293" s="182"/>
      <c r="I293" s="182"/>
    </row>
    <row r="294" spans="1:9">
      <c r="A294" s="178" t="s">
        <v>615</v>
      </c>
      <c r="B294" s="178">
        <v>180405</v>
      </c>
      <c r="C294" s="178"/>
      <c r="D294" s="178" t="s">
        <v>870</v>
      </c>
      <c r="E294" s="178" t="s">
        <v>871</v>
      </c>
      <c r="F294" s="179">
        <v>2605125079</v>
      </c>
      <c r="G294" s="178" t="s">
        <v>872</v>
      </c>
      <c r="H294" s="178"/>
      <c r="I294" s="178"/>
    </row>
    <row r="295" spans="1:9">
      <c r="A295" s="178" t="s">
        <v>615</v>
      </c>
      <c r="B295" s="178">
        <v>180405</v>
      </c>
      <c r="C295" s="178"/>
      <c r="D295" s="178" t="s">
        <v>873</v>
      </c>
      <c r="E295" s="178" t="s">
        <v>871</v>
      </c>
      <c r="F295" s="183">
        <v>2605127592</v>
      </c>
      <c r="G295" s="178" t="s">
        <v>872</v>
      </c>
      <c r="H295" s="178"/>
      <c r="I295" s="178"/>
    </row>
    <row r="296" spans="1:9" s="206" customFormat="1">
      <c r="A296" s="182" t="s">
        <v>615</v>
      </c>
      <c r="B296" s="182">
        <v>180405</v>
      </c>
      <c r="C296" s="182"/>
      <c r="D296" s="182" t="s">
        <v>870</v>
      </c>
      <c r="E296" s="182" t="s">
        <v>859</v>
      </c>
      <c r="F296" s="4" t="s">
        <v>976</v>
      </c>
      <c r="G296" s="182" t="s">
        <v>872</v>
      </c>
      <c r="H296" s="182"/>
      <c r="I296" s="182"/>
    </row>
    <row r="297" spans="1:9">
      <c r="A297" s="178" t="s">
        <v>621</v>
      </c>
      <c r="B297" s="178">
        <v>180407</v>
      </c>
      <c r="C297" s="178"/>
      <c r="D297" s="178" t="s">
        <v>870</v>
      </c>
      <c r="E297" s="178" t="s">
        <v>871</v>
      </c>
      <c r="F297" s="179">
        <v>2605124012</v>
      </c>
      <c r="G297" s="178" t="s">
        <v>872</v>
      </c>
      <c r="H297" s="178"/>
      <c r="I297" s="178"/>
    </row>
    <row r="298" spans="1:9">
      <c r="A298" s="178" t="s">
        <v>621</v>
      </c>
      <c r="B298" s="178">
        <v>180407</v>
      </c>
      <c r="C298" s="178"/>
      <c r="D298" s="178" t="s">
        <v>873</v>
      </c>
      <c r="E298" s="178" t="s">
        <v>871</v>
      </c>
      <c r="F298" s="183">
        <v>2605125449</v>
      </c>
      <c r="G298" s="178" t="s">
        <v>872</v>
      </c>
      <c r="H298" s="178"/>
      <c r="I298" s="178"/>
    </row>
    <row r="299" spans="1:9" s="206" customFormat="1">
      <c r="A299" s="182" t="s">
        <v>621</v>
      </c>
      <c r="B299" s="182">
        <v>180407</v>
      </c>
      <c r="C299" s="182"/>
      <c r="D299" s="182" t="s">
        <v>870</v>
      </c>
      <c r="E299" s="182" t="s">
        <v>859</v>
      </c>
      <c r="F299" s="4" t="s">
        <v>977</v>
      </c>
      <c r="G299" s="182" t="s">
        <v>872</v>
      </c>
      <c r="H299" s="182"/>
      <c r="I299" s="182"/>
    </row>
    <row r="300" spans="1:9">
      <c r="A300" s="178" t="s">
        <v>628</v>
      </c>
      <c r="B300" s="178">
        <v>180408</v>
      </c>
      <c r="C300" s="178"/>
      <c r="D300" s="178" t="s">
        <v>870</v>
      </c>
      <c r="E300" s="178" t="s">
        <v>871</v>
      </c>
      <c r="F300" s="179">
        <v>2605127558</v>
      </c>
      <c r="G300" s="178" t="s">
        <v>872</v>
      </c>
      <c r="H300" s="178"/>
      <c r="I300" s="178"/>
    </row>
    <row r="301" spans="1:9">
      <c r="A301" s="178" t="s">
        <v>628</v>
      </c>
      <c r="B301" s="178">
        <v>180408</v>
      </c>
      <c r="C301" s="178"/>
      <c r="D301" s="178" t="s">
        <v>873</v>
      </c>
      <c r="E301" s="178" t="s">
        <v>871</v>
      </c>
      <c r="F301" s="214">
        <v>2605129024</v>
      </c>
      <c r="G301" s="178" t="s">
        <v>872</v>
      </c>
      <c r="H301" s="178"/>
      <c r="I301" s="178"/>
    </row>
    <row r="302" spans="1:9" s="206" customFormat="1">
      <c r="A302" s="182" t="s">
        <v>628</v>
      </c>
      <c r="B302" s="182">
        <v>180408</v>
      </c>
      <c r="C302" s="182"/>
      <c r="D302" s="182" t="s">
        <v>870</v>
      </c>
      <c r="E302" s="182" t="s">
        <v>859</v>
      </c>
      <c r="F302" s="4" t="s">
        <v>978</v>
      </c>
      <c r="G302" s="182" t="s">
        <v>872</v>
      </c>
      <c r="H302" s="182"/>
      <c r="I302" s="182"/>
    </row>
    <row r="303" spans="1:9">
      <c r="A303" s="178" t="s">
        <v>634</v>
      </c>
      <c r="B303" s="178">
        <v>180409</v>
      </c>
      <c r="C303" s="178"/>
      <c r="D303" s="178" t="s">
        <v>870</v>
      </c>
      <c r="E303" s="178" t="s">
        <v>871</v>
      </c>
      <c r="F303" s="179">
        <v>2605124992</v>
      </c>
      <c r="G303" s="178" t="s">
        <v>872</v>
      </c>
      <c r="H303" s="178"/>
      <c r="I303" s="178"/>
    </row>
    <row r="304" spans="1:9">
      <c r="A304" s="178" t="s">
        <v>634</v>
      </c>
      <c r="B304" s="178">
        <v>180409</v>
      </c>
      <c r="C304" s="178"/>
      <c r="D304" s="178" t="s">
        <v>873</v>
      </c>
      <c r="E304" s="178" t="s">
        <v>871</v>
      </c>
      <c r="F304" s="183">
        <v>2605127574</v>
      </c>
      <c r="G304" s="178" t="s">
        <v>872</v>
      </c>
      <c r="H304" s="178"/>
      <c r="I304" s="178"/>
    </row>
    <row r="305" spans="1:9" s="206" customFormat="1">
      <c r="A305" s="182" t="s">
        <v>634</v>
      </c>
      <c r="B305" s="182">
        <v>180409</v>
      </c>
      <c r="C305" s="182"/>
      <c r="D305" s="182" t="s">
        <v>870</v>
      </c>
      <c r="E305" s="182" t="s">
        <v>859</v>
      </c>
      <c r="F305" s="4" t="s">
        <v>979</v>
      </c>
      <c r="G305" s="182" t="s">
        <v>872</v>
      </c>
      <c r="H305" s="182"/>
      <c r="I305" s="182"/>
    </row>
    <row r="306" spans="1:9">
      <c r="A306" s="178" t="s">
        <v>640</v>
      </c>
      <c r="B306" s="178">
        <v>180410</v>
      </c>
      <c r="C306" s="178"/>
      <c r="D306" s="178" t="s">
        <v>870</v>
      </c>
      <c r="E306" s="178" t="s">
        <v>871</v>
      </c>
      <c r="F306" s="179">
        <v>2605125152</v>
      </c>
      <c r="G306" s="178" t="s">
        <v>872</v>
      </c>
      <c r="H306" s="178"/>
      <c r="I306" s="178"/>
    </row>
    <row r="307" spans="1:9">
      <c r="A307" s="178" t="s">
        <v>640</v>
      </c>
      <c r="B307" s="178">
        <v>180410</v>
      </c>
      <c r="C307" s="178"/>
      <c r="D307" s="178" t="s">
        <v>873</v>
      </c>
      <c r="E307" s="178" t="s">
        <v>871</v>
      </c>
      <c r="F307" s="183">
        <v>2605127597</v>
      </c>
      <c r="G307" s="178" t="s">
        <v>872</v>
      </c>
      <c r="H307" s="178"/>
      <c r="I307" s="178"/>
    </row>
    <row r="308" spans="1:9" s="206" customFormat="1">
      <c r="A308" s="182" t="s">
        <v>640</v>
      </c>
      <c r="B308" s="182">
        <v>180410</v>
      </c>
      <c r="C308" s="182"/>
      <c r="D308" s="182" t="s">
        <v>870</v>
      </c>
      <c r="E308" s="182" t="s">
        <v>859</v>
      </c>
      <c r="F308" s="4" t="s">
        <v>980</v>
      </c>
      <c r="G308" s="182" t="s">
        <v>872</v>
      </c>
      <c r="H308" s="182"/>
      <c r="I308" s="182"/>
    </row>
    <row r="309" spans="1:9">
      <c r="A309" s="178" t="s">
        <v>646</v>
      </c>
      <c r="B309" s="178">
        <v>180411</v>
      </c>
      <c r="C309" s="178"/>
      <c r="D309" s="178" t="s">
        <v>870</v>
      </c>
      <c r="E309" s="178" t="s">
        <v>871</v>
      </c>
      <c r="F309" s="179">
        <v>2605127560</v>
      </c>
      <c r="G309" s="178" t="s">
        <v>872</v>
      </c>
      <c r="H309" s="178"/>
      <c r="I309" s="178"/>
    </row>
    <row r="310" spans="1:9">
      <c r="A310" s="178" t="s">
        <v>646</v>
      </c>
      <c r="B310" s="178">
        <v>180411</v>
      </c>
      <c r="C310" s="178"/>
      <c r="D310" s="178" t="s">
        <v>873</v>
      </c>
      <c r="E310" s="178" t="s">
        <v>871</v>
      </c>
      <c r="F310" s="214">
        <v>2605128891</v>
      </c>
      <c r="G310" s="178" t="s">
        <v>872</v>
      </c>
      <c r="H310" s="178"/>
      <c r="I310" s="178"/>
    </row>
    <row r="311" spans="1:9" s="206" customFormat="1">
      <c r="A311" s="182" t="s">
        <v>646</v>
      </c>
      <c r="B311" s="182">
        <v>180411</v>
      </c>
      <c r="C311" s="182"/>
      <c r="D311" s="182" t="s">
        <v>870</v>
      </c>
      <c r="E311" s="182" t="s">
        <v>859</v>
      </c>
      <c r="F311" s="4" t="s">
        <v>981</v>
      </c>
      <c r="G311" s="182" t="s">
        <v>872</v>
      </c>
      <c r="H311" s="182"/>
      <c r="I311" s="182"/>
    </row>
    <row r="312" spans="1:9">
      <c r="A312" s="178" t="s">
        <v>652</v>
      </c>
      <c r="B312" s="178">
        <v>180412</v>
      </c>
      <c r="C312" s="178"/>
      <c r="D312" s="178" t="s">
        <v>956</v>
      </c>
      <c r="E312" s="178" t="s">
        <v>871</v>
      </c>
      <c r="F312" s="179">
        <v>2605126039</v>
      </c>
      <c r="G312" s="178" t="s">
        <v>872</v>
      </c>
      <c r="H312" s="178"/>
      <c r="I312" s="178"/>
    </row>
    <row r="313" spans="1:9">
      <c r="A313" s="178" t="s">
        <v>652</v>
      </c>
      <c r="B313" s="178">
        <v>180412</v>
      </c>
      <c r="C313" s="178"/>
      <c r="D313" s="178" t="s">
        <v>873</v>
      </c>
      <c r="E313" s="178" t="s">
        <v>871</v>
      </c>
      <c r="F313" s="213" t="s">
        <v>982</v>
      </c>
      <c r="G313" s="178" t="s">
        <v>872</v>
      </c>
      <c r="H313" s="178"/>
      <c r="I313" s="178"/>
    </row>
    <row r="314" spans="1:9" s="206" customFormat="1">
      <c r="A314" s="182" t="s">
        <v>652</v>
      </c>
      <c r="B314" s="182">
        <v>180412</v>
      </c>
      <c r="C314" s="182"/>
      <c r="D314" s="182" t="s">
        <v>870</v>
      </c>
      <c r="E314" s="182" t="s">
        <v>859</v>
      </c>
      <c r="F314" s="4" t="s">
        <v>983</v>
      </c>
      <c r="G314" s="182" t="s">
        <v>872</v>
      </c>
      <c r="H314" s="182"/>
      <c r="I314" s="182"/>
    </row>
    <row r="315" spans="1:9">
      <c r="A315" s="178" t="s">
        <v>656</v>
      </c>
      <c r="B315" s="178">
        <v>180413</v>
      </c>
      <c r="C315" s="178"/>
      <c r="D315" s="178" t="s">
        <v>870</v>
      </c>
      <c r="E315" s="178" t="s">
        <v>871</v>
      </c>
      <c r="F315" s="179">
        <v>2605125430</v>
      </c>
      <c r="G315" s="178" t="s">
        <v>872</v>
      </c>
      <c r="H315" s="178"/>
      <c r="I315" s="178"/>
    </row>
    <row r="316" spans="1:9">
      <c r="A316" s="178" t="s">
        <v>656</v>
      </c>
      <c r="B316" s="178">
        <v>180413</v>
      </c>
      <c r="C316" s="178"/>
      <c r="D316" s="178" t="s">
        <v>873</v>
      </c>
      <c r="E316" s="178" t="s">
        <v>871</v>
      </c>
      <c r="F316" s="184">
        <v>2605127606</v>
      </c>
      <c r="G316" s="178" t="s">
        <v>872</v>
      </c>
      <c r="H316" s="178"/>
      <c r="I316" s="178"/>
    </row>
    <row r="317" spans="1:9">
      <c r="A317" s="178" t="s">
        <v>656</v>
      </c>
      <c r="B317" s="178">
        <v>180413</v>
      </c>
      <c r="C317" s="178"/>
      <c r="D317" s="178" t="s">
        <v>956</v>
      </c>
      <c r="E317" s="178" t="s">
        <v>859</v>
      </c>
      <c r="F317" s="207" t="s">
        <v>983</v>
      </c>
      <c r="G317" s="178" t="s">
        <v>872</v>
      </c>
      <c r="H317" s="178"/>
      <c r="I317" s="178"/>
    </row>
    <row r="318" spans="1:9" s="201" customFormat="1">
      <c r="A318" s="199" t="s">
        <v>658</v>
      </c>
      <c r="B318" s="199">
        <v>180418</v>
      </c>
      <c r="C318" s="199"/>
      <c r="D318" s="199" t="s">
        <v>870</v>
      </c>
      <c r="E318" s="199" t="s">
        <v>871</v>
      </c>
      <c r="F318" s="4">
        <v>2605125143</v>
      </c>
      <c r="G318" s="199" t="s">
        <v>872</v>
      </c>
      <c r="H318" s="199"/>
      <c r="I318" s="199"/>
    </row>
    <row r="319" spans="1:9">
      <c r="A319" s="178" t="s">
        <v>658</v>
      </c>
      <c r="B319" s="178">
        <v>180418</v>
      </c>
      <c r="C319" s="178"/>
      <c r="D319" s="178" t="s">
        <v>873</v>
      </c>
      <c r="E319" s="178" t="s">
        <v>871</v>
      </c>
      <c r="F319" s="183">
        <v>2605127578</v>
      </c>
      <c r="G319" s="178" t="s">
        <v>872</v>
      </c>
      <c r="H319" s="178"/>
      <c r="I319" s="178"/>
    </row>
    <row r="320" spans="1:9">
      <c r="A320" s="178" t="s">
        <v>658</v>
      </c>
      <c r="B320" s="178">
        <v>180418</v>
      </c>
      <c r="C320" s="178"/>
      <c r="D320" s="178" t="s">
        <v>870</v>
      </c>
      <c r="E320" s="178" t="s">
        <v>859</v>
      </c>
      <c r="F320" s="207" t="s">
        <v>984</v>
      </c>
      <c r="G320" s="178" t="s">
        <v>872</v>
      </c>
      <c r="H320" s="178"/>
      <c r="I320" s="178"/>
    </row>
    <row r="321" spans="1:9" s="201" customFormat="1">
      <c r="A321" s="199" t="s">
        <v>664</v>
      </c>
      <c r="B321" s="199">
        <v>180419</v>
      </c>
      <c r="C321" s="199"/>
      <c r="D321" s="199" t="s">
        <v>870</v>
      </c>
      <c r="E321" s="199" t="s">
        <v>871</v>
      </c>
      <c r="F321" s="4">
        <v>2605126060</v>
      </c>
      <c r="G321" s="199" t="s">
        <v>872</v>
      </c>
      <c r="H321" s="199"/>
      <c r="I321" s="199"/>
    </row>
    <row r="322" spans="1:9">
      <c r="A322" s="178" t="s">
        <v>664</v>
      </c>
      <c r="B322" s="178">
        <v>180419</v>
      </c>
      <c r="C322" s="178"/>
      <c r="D322" s="178" t="s">
        <v>873</v>
      </c>
      <c r="E322" s="178" t="s">
        <v>871</v>
      </c>
      <c r="F322" s="183">
        <v>2605127612</v>
      </c>
      <c r="G322" s="178" t="s">
        <v>872</v>
      </c>
      <c r="H322" s="178"/>
      <c r="I322" s="178"/>
    </row>
    <row r="323" spans="1:9">
      <c r="A323" s="178" t="s">
        <v>664</v>
      </c>
      <c r="B323" s="178">
        <v>180419</v>
      </c>
      <c r="C323" s="178"/>
      <c r="D323" s="178" t="s">
        <v>870</v>
      </c>
      <c r="E323" s="178" t="s">
        <v>859</v>
      </c>
      <c r="F323" s="207" t="s">
        <v>985</v>
      </c>
      <c r="G323" s="178" t="s">
        <v>872</v>
      </c>
      <c r="H323" s="178"/>
      <c r="I323" s="178"/>
    </row>
    <row r="324" spans="1:9" s="201" customFormat="1">
      <c r="A324" s="199" t="s">
        <v>670</v>
      </c>
      <c r="B324" s="199">
        <v>180420</v>
      </c>
      <c r="C324" s="199"/>
      <c r="D324" s="199" t="s">
        <v>870</v>
      </c>
      <c r="E324" s="199" t="s">
        <v>871</v>
      </c>
      <c r="F324" s="44">
        <v>2605129127</v>
      </c>
      <c r="G324" s="199" t="s">
        <v>872</v>
      </c>
      <c r="H324" s="199"/>
      <c r="I324" s="199"/>
    </row>
    <row r="325" spans="1:9">
      <c r="A325" s="199" t="s">
        <v>670</v>
      </c>
      <c r="B325" s="199">
        <v>180420</v>
      </c>
      <c r="C325" s="178"/>
      <c r="D325" s="178" t="s">
        <v>873</v>
      </c>
      <c r="E325" s="178" t="s">
        <v>871</v>
      </c>
      <c r="F325" s="283">
        <v>2605131528</v>
      </c>
      <c r="G325" s="178" t="s">
        <v>872</v>
      </c>
      <c r="H325" s="178"/>
      <c r="I325" s="178"/>
    </row>
    <row r="326" spans="1:9">
      <c r="A326" s="199" t="s">
        <v>670</v>
      </c>
      <c r="B326" s="199">
        <v>180420</v>
      </c>
      <c r="C326" s="178"/>
      <c r="D326" s="178" t="s">
        <v>870</v>
      </c>
      <c r="E326" s="178" t="s">
        <v>859</v>
      </c>
      <c r="F326" s="169"/>
      <c r="G326" s="178" t="s">
        <v>872</v>
      </c>
      <c r="H326" s="178"/>
      <c r="I326" s="178"/>
    </row>
    <row r="327" spans="1:9" s="201" customFormat="1">
      <c r="A327" s="199" t="s">
        <v>678</v>
      </c>
      <c r="B327" s="199">
        <v>180423</v>
      </c>
      <c r="C327" s="199"/>
      <c r="D327" s="199" t="s">
        <v>870</v>
      </c>
      <c r="E327" s="199" t="s">
        <v>871</v>
      </c>
      <c r="F327" s="44">
        <v>2605129274</v>
      </c>
      <c r="G327" s="199" t="s">
        <v>872</v>
      </c>
      <c r="H327" s="199"/>
      <c r="I327" s="199"/>
    </row>
    <row r="328" spans="1:9">
      <c r="A328" s="199" t="s">
        <v>678</v>
      </c>
      <c r="B328" s="199">
        <v>180423</v>
      </c>
      <c r="C328" s="178"/>
      <c r="D328" s="178" t="s">
        <v>873</v>
      </c>
      <c r="E328" s="178" t="s">
        <v>871</v>
      </c>
      <c r="F328" s="183">
        <v>2605131490</v>
      </c>
      <c r="G328" s="178" t="s">
        <v>872</v>
      </c>
      <c r="H328" s="178"/>
      <c r="I328" s="178"/>
    </row>
    <row r="329" spans="1:9">
      <c r="A329" s="199" t="s">
        <v>678</v>
      </c>
      <c r="B329" s="199">
        <v>180423</v>
      </c>
      <c r="C329" s="178"/>
      <c r="D329" s="178" t="s">
        <v>956</v>
      </c>
      <c r="E329" s="178" t="s">
        <v>859</v>
      </c>
      <c r="F329" s="208"/>
      <c r="G329" s="178" t="s">
        <v>872</v>
      </c>
      <c r="H329" s="178"/>
      <c r="I329" s="178"/>
    </row>
    <row r="330" spans="1:9" s="201" customFormat="1">
      <c r="A330" s="199" t="s">
        <v>681</v>
      </c>
      <c r="B330" s="199">
        <v>180433</v>
      </c>
      <c r="C330" s="199"/>
      <c r="D330" s="199" t="s">
        <v>870</v>
      </c>
      <c r="E330" s="199" t="s">
        <v>871</v>
      </c>
      <c r="F330" s="4">
        <v>2605126161</v>
      </c>
      <c r="G330" s="199" t="s">
        <v>872</v>
      </c>
      <c r="H330" s="199"/>
      <c r="I330" s="199"/>
    </row>
    <row r="331" spans="1:9">
      <c r="A331" s="178" t="s">
        <v>681</v>
      </c>
      <c r="B331" s="178">
        <v>180433</v>
      </c>
      <c r="C331" s="178"/>
      <c r="D331" s="178" t="s">
        <v>873</v>
      </c>
      <c r="E331" s="178" t="s">
        <v>871</v>
      </c>
      <c r="F331" s="183">
        <v>2605127618</v>
      </c>
      <c r="G331" s="178" t="s">
        <v>872</v>
      </c>
      <c r="H331" s="178"/>
      <c r="I331" s="178"/>
    </row>
    <row r="332" spans="1:9">
      <c r="A332" s="178" t="s">
        <v>681</v>
      </c>
      <c r="B332" s="178">
        <v>180433</v>
      </c>
      <c r="C332" s="178"/>
      <c r="D332" s="178" t="s">
        <v>870</v>
      </c>
      <c r="E332" s="178" t="s">
        <v>859</v>
      </c>
      <c r="F332" s="207" t="s">
        <v>986</v>
      </c>
      <c r="G332" s="178" t="s">
        <v>872</v>
      </c>
      <c r="H332" s="178"/>
      <c r="I332" s="178"/>
    </row>
    <row r="333" spans="1:9" s="201" customFormat="1">
      <c r="A333" s="199" t="s">
        <v>688</v>
      </c>
      <c r="B333" s="199">
        <v>180436</v>
      </c>
      <c r="C333" s="199"/>
      <c r="D333" s="199" t="s">
        <v>870</v>
      </c>
      <c r="E333" s="199" t="s">
        <v>871</v>
      </c>
      <c r="F333" s="4">
        <v>2605126884</v>
      </c>
      <c r="G333" s="199" t="s">
        <v>872</v>
      </c>
      <c r="H333" s="199"/>
      <c r="I333" s="199"/>
    </row>
    <row r="334" spans="1:9">
      <c r="A334" s="178" t="s">
        <v>688</v>
      </c>
      <c r="B334" s="178">
        <v>180436</v>
      </c>
      <c r="C334" s="178"/>
      <c r="D334" s="178" t="s">
        <v>873</v>
      </c>
      <c r="E334" s="178" t="s">
        <v>871</v>
      </c>
      <c r="F334" s="183">
        <v>2605128497</v>
      </c>
      <c r="G334" s="178" t="s">
        <v>872</v>
      </c>
      <c r="H334" s="178"/>
      <c r="I334" s="178"/>
    </row>
    <row r="335" spans="1:9">
      <c r="A335" s="178" t="s">
        <v>688</v>
      </c>
      <c r="B335" s="178">
        <v>180436</v>
      </c>
      <c r="C335" s="178"/>
      <c r="D335" s="178" t="s">
        <v>870</v>
      </c>
      <c r="E335" s="178" t="s">
        <v>859</v>
      </c>
      <c r="F335" s="207" t="s">
        <v>987</v>
      </c>
      <c r="G335" s="178" t="s">
        <v>872</v>
      </c>
      <c r="H335" s="178"/>
      <c r="I335" s="178"/>
    </row>
    <row r="336" spans="1:9" s="201" customFormat="1">
      <c r="A336" s="199" t="s">
        <v>694</v>
      </c>
      <c r="B336" s="199">
        <v>180438</v>
      </c>
      <c r="C336" s="199"/>
      <c r="D336" s="199" t="s">
        <v>870</v>
      </c>
      <c r="E336" s="199" t="s">
        <v>871</v>
      </c>
      <c r="F336" s="4">
        <v>2605127561</v>
      </c>
      <c r="G336" s="199" t="s">
        <v>872</v>
      </c>
      <c r="H336" s="199"/>
      <c r="I336" s="199"/>
    </row>
    <row r="337" spans="1:9">
      <c r="A337" s="178" t="s">
        <v>694</v>
      </c>
      <c r="B337" s="178">
        <v>180438</v>
      </c>
      <c r="C337" s="178"/>
      <c r="D337" s="178" t="s">
        <v>873</v>
      </c>
      <c r="E337" s="178" t="s">
        <v>871</v>
      </c>
      <c r="F337" s="284">
        <v>2605128846</v>
      </c>
      <c r="G337" s="178" t="s">
        <v>872</v>
      </c>
      <c r="H337" s="178"/>
      <c r="I337" s="178"/>
    </row>
    <row r="338" spans="1:9">
      <c r="A338" s="178" t="s">
        <v>694</v>
      </c>
      <c r="B338" s="178">
        <v>180438</v>
      </c>
      <c r="C338" s="178"/>
      <c r="D338" s="178" t="s">
        <v>956</v>
      </c>
      <c r="E338" s="178" t="s">
        <v>859</v>
      </c>
      <c r="F338" s="4" t="s">
        <v>988</v>
      </c>
      <c r="G338" s="178" t="s">
        <v>872</v>
      </c>
      <c r="H338" s="178"/>
      <c r="I338" s="178"/>
    </row>
    <row r="339" spans="1:9" s="201" customFormat="1">
      <c r="A339" s="199" t="s">
        <v>701</v>
      </c>
      <c r="B339" s="199">
        <v>180441</v>
      </c>
      <c r="C339" s="199"/>
      <c r="D339" s="199" t="s">
        <v>870</v>
      </c>
      <c r="E339" s="199" t="s">
        <v>871</v>
      </c>
      <c r="F339" s="4">
        <v>2605127669</v>
      </c>
      <c r="G339" s="199" t="s">
        <v>872</v>
      </c>
      <c r="H339" s="199"/>
      <c r="I339" s="199"/>
    </row>
    <row r="340" spans="1:9">
      <c r="A340" s="178" t="s">
        <v>701</v>
      </c>
      <c r="B340" s="178">
        <v>180441</v>
      </c>
      <c r="C340" s="178"/>
      <c r="D340" s="178" t="s">
        <v>873</v>
      </c>
      <c r="E340" s="178" t="s">
        <v>871</v>
      </c>
      <c r="F340" s="183">
        <v>2605128299</v>
      </c>
      <c r="G340" s="178" t="s">
        <v>872</v>
      </c>
      <c r="H340" s="178"/>
      <c r="I340" s="178"/>
    </row>
    <row r="341" spans="1:9">
      <c r="A341" s="178" t="s">
        <v>701</v>
      </c>
      <c r="B341" s="178">
        <v>180441</v>
      </c>
      <c r="C341" s="178"/>
      <c r="D341" s="178" t="s">
        <v>870</v>
      </c>
      <c r="E341" s="178" t="s">
        <v>859</v>
      </c>
      <c r="F341" s="207" t="s">
        <v>989</v>
      </c>
      <c r="G341" s="178" t="s">
        <v>872</v>
      </c>
      <c r="H341" s="178"/>
      <c r="I341" s="178"/>
    </row>
    <row r="342" spans="1:9" s="201" customFormat="1">
      <c r="A342" s="199" t="s">
        <v>707</v>
      </c>
      <c r="B342" s="199">
        <v>180450</v>
      </c>
      <c r="C342" s="199"/>
      <c r="D342" s="199" t="s">
        <v>870</v>
      </c>
      <c r="E342" s="199" t="s">
        <v>871</v>
      </c>
      <c r="F342" s="169">
        <v>2605126627</v>
      </c>
      <c r="G342" s="199" t="s">
        <v>872</v>
      </c>
      <c r="H342" s="199"/>
      <c r="I342" s="199"/>
    </row>
    <row r="343" spans="1:9">
      <c r="A343" s="178" t="s">
        <v>707</v>
      </c>
      <c r="B343" s="178">
        <v>180450</v>
      </c>
      <c r="C343" s="178"/>
      <c r="D343" s="178" t="s">
        <v>873</v>
      </c>
      <c r="E343" s="178" t="s">
        <v>871</v>
      </c>
      <c r="F343" s="180">
        <v>2605127636</v>
      </c>
      <c r="G343" s="178" t="s">
        <v>872</v>
      </c>
      <c r="H343" s="178"/>
      <c r="I343" s="178"/>
    </row>
    <row r="344" spans="1:9">
      <c r="A344" s="178" t="s">
        <v>707</v>
      </c>
      <c r="B344" s="178">
        <v>180450</v>
      </c>
      <c r="C344" s="178"/>
      <c r="D344" s="178" t="s">
        <v>870</v>
      </c>
      <c r="E344" s="178" t="s">
        <v>859</v>
      </c>
      <c r="F344" s="207" t="s">
        <v>990</v>
      </c>
      <c r="G344" s="178" t="s">
        <v>872</v>
      </c>
      <c r="H344" s="178"/>
      <c r="I344" s="178"/>
    </row>
    <row r="345" spans="1:9" s="201" customFormat="1">
      <c r="A345" s="199" t="s">
        <v>713</v>
      </c>
      <c r="B345" s="199">
        <v>180456</v>
      </c>
      <c r="C345" s="199"/>
      <c r="D345" s="199" t="s">
        <v>870</v>
      </c>
      <c r="E345" s="199" t="s">
        <v>871</v>
      </c>
      <c r="F345" s="44">
        <v>2605130145</v>
      </c>
      <c r="G345" s="199" t="s">
        <v>872</v>
      </c>
      <c r="H345" s="199"/>
      <c r="I345" s="199"/>
    </row>
    <row r="346" spans="1:9">
      <c r="A346" s="178" t="s">
        <v>713</v>
      </c>
      <c r="B346" s="178">
        <v>180456</v>
      </c>
      <c r="C346" s="178"/>
      <c r="D346" s="178" t="s">
        <v>873</v>
      </c>
      <c r="E346" s="178" t="s">
        <v>871</v>
      </c>
      <c r="F346" s="10">
        <v>2605131440</v>
      </c>
      <c r="G346" s="178" t="s">
        <v>872</v>
      </c>
      <c r="H346" s="178"/>
      <c r="I346" s="178"/>
    </row>
    <row r="347" spans="1:9" s="206" customFormat="1">
      <c r="A347" s="182" t="s">
        <v>713</v>
      </c>
      <c r="B347" s="182">
        <v>180456</v>
      </c>
      <c r="C347" s="182"/>
      <c r="D347" s="182" t="s">
        <v>956</v>
      </c>
      <c r="E347" s="182" t="s">
        <v>859</v>
      </c>
      <c r="F347" s="44" t="s">
        <v>991</v>
      </c>
      <c r="G347" s="182" t="s">
        <v>872</v>
      </c>
      <c r="H347" s="182"/>
      <c r="I347" s="182"/>
    </row>
    <row r="348" spans="1:9">
      <c r="A348" s="178" t="s">
        <v>715</v>
      </c>
      <c r="B348" s="178">
        <v>180457</v>
      </c>
      <c r="C348" s="178"/>
      <c r="D348" s="178" t="s">
        <v>870</v>
      </c>
      <c r="E348" s="178" t="s">
        <v>871</v>
      </c>
      <c r="F348" s="179">
        <v>2605127563</v>
      </c>
      <c r="G348" s="178" t="s">
        <v>872</v>
      </c>
      <c r="H348" s="178"/>
      <c r="I348" s="178"/>
    </row>
    <row r="349" spans="1:9">
      <c r="A349" s="178" t="s">
        <v>715</v>
      </c>
      <c r="B349" s="178">
        <v>180457</v>
      </c>
      <c r="C349" s="178"/>
      <c r="D349" s="178" t="s">
        <v>873</v>
      </c>
      <c r="E349" s="178" t="s">
        <v>871</v>
      </c>
      <c r="F349" s="183">
        <v>2605128767</v>
      </c>
      <c r="G349" s="178" t="s">
        <v>872</v>
      </c>
      <c r="H349" s="178"/>
      <c r="I349" s="178"/>
    </row>
    <row r="350" spans="1:9">
      <c r="A350" s="178" t="s">
        <v>715</v>
      </c>
      <c r="B350" s="178">
        <v>180457</v>
      </c>
      <c r="C350" s="178"/>
      <c r="D350" s="178" t="s">
        <v>870</v>
      </c>
      <c r="E350" s="178" t="s">
        <v>859</v>
      </c>
      <c r="F350" s="207" t="s">
        <v>992</v>
      </c>
      <c r="G350" s="178" t="s">
        <v>872</v>
      </c>
      <c r="H350" s="178"/>
      <c r="I350" s="178"/>
    </row>
    <row r="351" spans="1:9" s="201" customFormat="1">
      <c r="A351" s="199" t="s">
        <v>719</v>
      </c>
      <c r="B351" s="199">
        <v>180458</v>
      </c>
      <c r="C351" s="199"/>
      <c r="D351" s="199" t="s">
        <v>870</v>
      </c>
      <c r="E351" s="199" t="s">
        <v>871</v>
      </c>
      <c r="F351" s="169">
        <v>2605128458</v>
      </c>
      <c r="G351" s="199" t="s">
        <v>872</v>
      </c>
      <c r="H351" s="199"/>
      <c r="I351" s="199"/>
    </row>
    <row r="352" spans="1:9">
      <c r="A352" s="178" t="s">
        <v>719</v>
      </c>
      <c r="B352" s="178">
        <v>180458</v>
      </c>
      <c r="C352" s="178"/>
      <c r="D352" s="178" t="s">
        <v>873</v>
      </c>
      <c r="E352" s="178" t="s">
        <v>871</v>
      </c>
      <c r="F352" s="244">
        <v>2605130635</v>
      </c>
      <c r="G352" s="178" t="s">
        <v>872</v>
      </c>
      <c r="H352" s="178"/>
      <c r="I352" s="178"/>
    </row>
    <row r="353" spans="1:9">
      <c r="A353" s="178" t="s">
        <v>719</v>
      </c>
      <c r="B353" s="178">
        <v>180458</v>
      </c>
      <c r="C353" s="178"/>
      <c r="D353" s="178" t="s">
        <v>956</v>
      </c>
      <c r="E353" s="178" t="s">
        <v>859</v>
      </c>
      <c r="F353" s="179" t="s">
        <v>993</v>
      </c>
      <c r="G353" s="178" t="s">
        <v>872</v>
      </c>
      <c r="H353" s="178"/>
      <c r="I353" s="178"/>
    </row>
    <row r="354" spans="1:9" s="201" customFormat="1">
      <c r="A354" s="199" t="s">
        <v>726</v>
      </c>
      <c r="B354" s="199">
        <v>180462</v>
      </c>
      <c r="C354" s="199"/>
      <c r="D354" s="199" t="s">
        <v>870</v>
      </c>
      <c r="E354" s="199" t="s">
        <v>871</v>
      </c>
      <c r="F354" s="4">
        <v>2605126952</v>
      </c>
      <c r="G354" s="199" t="s">
        <v>872</v>
      </c>
      <c r="H354" s="199"/>
      <c r="I354" s="199"/>
    </row>
    <row r="355" spans="1:9">
      <c r="A355" s="178" t="s">
        <v>726</v>
      </c>
      <c r="B355" s="178">
        <v>180462</v>
      </c>
      <c r="C355" s="178"/>
      <c r="D355" s="178" t="s">
        <v>873</v>
      </c>
      <c r="E355" s="178" t="s">
        <v>871</v>
      </c>
      <c r="F355" s="183">
        <v>2605127639</v>
      </c>
      <c r="G355" s="178" t="s">
        <v>872</v>
      </c>
      <c r="H355" s="178"/>
      <c r="I355" s="178"/>
    </row>
    <row r="356" spans="1:9">
      <c r="A356" s="178" t="s">
        <v>726</v>
      </c>
      <c r="B356" s="178">
        <v>180462</v>
      </c>
      <c r="C356" s="178"/>
      <c r="D356" s="178" t="s">
        <v>870</v>
      </c>
      <c r="E356" s="178" t="s">
        <v>859</v>
      </c>
      <c r="F356" s="207" t="s">
        <v>994</v>
      </c>
      <c r="G356" s="178" t="s">
        <v>872</v>
      </c>
      <c r="H356" s="178"/>
      <c r="I356" s="178"/>
    </row>
    <row r="357" spans="1:9" s="201" customFormat="1">
      <c r="A357" s="199" t="s">
        <v>739</v>
      </c>
      <c r="B357" s="199">
        <v>180465</v>
      </c>
      <c r="C357" s="199"/>
      <c r="D357" s="199" t="s">
        <v>870</v>
      </c>
      <c r="E357" s="199" t="s">
        <v>871</v>
      </c>
      <c r="F357" s="4">
        <v>2605127649</v>
      </c>
      <c r="G357" s="199" t="s">
        <v>872</v>
      </c>
      <c r="H357" s="199"/>
      <c r="I357" s="199"/>
    </row>
    <row r="358" spans="1:9">
      <c r="A358" s="178" t="s">
        <v>739</v>
      </c>
      <c r="B358" s="178">
        <v>180465</v>
      </c>
      <c r="C358" s="178"/>
      <c r="D358" s="178" t="s">
        <v>873</v>
      </c>
      <c r="E358" s="178" t="s">
        <v>871</v>
      </c>
      <c r="F358" s="183">
        <v>2605128399</v>
      </c>
      <c r="G358" s="178" t="s">
        <v>872</v>
      </c>
      <c r="H358" s="178"/>
      <c r="I358" s="178"/>
    </row>
    <row r="359" spans="1:9">
      <c r="A359" s="178" t="s">
        <v>739</v>
      </c>
      <c r="B359" s="178">
        <v>180465</v>
      </c>
      <c r="C359" s="178"/>
      <c r="D359" s="178" t="s">
        <v>870</v>
      </c>
      <c r="E359" s="178" t="s">
        <v>859</v>
      </c>
      <c r="F359" s="207" t="s">
        <v>995</v>
      </c>
      <c r="G359" s="178" t="s">
        <v>872</v>
      </c>
      <c r="H359" s="178"/>
      <c r="I359" s="178"/>
    </row>
    <row r="360" spans="1:9" s="201" customFormat="1">
      <c r="A360" s="199" t="s">
        <v>996</v>
      </c>
      <c r="B360" s="199">
        <v>180466</v>
      </c>
      <c r="C360" s="199"/>
      <c r="D360" s="199" t="s">
        <v>870</v>
      </c>
      <c r="E360" s="199" t="s">
        <v>871</v>
      </c>
      <c r="F360" s="169">
        <v>2605129781</v>
      </c>
      <c r="G360" s="199" t="s">
        <v>872</v>
      </c>
      <c r="H360" s="199"/>
      <c r="I360" s="199"/>
    </row>
    <row r="361" spans="1:9">
      <c r="A361" s="178" t="s">
        <v>996</v>
      </c>
      <c r="B361" s="178">
        <v>180466</v>
      </c>
      <c r="C361" s="178"/>
      <c r="D361" s="178" t="s">
        <v>873</v>
      </c>
      <c r="E361" s="178" t="s">
        <v>871</v>
      </c>
      <c r="F361" s="244">
        <v>2605130642</v>
      </c>
      <c r="G361" s="199" t="s">
        <v>872</v>
      </c>
      <c r="H361" s="178"/>
      <c r="I361" s="178"/>
    </row>
    <row r="362" spans="1:9">
      <c r="A362" s="182" t="s">
        <v>996</v>
      </c>
      <c r="B362" s="182">
        <v>180466</v>
      </c>
      <c r="C362" s="178"/>
      <c r="D362" s="178" t="s">
        <v>956</v>
      </c>
      <c r="E362" s="178" t="s">
        <v>859</v>
      </c>
      <c r="F362" s="217" t="s">
        <v>997</v>
      </c>
      <c r="G362" s="199" t="s">
        <v>872</v>
      </c>
      <c r="H362" s="178"/>
      <c r="I362" s="178"/>
    </row>
    <row r="363" spans="1:9" s="201" customFormat="1">
      <c r="A363" s="178" t="s">
        <v>998</v>
      </c>
      <c r="B363" s="178">
        <v>180472</v>
      </c>
      <c r="C363" s="199"/>
      <c r="D363" s="199" t="s">
        <v>870</v>
      </c>
      <c r="E363" s="199" t="s">
        <v>871</v>
      </c>
      <c r="F363" s="4">
        <v>2605127293</v>
      </c>
      <c r="G363" s="199" t="s">
        <v>872</v>
      </c>
      <c r="H363" s="199"/>
      <c r="I363" s="199"/>
    </row>
    <row r="364" spans="1:9">
      <c r="A364" s="178" t="s">
        <v>998</v>
      </c>
      <c r="B364" s="178">
        <v>180472</v>
      </c>
      <c r="C364" s="178"/>
      <c r="D364" s="178" t="s">
        <v>873</v>
      </c>
      <c r="E364" s="178" t="s">
        <v>871</v>
      </c>
      <c r="F364" s="183">
        <v>2605128271</v>
      </c>
      <c r="G364" s="178" t="s">
        <v>872</v>
      </c>
      <c r="H364" s="178"/>
      <c r="I364" s="178"/>
    </row>
    <row r="365" spans="1:9" ht="13.5" customHeight="1">
      <c r="A365" s="178" t="s">
        <v>998</v>
      </c>
      <c r="B365" s="178">
        <v>180472</v>
      </c>
      <c r="C365" s="178"/>
      <c r="D365" s="178" t="s">
        <v>870</v>
      </c>
      <c r="E365" s="178" t="s">
        <v>859</v>
      </c>
      <c r="F365" s="207" t="s">
        <v>999</v>
      </c>
      <c r="G365" s="178" t="s">
        <v>872</v>
      </c>
      <c r="H365" s="178"/>
      <c r="I365" s="178"/>
    </row>
    <row r="366" spans="1:9" s="201" customFormat="1" ht="15.75" customHeight="1">
      <c r="A366" s="199" t="s">
        <v>758</v>
      </c>
      <c r="B366" s="199">
        <v>180475</v>
      </c>
      <c r="C366" s="199"/>
      <c r="D366" s="199" t="s">
        <v>956</v>
      </c>
      <c r="E366" s="199" t="s">
        <v>871</v>
      </c>
      <c r="F366" s="215">
        <v>2605132151</v>
      </c>
      <c r="G366" s="199" t="s">
        <v>872</v>
      </c>
      <c r="H366" s="199" t="s">
        <v>399</v>
      </c>
      <c r="I366" s="199"/>
    </row>
    <row r="367" spans="1:9" ht="15.75" customHeight="1">
      <c r="A367" s="178" t="s">
        <v>758</v>
      </c>
      <c r="B367" s="178">
        <v>180475</v>
      </c>
      <c r="C367" s="178"/>
      <c r="D367" s="178" t="s">
        <v>873</v>
      </c>
      <c r="E367" s="178" t="s">
        <v>871</v>
      </c>
      <c r="F367" s="179"/>
      <c r="G367" s="178" t="s">
        <v>872</v>
      </c>
      <c r="H367" s="178"/>
      <c r="I367" s="178"/>
    </row>
    <row r="368" spans="1:9" ht="15.75" customHeight="1">
      <c r="A368" s="182" t="s">
        <v>758</v>
      </c>
      <c r="B368" s="178">
        <v>180475</v>
      </c>
      <c r="C368" s="178"/>
      <c r="D368" s="178" t="s">
        <v>956</v>
      </c>
      <c r="E368" s="178" t="s">
        <v>859</v>
      </c>
      <c r="F368" s="207"/>
      <c r="G368" s="178" t="s">
        <v>872</v>
      </c>
      <c r="H368" s="178"/>
      <c r="I368" s="178"/>
    </row>
    <row r="369" spans="1:9" s="201" customFormat="1">
      <c r="A369" s="178" t="s">
        <v>764</v>
      </c>
      <c r="B369" s="199">
        <v>180481</v>
      </c>
      <c r="C369" s="199"/>
      <c r="D369" s="199" t="s">
        <v>870</v>
      </c>
      <c r="E369" s="199" t="s">
        <v>871</v>
      </c>
      <c r="F369" s="4">
        <v>2605127654</v>
      </c>
      <c r="G369" s="199" t="s">
        <v>872</v>
      </c>
      <c r="H369" s="199"/>
      <c r="I369" s="199"/>
    </row>
    <row r="370" spans="1:9">
      <c r="A370" s="178" t="s">
        <v>764</v>
      </c>
      <c r="B370" s="178">
        <v>180481</v>
      </c>
      <c r="C370" s="178"/>
      <c r="D370" s="178" t="s">
        <v>873</v>
      </c>
      <c r="E370" s="178" t="s">
        <v>871</v>
      </c>
      <c r="F370" s="183">
        <v>2605128296</v>
      </c>
      <c r="G370" s="178" t="s">
        <v>872</v>
      </c>
      <c r="H370" s="178"/>
      <c r="I370" s="178"/>
    </row>
    <row r="371" spans="1:9">
      <c r="A371" s="178" t="s">
        <v>764</v>
      </c>
      <c r="B371" s="178">
        <v>180481</v>
      </c>
      <c r="C371" s="178"/>
      <c r="D371" s="178" t="s">
        <v>870</v>
      </c>
      <c r="E371" s="178" t="s">
        <v>859</v>
      </c>
      <c r="F371" s="207" t="s">
        <v>1000</v>
      </c>
      <c r="G371" s="178" t="s">
        <v>872</v>
      </c>
      <c r="H371" s="178"/>
      <c r="I371" s="178"/>
    </row>
    <row r="372" spans="1:9" s="201" customFormat="1">
      <c r="A372" s="199" t="s">
        <v>770</v>
      </c>
      <c r="B372" s="199">
        <v>180496</v>
      </c>
      <c r="C372" s="199"/>
      <c r="D372" s="199" t="s">
        <v>956</v>
      </c>
      <c r="E372" s="199" t="s">
        <v>871</v>
      </c>
      <c r="F372" s="4"/>
      <c r="G372" s="199" t="s">
        <v>872</v>
      </c>
      <c r="H372" s="199"/>
      <c r="I372" s="199"/>
    </row>
    <row r="373" spans="1:9">
      <c r="A373" s="178" t="s">
        <v>770</v>
      </c>
      <c r="B373" s="178">
        <v>180496</v>
      </c>
      <c r="C373" s="178"/>
      <c r="D373" s="178" t="s">
        <v>873</v>
      </c>
      <c r="E373" s="178" t="s">
        <v>871</v>
      </c>
      <c r="F373" s="4"/>
      <c r="G373" s="199" t="s">
        <v>872</v>
      </c>
      <c r="H373" s="178"/>
      <c r="I373" s="178"/>
    </row>
    <row r="374" spans="1:9">
      <c r="A374" s="182" t="s">
        <v>770</v>
      </c>
      <c r="B374" s="178">
        <v>180496</v>
      </c>
      <c r="C374" s="178"/>
      <c r="D374" s="178" t="s">
        <v>956</v>
      </c>
      <c r="E374" s="178" t="s">
        <v>859</v>
      </c>
      <c r="F374" s="207"/>
      <c r="G374" s="199" t="s">
        <v>872</v>
      </c>
      <c r="H374" s="178"/>
      <c r="I374" s="178"/>
    </row>
    <row r="375" spans="1:9" s="201" customFormat="1">
      <c r="A375" s="178" t="s">
        <v>772</v>
      </c>
      <c r="B375" s="199">
        <v>180497</v>
      </c>
      <c r="C375" s="199"/>
      <c r="D375" s="199" t="s">
        <v>956</v>
      </c>
      <c r="E375" s="199" t="s">
        <v>871</v>
      </c>
      <c r="F375" s="166">
        <v>2605128791</v>
      </c>
      <c r="G375" s="212" t="s">
        <v>872</v>
      </c>
      <c r="H375" s="199"/>
      <c r="I375" s="199"/>
    </row>
    <row r="376" spans="1:9">
      <c r="A376" s="178" t="s">
        <v>772</v>
      </c>
      <c r="B376" s="178">
        <v>180497</v>
      </c>
      <c r="C376" s="178"/>
      <c r="D376" s="178" t="s">
        <v>873</v>
      </c>
      <c r="E376" s="178" t="s">
        <v>871</v>
      </c>
      <c r="F376" s="211">
        <v>2605131067</v>
      </c>
      <c r="G376" s="178" t="s">
        <v>872</v>
      </c>
      <c r="H376" s="178"/>
      <c r="I376" s="178"/>
    </row>
    <row r="377" spans="1:9">
      <c r="A377" s="178" t="s">
        <v>772</v>
      </c>
      <c r="B377" s="178">
        <v>180497</v>
      </c>
      <c r="C377" s="178"/>
      <c r="D377" s="178" t="s">
        <v>870</v>
      </c>
      <c r="E377" s="178" t="s">
        <v>859</v>
      </c>
      <c r="F377" s="207" t="s">
        <v>1001</v>
      </c>
      <c r="G377" s="178" t="s">
        <v>872</v>
      </c>
      <c r="H377" s="178"/>
      <c r="I377" s="178"/>
    </row>
    <row r="378" spans="1:9" s="201" customFormat="1">
      <c r="A378" s="199" t="s">
        <v>778</v>
      </c>
      <c r="B378" s="199">
        <v>180498</v>
      </c>
      <c r="C378" s="199"/>
      <c r="D378" s="199" t="s">
        <v>956</v>
      </c>
      <c r="E378" s="199" t="s">
        <v>871</v>
      </c>
      <c r="F378" s="4"/>
      <c r="G378" s="199" t="s">
        <v>872</v>
      </c>
      <c r="H378" s="199"/>
      <c r="I378" s="199"/>
    </row>
    <row r="379" spans="1:9">
      <c r="A379" s="178" t="s">
        <v>778</v>
      </c>
      <c r="B379" s="178">
        <v>180498</v>
      </c>
      <c r="C379" s="178"/>
      <c r="D379" s="178" t="s">
        <v>873</v>
      </c>
      <c r="E379" s="178" t="s">
        <v>871</v>
      </c>
      <c r="F379" s="181"/>
      <c r="G379" s="178" t="s">
        <v>872</v>
      </c>
      <c r="H379" s="178"/>
      <c r="I379" s="178"/>
    </row>
    <row r="380" spans="1:9">
      <c r="A380" s="182" t="s">
        <v>778</v>
      </c>
      <c r="B380" s="178">
        <v>180498</v>
      </c>
      <c r="C380" s="178"/>
      <c r="D380" s="178" t="s">
        <v>956</v>
      </c>
      <c r="E380" s="178" t="s">
        <v>859</v>
      </c>
      <c r="F380" s="181"/>
      <c r="G380" s="178" t="s">
        <v>872</v>
      </c>
      <c r="H380" s="178"/>
      <c r="I380" s="178"/>
    </row>
    <row r="381" spans="1:9" s="201" customFormat="1">
      <c r="A381" s="178" t="s">
        <v>784</v>
      </c>
      <c r="B381" s="199">
        <v>180500</v>
      </c>
      <c r="C381" s="199"/>
      <c r="D381" s="199" t="s">
        <v>956</v>
      </c>
      <c r="E381" s="199" t="s">
        <v>871</v>
      </c>
      <c r="F381" s="4"/>
      <c r="G381" s="199" t="s">
        <v>872</v>
      </c>
      <c r="H381" s="199"/>
      <c r="I381" s="199"/>
    </row>
    <row r="382" spans="1:9">
      <c r="A382" s="178" t="s">
        <v>784</v>
      </c>
      <c r="B382" s="178">
        <v>180500</v>
      </c>
      <c r="C382" s="178"/>
      <c r="D382" s="178" t="s">
        <v>873</v>
      </c>
      <c r="E382" s="178" t="s">
        <v>871</v>
      </c>
      <c r="F382" s="4"/>
      <c r="G382" s="178" t="s">
        <v>872</v>
      </c>
      <c r="H382" s="178"/>
      <c r="I382" s="178"/>
    </row>
    <row r="383" spans="1:9">
      <c r="A383" s="178" t="s">
        <v>784</v>
      </c>
      <c r="B383" s="178">
        <v>180500</v>
      </c>
      <c r="C383" s="178"/>
      <c r="D383" s="178" t="s">
        <v>956</v>
      </c>
      <c r="E383" s="178" t="s">
        <v>859</v>
      </c>
      <c r="F383" s="207"/>
      <c r="G383" s="178" t="s">
        <v>872</v>
      </c>
      <c r="H383" s="178"/>
      <c r="I383" s="178"/>
    </row>
    <row r="384" spans="1:9" s="201" customFormat="1">
      <c r="A384" s="199" t="s">
        <v>790</v>
      </c>
      <c r="B384" s="199">
        <v>180502</v>
      </c>
      <c r="C384" s="199"/>
      <c r="D384" s="199" t="s">
        <v>956</v>
      </c>
      <c r="E384" s="199" t="s">
        <v>871</v>
      </c>
      <c r="F384" s="44">
        <v>2605130464</v>
      </c>
      <c r="G384" s="199" t="s">
        <v>872</v>
      </c>
      <c r="H384" s="199"/>
      <c r="I384" s="199"/>
    </row>
    <row r="385" spans="1:9">
      <c r="A385" s="178" t="s">
        <v>790</v>
      </c>
      <c r="B385" s="178">
        <v>180502</v>
      </c>
      <c r="C385" s="178"/>
      <c r="D385" s="178" t="s">
        <v>873</v>
      </c>
      <c r="E385" s="178" t="s">
        <v>871</v>
      </c>
      <c r="F385" s="214">
        <v>2605130648</v>
      </c>
      <c r="G385" s="199" t="s">
        <v>872</v>
      </c>
      <c r="H385" s="178"/>
      <c r="I385" s="178"/>
    </row>
    <row r="386" spans="1:9">
      <c r="A386" s="182" t="s">
        <v>790</v>
      </c>
      <c r="B386" s="178">
        <v>180502</v>
      </c>
      <c r="C386" s="178"/>
      <c r="D386" s="178" t="s">
        <v>956</v>
      </c>
      <c r="E386" s="178" t="s">
        <v>859</v>
      </c>
      <c r="F386" s="169" t="s">
        <v>1002</v>
      </c>
      <c r="G386" s="199" t="s">
        <v>872</v>
      </c>
      <c r="H386" s="178"/>
      <c r="I386" s="178"/>
    </row>
    <row r="387" spans="1:9" s="201" customFormat="1">
      <c r="A387" s="178" t="s">
        <v>794</v>
      </c>
      <c r="B387" s="199">
        <v>180503</v>
      </c>
      <c r="C387" s="199"/>
      <c r="D387" s="199" t="s">
        <v>956</v>
      </c>
      <c r="E387" s="199" t="s">
        <v>871</v>
      </c>
      <c r="F387" s="44">
        <v>2605128897</v>
      </c>
      <c r="G387" s="199" t="s">
        <v>872</v>
      </c>
      <c r="H387" s="199"/>
      <c r="I387" s="199"/>
    </row>
    <row r="388" spans="1:9">
      <c r="A388" s="178" t="s">
        <v>794</v>
      </c>
      <c r="B388" s="178">
        <v>180503</v>
      </c>
      <c r="C388" s="178"/>
      <c r="D388" s="178" t="s">
        <v>873</v>
      </c>
      <c r="E388" s="178" t="s">
        <v>871</v>
      </c>
      <c r="F388" s="211">
        <v>2605131119</v>
      </c>
      <c r="G388" s="178" t="s">
        <v>872</v>
      </c>
      <c r="H388" s="178"/>
      <c r="I388" s="178"/>
    </row>
    <row r="389" spans="1:9">
      <c r="A389" s="178" t="s">
        <v>794</v>
      </c>
      <c r="B389" s="178">
        <v>180503</v>
      </c>
      <c r="C389" s="178"/>
      <c r="D389" s="178" t="s">
        <v>956</v>
      </c>
      <c r="E389" s="178" t="s">
        <v>859</v>
      </c>
      <c r="F389" s="4" t="s">
        <v>1003</v>
      </c>
      <c r="G389" s="178" t="s">
        <v>872</v>
      </c>
      <c r="H389" s="178"/>
      <c r="I389" s="178"/>
    </row>
    <row r="390" spans="1:9" s="201" customFormat="1">
      <c r="A390" s="199" t="s">
        <v>796</v>
      </c>
      <c r="B390" s="199">
        <v>180512</v>
      </c>
      <c r="C390" s="199"/>
      <c r="D390" s="199" t="s">
        <v>956</v>
      </c>
      <c r="E390" s="199" t="s">
        <v>871</v>
      </c>
      <c r="F390" s="44">
        <v>2605127727</v>
      </c>
      <c r="G390" s="199" t="s">
        <v>872</v>
      </c>
      <c r="H390" s="199"/>
      <c r="I390" s="199"/>
    </row>
    <row r="391" spans="1:9">
      <c r="A391" s="178" t="s">
        <v>796</v>
      </c>
      <c r="B391" s="178">
        <v>180512</v>
      </c>
      <c r="C391" s="178"/>
      <c r="D391" s="178" t="s">
        <v>873</v>
      </c>
      <c r="E391" s="178" t="s">
        <v>871</v>
      </c>
      <c r="F391" s="1">
        <v>2605130670</v>
      </c>
      <c r="G391" s="178" t="s">
        <v>872</v>
      </c>
      <c r="H391" s="178"/>
      <c r="I391" s="178"/>
    </row>
    <row r="392" spans="1:9">
      <c r="A392" s="178" t="s">
        <v>796</v>
      </c>
      <c r="B392" s="178">
        <v>180512</v>
      </c>
      <c r="C392" s="178"/>
      <c r="D392" s="178" t="s">
        <v>870</v>
      </c>
      <c r="E392" s="178" t="s">
        <v>859</v>
      </c>
      <c r="F392" s="4" t="s">
        <v>1004</v>
      </c>
      <c r="G392" s="178" t="s">
        <v>872</v>
      </c>
      <c r="H392" s="178"/>
      <c r="I392" s="178"/>
    </row>
    <row r="393" spans="1:9" s="201" customFormat="1" ht="15.75" customHeight="1">
      <c r="A393" s="199" t="s">
        <v>801</v>
      </c>
      <c r="B393" s="200">
        <v>180522</v>
      </c>
      <c r="C393" s="199"/>
      <c r="D393" s="199" t="s">
        <v>870</v>
      </c>
      <c r="E393" s="199" t="s">
        <v>871</v>
      </c>
      <c r="F393" s="1"/>
      <c r="G393" s="199" t="s">
        <v>872</v>
      </c>
      <c r="H393" s="199"/>
      <c r="I393" s="199"/>
    </row>
    <row r="394" spans="1:9" ht="15.75" customHeight="1">
      <c r="A394" s="178" t="s">
        <v>1005</v>
      </c>
      <c r="B394" s="191">
        <v>180522</v>
      </c>
      <c r="C394" s="178"/>
      <c r="D394" s="178" t="s">
        <v>873</v>
      </c>
      <c r="E394" s="178" t="s">
        <v>871</v>
      </c>
      <c r="G394" s="178" t="s">
        <v>872</v>
      </c>
      <c r="H394" s="178"/>
      <c r="I394" s="178"/>
    </row>
    <row r="395" spans="1:9" ht="15.75" customHeight="1">
      <c r="A395" s="178" t="s">
        <v>1006</v>
      </c>
      <c r="B395" s="191">
        <v>180522</v>
      </c>
      <c r="C395" s="178"/>
      <c r="D395" s="178" t="s">
        <v>870</v>
      </c>
      <c r="E395" s="178" t="s">
        <v>859</v>
      </c>
      <c r="F395" s="10"/>
      <c r="G395" s="178" t="s">
        <v>872</v>
      </c>
      <c r="H395" s="178"/>
      <c r="I395" s="178"/>
    </row>
    <row r="396" spans="1:9" s="201" customFormat="1">
      <c r="A396" s="202" t="s">
        <v>807</v>
      </c>
      <c r="B396" s="200">
        <v>180523</v>
      </c>
      <c r="C396" s="199"/>
      <c r="D396" s="199" t="s">
        <v>870</v>
      </c>
      <c r="E396" s="199" t="s">
        <v>871</v>
      </c>
      <c r="F396" s="216">
        <v>2605131592</v>
      </c>
      <c r="G396" s="199" t="s">
        <v>872</v>
      </c>
      <c r="H396" s="203" t="s">
        <v>399</v>
      </c>
      <c r="I396" s="199"/>
    </row>
    <row r="397" spans="1:9">
      <c r="A397" s="192" t="s">
        <v>807</v>
      </c>
      <c r="B397" s="191">
        <v>180523</v>
      </c>
      <c r="C397" s="178"/>
      <c r="D397" s="178" t="s">
        <v>873</v>
      </c>
      <c r="E397" s="178" t="s">
        <v>871</v>
      </c>
      <c r="G397" s="178" t="s">
        <v>872</v>
      </c>
      <c r="H397" s="178"/>
      <c r="I397" s="178"/>
    </row>
    <row r="398" spans="1:9" s="206" customFormat="1">
      <c r="A398" s="205" t="s">
        <v>807</v>
      </c>
      <c r="B398" s="204">
        <v>180523</v>
      </c>
      <c r="C398" s="182"/>
      <c r="D398" s="182" t="s">
        <v>870</v>
      </c>
      <c r="E398" s="182" t="s">
        <v>859</v>
      </c>
      <c r="F398" s="44" t="s">
        <v>1007</v>
      </c>
      <c r="G398" s="182" t="s">
        <v>872</v>
      </c>
      <c r="H398" s="182"/>
      <c r="I398" s="182"/>
    </row>
    <row r="399" spans="1:9">
      <c r="A399" s="192" t="s">
        <v>813</v>
      </c>
      <c r="B399" s="191">
        <v>180525</v>
      </c>
      <c r="C399" s="178"/>
      <c r="D399" s="178" t="s">
        <v>870</v>
      </c>
      <c r="E399" s="178" t="s">
        <v>871</v>
      </c>
      <c r="F399" s="39"/>
      <c r="G399" s="178" t="s">
        <v>872</v>
      </c>
      <c r="H399" s="178"/>
      <c r="I399" s="178"/>
    </row>
    <row r="400" spans="1:9">
      <c r="A400" s="192" t="s">
        <v>813</v>
      </c>
      <c r="B400" s="191">
        <v>180525</v>
      </c>
      <c r="C400" s="178"/>
      <c r="D400" s="178" t="s">
        <v>873</v>
      </c>
      <c r="E400" s="178" t="s">
        <v>871</v>
      </c>
      <c r="G400" s="178" t="s">
        <v>872</v>
      </c>
      <c r="H400" s="178"/>
      <c r="I400" s="178"/>
    </row>
    <row r="401" spans="1:9">
      <c r="A401" s="192" t="s">
        <v>813</v>
      </c>
      <c r="B401" s="191">
        <v>180525</v>
      </c>
      <c r="C401" s="178"/>
      <c r="D401" s="178" t="s">
        <v>870</v>
      </c>
      <c r="E401" s="178" t="s">
        <v>859</v>
      </c>
      <c r="F401" s="10"/>
      <c r="G401" s="178" t="s">
        <v>872</v>
      </c>
      <c r="H401" s="178"/>
      <c r="I401" s="178"/>
    </row>
    <row r="402" spans="1:9" s="201" customFormat="1">
      <c r="A402" s="202" t="s">
        <v>819</v>
      </c>
      <c r="B402" s="200">
        <v>180526</v>
      </c>
      <c r="C402" s="199"/>
      <c r="D402" s="199" t="s">
        <v>956</v>
      </c>
      <c r="E402" s="199" t="s">
        <v>871</v>
      </c>
      <c r="F402" s="1"/>
      <c r="G402" s="199" t="s">
        <v>872</v>
      </c>
      <c r="H402" s="199"/>
      <c r="I402" s="199"/>
    </row>
    <row r="403" spans="1:9">
      <c r="A403" s="192" t="s">
        <v>819</v>
      </c>
      <c r="B403" s="191">
        <v>180526</v>
      </c>
      <c r="C403" s="178"/>
      <c r="D403" s="178" t="s">
        <v>873</v>
      </c>
      <c r="E403" s="178" t="s">
        <v>871</v>
      </c>
      <c r="G403" s="178" t="s">
        <v>872</v>
      </c>
      <c r="H403" s="178"/>
      <c r="I403" s="178"/>
    </row>
    <row r="404" spans="1:9">
      <c r="A404" s="205" t="s">
        <v>819</v>
      </c>
      <c r="B404" s="191">
        <v>180526</v>
      </c>
      <c r="C404" s="178"/>
      <c r="D404" s="178" t="s">
        <v>956</v>
      </c>
      <c r="E404" s="178" t="s">
        <v>859</v>
      </c>
      <c r="F404" s="10"/>
      <c r="G404" s="178" t="s">
        <v>872</v>
      </c>
      <c r="H404" s="178"/>
      <c r="I404" s="178"/>
    </row>
    <row r="405" spans="1:9" s="201" customFormat="1">
      <c r="A405" s="192" t="s">
        <v>826</v>
      </c>
      <c r="B405" s="200">
        <v>180536</v>
      </c>
      <c r="C405" s="199"/>
      <c r="D405" s="199" t="s">
        <v>870</v>
      </c>
      <c r="E405" s="199" t="s">
        <v>871</v>
      </c>
      <c r="F405" s="1"/>
      <c r="G405" s="199" t="s">
        <v>872</v>
      </c>
      <c r="H405" s="199"/>
      <c r="I405" s="199"/>
    </row>
    <row r="406" spans="1:9">
      <c r="A406" s="192" t="s">
        <v>826</v>
      </c>
      <c r="B406" s="191">
        <v>180536</v>
      </c>
      <c r="C406" s="178"/>
      <c r="D406" s="178" t="s">
        <v>873</v>
      </c>
      <c r="E406" s="178" t="s">
        <v>871</v>
      </c>
      <c r="G406" s="178" t="s">
        <v>872</v>
      </c>
      <c r="H406" s="178"/>
      <c r="I406" s="178"/>
    </row>
    <row r="407" spans="1:9">
      <c r="A407" s="192" t="s">
        <v>826</v>
      </c>
      <c r="B407" s="191">
        <v>180536</v>
      </c>
      <c r="C407" s="178"/>
      <c r="D407" s="178" t="s">
        <v>956</v>
      </c>
      <c r="E407" s="178" t="s">
        <v>859</v>
      </c>
      <c r="F407" s="10"/>
      <c r="G407" s="178" t="s">
        <v>872</v>
      </c>
      <c r="H407" s="178"/>
      <c r="I407" s="178"/>
    </row>
    <row r="408" spans="1:9" s="201" customFormat="1">
      <c r="A408" s="202" t="s">
        <v>832</v>
      </c>
      <c r="B408" s="200">
        <v>180541</v>
      </c>
      <c r="C408" s="199"/>
      <c r="D408" s="199" t="s">
        <v>956</v>
      </c>
      <c r="E408" s="199" t="s">
        <v>871</v>
      </c>
      <c r="F408" s="216">
        <v>2605132075</v>
      </c>
      <c r="G408" s="199" t="s">
        <v>872</v>
      </c>
      <c r="H408" s="199" t="s">
        <v>52</v>
      </c>
      <c r="I408" s="199"/>
    </row>
    <row r="409" spans="1:9">
      <c r="A409" s="192" t="s">
        <v>832</v>
      </c>
      <c r="B409" s="191">
        <v>180541</v>
      </c>
      <c r="C409" s="178"/>
      <c r="D409" s="178" t="s">
        <v>873</v>
      </c>
      <c r="E409" s="178" t="s">
        <v>871</v>
      </c>
      <c r="G409" s="178" t="s">
        <v>872</v>
      </c>
      <c r="H409" s="178"/>
      <c r="I409" s="178"/>
    </row>
    <row r="410" spans="1:9">
      <c r="A410" s="192" t="s">
        <v>832</v>
      </c>
      <c r="B410" s="191">
        <v>180541</v>
      </c>
      <c r="C410" s="178"/>
      <c r="D410" s="178" t="s">
        <v>956</v>
      </c>
      <c r="E410" s="178" t="s">
        <v>859</v>
      </c>
      <c r="F410" s="169" t="s">
        <v>1008</v>
      </c>
      <c r="G410" s="178" t="s">
        <v>872</v>
      </c>
      <c r="H410" s="178"/>
      <c r="I410" s="178"/>
    </row>
    <row r="411" spans="1:9" s="201" customFormat="1">
      <c r="A411" s="202" t="s">
        <v>839</v>
      </c>
      <c r="B411" s="200">
        <v>180544</v>
      </c>
      <c r="C411" s="199"/>
      <c r="D411" s="199" t="s">
        <v>870</v>
      </c>
      <c r="E411" s="199" t="s">
        <v>871</v>
      </c>
      <c r="F411" s="216">
        <v>2605131931</v>
      </c>
      <c r="G411" s="199" t="s">
        <v>872</v>
      </c>
      <c r="H411" s="199" t="s">
        <v>52</v>
      </c>
      <c r="I411" s="199"/>
    </row>
    <row r="412" spans="1:9">
      <c r="A412" s="192" t="s">
        <v>839</v>
      </c>
      <c r="B412" s="191">
        <v>180544</v>
      </c>
      <c r="C412" s="178"/>
      <c r="D412" s="178" t="s">
        <v>873</v>
      </c>
      <c r="E412" s="178" t="s">
        <v>871</v>
      </c>
      <c r="G412" s="178" t="s">
        <v>872</v>
      </c>
      <c r="H412" s="178"/>
      <c r="I412" s="178"/>
    </row>
    <row r="413" spans="1:9">
      <c r="A413" s="192" t="s">
        <v>839</v>
      </c>
      <c r="B413" s="191">
        <v>180544</v>
      </c>
      <c r="C413" s="178"/>
      <c r="D413" s="178" t="s">
        <v>956</v>
      </c>
      <c r="E413" s="178" t="s">
        <v>859</v>
      </c>
      <c r="F413" s="285" t="s">
        <v>1009</v>
      </c>
      <c r="G413" s="178" t="s">
        <v>872</v>
      </c>
      <c r="H413" s="178"/>
      <c r="I413" s="178"/>
    </row>
    <row r="414" spans="1:9" s="201" customFormat="1">
      <c r="A414" s="202" t="s">
        <v>841</v>
      </c>
      <c r="B414" s="200">
        <v>180545</v>
      </c>
      <c r="C414" s="199"/>
      <c r="D414" s="199" t="s">
        <v>956</v>
      </c>
      <c r="E414" s="199" t="s">
        <v>871</v>
      </c>
      <c r="F414" s="1"/>
      <c r="G414" s="199" t="s">
        <v>872</v>
      </c>
      <c r="H414" s="199"/>
      <c r="I414" s="199"/>
    </row>
    <row r="415" spans="1:9">
      <c r="A415" s="192" t="s">
        <v>841</v>
      </c>
      <c r="B415" s="191">
        <v>180545</v>
      </c>
      <c r="C415" s="178"/>
      <c r="D415" s="178" t="s">
        <v>873</v>
      </c>
      <c r="E415" s="178" t="s">
        <v>871</v>
      </c>
      <c r="G415" s="178" t="s">
        <v>872</v>
      </c>
      <c r="H415" s="178"/>
      <c r="I415" s="178"/>
    </row>
    <row r="416" spans="1:9">
      <c r="A416" s="192" t="s">
        <v>841</v>
      </c>
      <c r="B416" s="191">
        <v>180545</v>
      </c>
      <c r="C416" s="178"/>
      <c r="D416" s="178" t="s">
        <v>956</v>
      </c>
      <c r="E416" s="178" t="s">
        <v>859</v>
      </c>
      <c r="F416" s="10"/>
      <c r="G416" s="178" t="s">
        <v>872</v>
      </c>
      <c r="H416" s="178"/>
      <c r="I416" s="178"/>
    </row>
    <row r="417" spans="1:9">
      <c r="A417" s="202" t="s">
        <v>843</v>
      </c>
      <c r="B417" s="200">
        <v>180547</v>
      </c>
      <c r="C417" s="199"/>
      <c r="D417" s="199" t="s">
        <v>870</v>
      </c>
      <c r="E417" s="199" t="s">
        <v>871</v>
      </c>
      <c r="G417" s="199" t="s">
        <v>872</v>
      </c>
      <c r="H417" s="199"/>
      <c r="I417" s="199"/>
    </row>
    <row r="418" spans="1:9">
      <c r="A418" s="192" t="s">
        <v>843</v>
      </c>
      <c r="B418" s="191">
        <v>180547</v>
      </c>
      <c r="C418" s="178"/>
      <c r="D418" s="178" t="s">
        <v>873</v>
      </c>
      <c r="E418" s="178" t="s">
        <v>871</v>
      </c>
      <c r="G418" s="178" t="s">
        <v>872</v>
      </c>
      <c r="H418" s="178"/>
      <c r="I418" s="178"/>
    </row>
    <row r="419" spans="1:9">
      <c r="A419" s="192" t="s">
        <v>843</v>
      </c>
      <c r="B419" s="191">
        <v>180547</v>
      </c>
      <c r="C419" s="178"/>
      <c r="D419" s="178" t="s">
        <v>956</v>
      </c>
      <c r="E419" s="178" t="s">
        <v>859</v>
      </c>
      <c r="F419" s="10"/>
      <c r="G419" s="178" t="s">
        <v>872</v>
      </c>
      <c r="H419" s="178"/>
      <c r="I419" s="178"/>
    </row>
    <row r="420" spans="1:9" s="201" customFormat="1">
      <c r="A420" s="202" t="s">
        <v>845</v>
      </c>
      <c r="B420" s="200">
        <v>180549</v>
      </c>
      <c r="C420" s="199"/>
      <c r="D420" s="199" t="s">
        <v>956</v>
      </c>
      <c r="E420" s="199" t="s">
        <v>871</v>
      </c>
      <c r="F420" s="1"/>
      <c r="G420" s="199" t="s">
        <v>872</v>
      </c>
      <c r="H420" s="199"/>
      <c r="I420" s="199"/>
    </row>
    <row r="421" spans="1:9">
      <c r="A421" s="192" t="s">
        <v>845</v>
      </c>
      <c r="B421" s="191">
        <v>180549</v>
      </c>
      <c r="C421" s="178"/>
      <c r="D421" s="178" t="s">
        <v>873</v>
      </c>
      <c r="E421" s="178" t="s">
        <v>871</v>
      </c>
      <c r="G421" s="178" t="s">
        <v>872</v>
      </c>
      <c r="H421" s="178"/>
      <c r="I421" s="178"/>
    </row>
    <row r="422" spans="1:9">
      <c r="A422" s="205" t="s">
        <v>845</v>
      </c>
      <c r="B422" s="191">
        <v>180549</v>
      </c>
      <c r="C422" s="178"/>
      <c r="D422" s="178" t="s">
        <v>956</v>
      </c>
      <c r="E422" s="178" t="s">
        <v>859</v>
      </c>
      <c r="F422" s="10"/>
      <c r="G422" s="178" t="s">
        <v>872</v>
      </c>
      <c r="H422" s="178"/>
      <c r="I422" s="178"/>
    </row>
    <row r="423" spans="1:9" s="201" customFormat="1">
      <c r="A423" s="192" t="s">
        <v>847</v>
      </c>
      <c r="B423" s="200">
        <v>180550</v>
      </c>
      <c r="C423" s="199"/>
      <c r="D423" s="199" t="s">
        <v>870</v>
      </c>
      <c r="E423" s="199" t="s">
        <v>871</v>
      </c>
      <c r="F423" s="216">
        <v>2605132366</v>
      </c>
      <c r="G423" s="199" t="s">
        <v>872</v>
      </c>
      <c r="H423" s="199"/>
      <c r="I423" s="199"/>
    </row>
    <row r="424" spans="1:9">
      <c r="A424" s="192" t="s">
        <v>847</v>
      </c>
      <c r="B424" s="191">
        <v>180550</v>
      </c>
      <c r="C424" s="178"/>
      <c r="D424" s="178" t="s">
        <v>873</v>
      </c>
      <c r="E424" s="178" t="s">
        <v>871</v>
      </c>
      <c r="G424" s="178" t="s">
        <v>872</v>
      </c>
      <c r="H424" s="178"/>
      <c r="I424" s="178"/>
    </row>
    <row r="425" spans="1:9">
      <c r="A425" s="192" t="s">
        <v>847</v>
      </c>
      <c r="B425" s="191">
        <v>180550</v>
      </c>
      <c r="C425" s="178"/>
      <c r="D425" s="178" t="s">
        <v>956</v>
      </c>
      <c r="E425" s="178" t="s">
        <v>859</v>
      </c>
      <c r="F425" s="207" t="s">
        <v>1010</v>
      </c>
      <c r="G425" s="178" t="s">
        <v>872</v>
      </c>
      <c r="H425" s="178"/>
      <c r="I425" s="178"/>
    </row>
    <row r="426" spans="1:9" s="201" customFormat="1">
      <c r="A426" s="202" t="s">
        <v>849</v>
      </c>
      <c r="B426" s="200">
        <v>180551</v>
      </c>
      <c r="C426" s="199"/>
      <c r="D426" s="199" t="s">
        <v>956</v>
      </c>
      <c r="E426" s="199" t="s">
        <v>871</v>
      </c>
      <c r="F426" s="1"/>
      <c r="G426" s="199" t="s">
        <v>872</v>
      </c>
      <c r="H426" s="199"/>
      <c r="I426" s="199"/>
    </row>
    <row r="427" spans="1:9">
      <c r="A427" s="192" t="s">
        <v>849</v>
      </c>
      <c r="B427" s="191">
        <v>180551</v>
      </c>
      <c r="C427" s="178"/>
      <c r="D427" s="178" t="s">
        <v>873</v>
      </c>
      <c r="E427" s="178" t="s">
        <v>871</v>
      </c>
      <c r="G427" s="178" t="s">
        <v>872</v>
      </c>
      <c r="H427" s="178"/>
      <c r="I427" s="178"/>
    </row>
    <row r="428" spans="1:9">
      <c r="A428" s="205" t="s">
        <v>849</v>
      </c>
      <c r="B428" s="191">
        <v>180551</v>
      </c>
      <c r="C428" s="178"/>
      <c r="D428" s="178" t="s">
        <v>956</v>
      </c>
      <c r="E428" s="178" t="s">
        <v>859</v>
      </c>
      <c r="F428" s="10"/>
      <c r="G428" s="178" t="s">
        <v>872</v>
      </c>
      <c r="H428" s="178"/>
      <c r="I428" s="178"/>
    </row>
    <row r="429" spans="1:9" s="201" customFormat="1">
      <c r="A429" s="192" t="s">
        <v>851</v>
      </c>
      <c r="B429" s="200">
        <v>180552</v>
      </c>
      <c r="C429" s="199"/>
      <c r="D429" s="199" t="s">
        <v>870</v>
      </c>
      <c r="E429" s="199" t="s">
        <v>871</v>
      </c>
      <c r="F429" s="1"/>
      <c r="G429" s="199" t="s">
        <v>872</v>
      </c>
      <c r="H429" s="199"/>
      <c r="I429" s="199"/>
    </row>
    <row r="430" spans="1:9">
      <c r="A430" s="192" t="s">
        <v>851</v>
      </c>
      <c r="B430" s="191">
        <v>180552</v>
      </c>
      <c r="C430" s="178"/>
      <c r="D430" s="178" t="s">
        <v>873</v>
      </c>
      <c r="E430" s="178" t="s">
        <v>871</v>
      </c>
      <c r="G430" s="178" t="s">
        <v>872</v>
      </c>
      <c r="H430" s="178"/>
      <c r="I430" s="178"/>
    </row>
    <row r="431" spans="1:9">
      <c r="A431" s="192" t="s">
        <v>851</v>
      </c>
      <c r="B431" s="204">
        <v>180552</v>
      </c>
      <c r="C431" s="178"/>
      <c r="D431" s="178" t="s">
        <v>870</v>
      </c>
      <c r="E431" s="178" t="s">
        <v>859</v>
      </c>
      <c r="F431" s="10"/>
      <c r="G431" s="178" t="s">
        <v>872</v>
      </c>
      <c r="H431" s="178"/>
      <c r="I431" s="178"/>
    </row>
    <row r="432" spans="1:9" s="201" customFormat="1">
      <c r="A432" s="202" t="s">
        <v>853</v>
      </c>
      <c r="B432" s="191">
        <v>180553</v>
      </c>
      <c r="C432" s="199"/>
      <c r="D432" s="199" t="s">
        <v>870</v>
      </c>
      <c r="E432" s="199" t="s">
        <v>871</v>
      </c>
      <c r="F432" s="1"/>
      <c r="G432" s="199" t="s">
        <v>872</v>
      </c>
      <c r="H432" s="199"/>
      <c r="I432" s="199"/>
    </row>
    <row r="433" spans="1:9">
      <c r="A433" s="192" t="s">
        <v>853</v>
      </c>
      <c r="B433" s="191">
        <v>180553</v>
      </c>
      <c r="C433" s="178"/>
      <c r="D433" s="178" t="s">
        <v>873</v>
      </c>
      <c r="E433" s="178" t="s">
        <v>871</v>
      </c>
      <c r="G433" s="178" t="s">
        <v>872</v>
      </c>
      <c r="H433" s="178"/>
      <c r="I433" s="178"/>
    </row>
    <row r="434" spans="1:9">
      <c r="A434" s="192" t="s">
        <v>853</v>
      </c>
      <c r="B434" s="191">
        <v>180553</v>
      </c>
      <c r="C434" s="178"/>
      <c r="D434" s="178" t="s">
        <v>870</v>
      </c>
      <c r="E434" s="178" t="s">
        <v>859</v>
      </c>
      <c r="F434" s="10"/>
      <c r="G434" s="178" t="s">
        <v>872</v>
      </c>
      <c r="H434" s="178"/>
      <c r="I434" s="178"/>
    </row>
    <row r="435" spans="1:9" s="201" customFormat="1">
      <c r="A435" s="209" t="s">
        <v>855</v>
      </c>
      <c r="B435" s="201">
        <v>180561</v>
      </c>
      <c r="C435" s="199"/>
      <c r="D435" s="199" t="s">
        <v>956</v>
      </c>
      <c r="E435" s="199" t="s">
        <v>871</v>
      </c>
      <c r="F435" s="1"/>
      <c r="G435" s="199" t="s">
        <v>872</v>
      </c>
      <c r="H435" s="199"/>
      <c r="I435" s="199"/>
    </row>
    <row r="436" spans="1:9">
      <c r="A436" s="194" t="s">
        <v>855</v>
      </c>
      <c r="B436">
        <v>180561</v>
      </c>
      <c r="C436" s="178"/>
      <c r="D436" s="178" t="s">
        <v>873</v>
      </c>
      <c r="E436" s="178" t="s">
        <v>871</v>
      </c>
      <c r="G436" s="178" t="s">
        <v>872</v>
      </c>
      <c r="H436" s="178"/>
      <c r="I436" s="178"/>
    </row>
    <row r="437" spans="1:9" s="206" customFormat="1">
      <c r="A437" s="210" t="s">
        <v>855</v>
      </c>
      <c r="B437" s="206">
        <v>180561</v>
      </c>
      <c r="C437" s="182"/>
      <c r="D437" s="182" t="s">
        <v>956</v>
      </c>
      <c r="E437" s="182" t="s">
        <v>859</v>
      </c>
      <c r="F437" s="1"/>
      <c r="G437" s="182" t="s">
        <v>872</v>
      </c>
      <c r="H437" s="182"/>
      <c r="I437" s="182"/>
    </row>
    <row r="438" spans="1:9">
      <c r="A438" s="194"/>
      <c r="C438" s="178"/>
      <c r="D438" s="178"/>
      <c r="E438" s="178"/>
      <c r="F438" s="39"/>
      <c r="G438" s="178"/>
      <c r="H438" s="178"/>
      <c r="I438" s="178"/>
    </row>
    <row r="439" spans="1:9">
      <c r="A439" s="192"/>
      <c r="B439" s="178"/>
      <c r="C439" s="178"/>
      <c r="D439" s="178"/>
      <c r="E439" s="178"/>
      <c r="G439" s="178"/>
      <c r="H439" s="178"/>
      <c r="I439" s="178"/>
    </row>
    <row r="440" spans="1:9">
      <c r="A440" s="192"/>
      <c r="B440" s="178"/>
      <c r="C440" s="178"/>
      <c r="D440" s="178"/>
      <c r="E440" s="178"/>
      <c r="G440" s="178"/>
      <c r="H440" s="178"/>
      <c r="I440" s="178"/>
    </row>
    <row r="441" spans="1:9">
      <c r="A441" s="194"/>
      <c r="C441" s="178"/>
      <c r="D441" s="178"/>
      <c r="E441" s="178"/>
      <c r="G441" s="178"/>
      <c r="H441" s="178"/>
      <c r="I441" s="178"/>
    </row>
  </sheetData>
  <conditionalFormatting sqref="D1:D1048576">
    <cfRule type="containsText" dxfId="3" priority="1" operator="containsText" text="UYD">
      <formula>NOT(ISERROR(SEARCH("UYD",D1)))</formula>
    </cfRule>
    <cfRule type="containsText" dxfId="2" priority="4" operator="containsText" text="CDA">
      <formula>NOT(ISERROR(SEARCH("CDA",D1)))</formula>
    </cfRule>
  </conditionalFormatting>
  <conditionalFormatting sqref="E1:E1048576">
    <cfRule type="containsText" dxfId="1" priority="2" operator="containsText" text="SEREMI">
      <formula>NOT(ISERROR(SEARCH("SEREMI",E1)))</formula>
    </cfRule>
    <cfRule type="containsText" dxfId="0" priority="3" operator="containsText" text="SAG">
      <formula>NOT(ISERROR(SEARCH("SAG",E1)))</formula>
    </cfRule>
  </conditionalFormatting>
  <hyperlinks>
    <hyperlink ref="F2" r:id="rId1" display="2605113227" xr:uid="{925123FB-06AC-40A2-B47A-3B29B3024520}"/>
    <hyperlink ref="F3" r:id="rId2" display="2605114532" xr:uid="{CF3B3C56-4A43-463F-831D-90E1319C292E}"/>
    <hyperlink ref="F4" r:id="rId3" xr:uid="{F645FC10-4C96-4BC5-9A38-286C2F4D5CD5}"/>
    <hyperlink ref="F6" r:id="rId4" display="2605101385" xr:uid="{0607D0A0-6961-4962-A3D9-1E785CBD4C0A}"/>
    <hyperlink ref="F7" r:id="rId5" display="2605109992" xr:uid="{9FAADBCE-22DF-4C55-B13B-6630BED9827D}"/>
    <hyperlink ref="F8" r:id="rId6" xr:uid="{1E39DBDF-BEC8-4267-AA96-D09221F0ECBE}"/>
    <hyperlink ref="F9" r:id="rId7" display="2605106362" xr:uid="{4CA28F79-0C4E-42FA-BAFA-0284A1D2D8AB}"/>
    <hyperlink ref="F10" r:id="rId8" display="2605107634" xr:uid="{F7ED502E-2592-43C9-9B08-4DD35EB3217E}"/>
    <hyperlink ref="F11" r:id="rId9" xr:uid="{F162AF36-0EAA-47E0-9133-515A21389382}"/>
    <hyperlink ref="F12" r:id="rId10" display="260595504" xr:uid="{DC73E56B-768B-4EAA-81C9-982BE7848895}"/>
    <hyperlink ref="F13" r:id="rId11" display="260597318" xr:uid="{83C4A1BD-D3D2-4E3D-BBAE-8EA8948B6723}"/>
    <hyperlink ref="F14" r:id="rId12" xr:uid="{183976CC-3FFA-40E0-9E09-1E5D8EF81E6F}"/>
    <hyperlink ref="F15" r:id="rId13" display="260598254" xr:uid="{CEA4C988-6050-4B0C-9456-4367908F379F}"/>
    <hyperlink ref="F16" r:id="rId14" display="260599583" xr:uid="{187EA10C-5F75-477B-AEAE-866E7A51D9DD}"/>
    <hyperlink ref="F17" r:id="rId15" xr:uid="{FB38BE39-2C2C-4F0C-A3C3-FF740925B3EC}"/>
    <hyperlink ref="F18" r:id="rId16" display="2605101685" xr:uid="{DE4F747A-D24D-4CA4-98BD-B2DDA3BC88CC}"/>
    <hyperlink ref="F19" r:id="rId17" display="2605107573" xr:uid="{89698C1B-3377-4931-85FF-911A4BD904C7}"/>
    <hyperlink ref="F20" r:id="rId18" xr:uid="{0EB05FD1-0EC1-491A-8D3E-638486B004FA}"/>
    <hyperlink ref="F21" r:id="rId19" display="2605101914" xr:uid="{036A2D3E-38D2-4439-B9A2-1858FAAEC4C5}"/>
    <hyperlink ref="F22" r:id="rId20" display="2605102768" xr:uid="{01C11A76-98BF-427C-90F2-2B085C1BF70C}"/>
    <hyperlink ref="F23" r:id="rId21" xr:uid="{E97E9E34-0941-4590-8F64-B028B1CD809F}"/>
    <hyperlink ref="F24" r:id="rId22" display="2605100691" xr:uid="{9E7F4EBF-2E2F-49C6-8E57-DE159370EFAE}"/>
    <hyperlink ref="F25" r:id="rId23" display="2605101997" xr:uid="{05CF4194-C2C3-4D06-A82F-DA3BE46AEE57}"/>
    <hyperlink ref="F26" r:id="rId24" xr:uid="{F99624A1-6D27-419B-80C5-82875EB1D1F8}"/>
    <hyperlink ref="F27" r:id="rId25" display="2605101437" xr:uid="{0B50751B-E435-4058-AEB4-8FEBEAEC4FC6}"/>
    <hyperlink ref="F28" r:id="rId26" display="2605101999" xr:uid="{C53F8ABE-8184-40D9-9AD7-676DBE6912B7}"/>
    <hyperlink ref="F29" r:id="rId27" xr:uid="{EC4D9ECD-703C-4249-A269-A206A7D6700A}"/>
    <hyperlink ref="F30" r:id="rId28" display="2605106858" xr:uid="{8A293817-927E-4B1C-89E2-57B7175B4337}"/>
    <hyperlink ref="F31" r:id="rId29" display="2605107743" xr:uid="{8EF19732-9179-4BC2-9335-EF8C0E6428EE}"/>
    <hyperlink ref="F32" r:id="rId30" xr:uid="{ACA33A14-1CB3-4A7B-B40F-E390853221F5}"/>
    <hyperlink ref="F33" r:id="rId31" display="2605100503" xr:uid="{C276A358-DF58-45BF-9D92-89763B197429}"/>
    <hyperlink ref="F34" r:id="rId32" display="2605102001" xr:uid="{C630BB54-AC60-4EEE-BAF4-9C2BE6621B5F}"/>
    <hyperlink ref="F35" r:id="rId33" xr:uid="{3EE921CA-E04F-47EF-96E8-B9C0F2218EAD}"/>
    <hyperlink ref="F36" r:id="rId34" display="2605106749" xr:uid="{CEF3267C-5857-4684-A943-2F681C6BFA33}"/>
    <hyperlink ref="F37" r:id="rId35" display="2605107710" xr:uid="{8EFD709D-2365-48D7-8C20-B8622FD5D83B}"/>
    <hyperlink ref="F38" r:id="rId36" xr:uid="{DD4AD7E2-AE8B-4178-A7CD-D24D4DCB93D2}"/>
    <hyperlink ref="F39" r:id="rId37" display="2605104506" xr:uid="{FCD8906D-8BB2-439E-AB90-1CFCD106DDEB}"/>
    <hyperlink ref="F40" r:id="rId38" display="2605105058" xr:uid="{0372C3E4-4D62-4646-A8BD-CE3A4E8F6803}"/>
    <hyperlink ref="F41" r:id="rId39" xr:uid="{35826033-441F-4597-A176-97C94177BDA0}"/>
    <hyperlink ref="F42" r:id="rId40" display="2605103079" xr:uid="{094F02B1-0DA6-4CCE-8B62-D618C0FC17E0}"/>
    <hyperlink ref="F43" r:id="rId41" display="2605105078" xr:uid="{6113964E-F22B-4D63-9FC2-C4D3D575F836}"/>
    <hyperlink ref="F44" r:id="rId42" xr:uid="{73509CB8-1EDF-41A3-96E8-F71928493419}"/>
    <hyperlink ref="F45" r:id="rId43" display="2605103668" xr:uid="{4AF7D086-7A91-4F0E-A491-971105D50F3A}"/>
    <hyperlink ref="F46" r:id="rId44" display="2605105134" xr:uid="{5F89BFEA-219C-44E5-B4E5-2552F3805DC2}"/>
    <hyperlink ref="F47" r:id="rId45" xr:uid="{F977BB49-CD32-4069-8739-62526FE17B09}"/>
    <hyperlink ref="F48" r:id="rId46" display="2605102035" xr:uid="{1149AEF8-9490-4058-81E3-620EE93B93B5}"/>
    <hyperlink ref="F49" r:id="rId47" display="2605102626" xr:uid="{5BE1FC1F-1F54-4A93-9A02-EDED0B1C1363}"/>
    <hyperlink ref="F50" r:id="rId48" xr:uid="{B9ADA3BD-7078-4EA1-AA65-B62147B1CA1F}"/>
    <hyperlink ref="F51" r:id="rId49" display="2605103273" xr:uid="{6EDB29EE-89CE-4EA7-9FFB-3B4CE682F0EA}"/>
    <hyperlink ref="F52" r:id="rId50" display="2605104792" xr:uid="{3EFEE769-981C-4446-99A6-C83BCDEFC60D}"/>
    <hyperlink ref="F53" r:id="rId51" xr:uid="{576F62A2-426C-4B52-83E3-1D7CA8386686}"/>
    <hyperlink ref="F54" r:id="rId52" display="2605107269" xr:uid="{BE61E53C-A5A0-462F-A073-31F2CB8E3DAC}"/>
    <hyperlink ref="F55" r:id="rId53" display="2605110378" xr:uid="{7101BFB1-AAB8-429B-BAE4-7E7C45AC31E5}"/>
    <hyperlink ref="F56" r:id="rId54" xr:uid="{52AEA61B-0BC3-42D6-8138-61409DB8B078}"/>
    <hyperlink ref="F57" r:id="rId55" display="2605107217" xr:uid="{4EE51739-822E-47AE-8510-58942D6B8789}"/>
    <hyperlink ref="F58" r:id="rId56" display="2605110317" xr:uid="{7FED7193-E016-4A0E-A4DC-1EA4C53D93B1}"/>
    <hyperlink ref="F59" r:id="rId57" xr:uid="{D5F479F8-E206-4AC0-B086-2E8F2210513F}"/>
    <hyperlink ref="F60" r:id="rId58" display="2605107322" xr:uid="{3CA9FB09-1DA2-47AA-AE1A-CEEE3DE4EF6A}"/>
    <hyperlink ref="F61" r:id="rId59" display="2605110277" xr:uid="{C790DCB8-4D4F-44A3-A085-6887C4692411}"/>
    <hyperlink ref="F62" r:id="rId60" xr:uid="{489E022B-B61E-4A2F-AEE5-71A9B922DB14}"/>
    <hyperlink ref="F63" r:id="rId61" display="2605103977" xr:uid="{144BBFF2-1790-4620-BA0C-4FE93DA1F564}"/>
    <hyperlink ref="F64" r:id="rId62" display="2605104765" xr:uid="{1B8D13B6-57B1-4CBC-8CAB-6AD812078E3F}"/>
    <hyperlink ref="F65" r:id="rId63" xr:uid="{6D37FA76-A01F-417C-81C3-6DE895F5EC0B}"/>
    <hyperlink ref="F66" r:id="rId64" display="2605108712" xr:uid="{E9751DC0-E470-4477-8B66-7BA4BDE0440C}"/>
    <hyperlink ref="F67" r:id="rId65" display="2605110144" xr:uid="{B1783E4D-1826-4F6E-A756-F9FD3EDCA6DE}"/>
    <hyperlink ref="F68" r:id="rId66" xr:uid="{AE815F21-AD4F-4FC1-B214-E9EEB6218638}"/>
    <hyperlink ref="F69" r:id="rId67" display="2605109923" xr:uid="{2DD1931B-A39D-4BD8-AB1A-962ACA2B147B}"/>
    <hyperlink ref="F70" r:id="rId68" display="2605112548" xr:uid="{28E22733-581F-4F6C-BE95-8637AC9579BA}"/>
    <hyperlink ref="F71" r:id="rId69" xr:uid="{2C54DAC0-9AC1-4B50-A15B-7BDA4E22AC15}"/>
    <hyperlink ref="F72" r:id="rId70" display="2605106196" xr:uid="{CDDAE739-7484-40A7-B86C-C348672C7150}"/>
    <hyperlink ref="F73" r:id="rId71" display="2605107984" xr:uid="{EA872E03-CD0D-4614-A13A-FC28D637778F}"/>
    <hyperlink ref="F74" r:id="rId72" xr:uid="{D49C2EEC-8131-404C-8C94-024C7DC4D0AC}"/>
    <hyperlink ref="F75" r:id="rId73" display="2605109152" xr:uid="{7BB98BED-3C73-4C5E-A79D-8A2301EBEB12}"/>
    <hyperlink ref="F76" r:id="rId74" display="2605110090" xr:uid="{51EB4773-69F4-44F3-B780-F0A5D178FCEF}"/>
    <hyperlink ref="F77" r:id="rId75" xr:uid="{D6CADE61-2690-4599-A60D-514295C23665}"/>
    <hyperlink ref="F78" r:id="rId76" display="2605109255" xr:uid="{63EF2525-268B-4F94-938D-94AB990463FC}"/>
    <hyperlink ref="F79" r:id="rId77" display="2605110037" xr:uid="{29A262C5-298E-49DE-8141-3E32685AEDEC}"/>
    <hyperlink ref="F80" r:id="rId78" xr:uid="{ACE4FC29-027E-4DD2-BE2C-D8F448FA415F}"/>
    <hyperlink ref="F81" r:id="rId79" display="2605109265" xr:uid="{E7E65234-DF42-425E-9E2C-E9DEC482CB42}"/>
    <hyperlink ref="F82" r:id="rId80" display="2605110562" xr:uid="{DB6A41C5-7693-4E65-AB22-0E098EF38686}"/>
    <hyperlink ref="F83" r:id="rId81" xr:uid="{26D0E639-8F45-488C-AFBC-AC84B0438BA2}"/>
    <hyperlink ref="F84" r:id="rId82" display="2605105649" xr:uid="{31B3E329-C06C-4CE2-B765-0EFB79512CB8}"/>
    <hyperlink ref="F85" r:id="rId83" display="2605107389" xr:uid="{2043D996-1373-47AD-ACFB-EFBE7BDA3B49}"/>
    <hyperlink ref="F86" r:id="rId84" xr:uid="{3017E008-BCB8-4AC3-BACE-1DB479E59218}"/>
    <hyperlink ref="F87" r:id="rId85" display="2605109941" xr:uid="{2827D9FA-91D6-431C-9CEB-6C1973F5EC82}"/>
    <hyperlink ref="F88" r:id="rId86" display="2605112533" xr:uid="{8D9436F8-E7A8-4964-9A94-6BBB55434D3D}"/>
    <hyperlink ref="F89" r:id="rId87" xr:uid="{D8DEC2BA-C61D-4280-A36F-EC3FA53E3A69}"/>
    <hyperlink ref="F90" r:id="rId88" display="2605105906" xr:uid="{44F02981-54CF-4EE6-ABA4-631219D5E881}"/>
    <hyperlink ref="F91" r:id="rId89" display="2605107383" xr:uid="{9CECC2B7-CCAC-4111-AA1B-51DEE27B24A7}"/>
    <hyperlink ref="F92" r:id="rId90" xr:uid="{C4B81EAD-4826-49A9-971A-1D0596C24A77}"/>
    <hyperlink ref="F93" r:id="rId91" display="2605109424" xr:uid="{7AD11840-5FF2-44A3-99F8-6C9C5A0FA338}"/>
    <hyperlink ref="F94" r:id="rId92" display="2605110377" xr:uid="{5C50481F-1AF9-48CB-A9CC-4A2075E12941}"/>
    <hyperlink ref="F95" r:id="rId93" xr:uid="{2A8771EC-3451-4BC9-9C32-B9A99FF308C1}"/>
    <hyperlink ref="F96" r:id="rId94" display="2605111544" xr:uid="{B805C9B6-CE5F-4D96-923E-6FF5C5235A90}"/>
    <hyperlink ref="F97" r:id="rId95" display="2605112433" xr:uid="{384E70DB-E288-41B8-99EC-EF3C3A88AFD3}"/>
    <hyperlink ref="F98" r:id="rId96" xr:uid="{4D853F6C-0817-4B12-B537-9801E63C3849}"/>
    <hyperlink ref="F99" r:id="rId97" display="2605108064" xr:uid="{B3DFE5EF-B55F-409C-B808-8A42A6BB33B2}"/>
    <hyperlink ref="F100" r:id="rId98" display="2605109863" xr:uid="{168931A6-8BE6-4AC1-8CA1-27D3D2B0EA32}"/>
    <hyperlink ref="F101" r:id="rId99" xr:uid="{554530C7-C9AC-41EB-A684-B4E2D905625B}"/>
    <hyperlink ref="F102" r:id="rId100" display="2605109685" xr:uid="{B53E631A-C097-4655-936C-81EA63DA6F88}"/>
    <hyperlink ref="F103" r:id="rId101" display="2605110139" xr:uid="{99DD89C2-4D1E-490A-B459-3A35D1FC8626}"/>
    <hyperlink ref="F104" r:id="rId102" xr:uid="{6717EB50-9022-4257-8183-5C987A592C7A}"/>
    <hyperlink ref="F105" r:id="rId103" display="2605109639" xr:uid="{28A77F71-9099-4CAC-8A3B-D82C209CA307}"/>
    <hyperlink ref="F107" r:id="rId104" xr:uid="{B91A1608-4E8A-427E-A481-5BD745143719}"/>
    <hyperlink ref="F108" r:id="rId105" display="2605111953" xr:uid="{5D6131EC-2039-4571-975A-B60C5994E85C}"/>
    <hyperlink ref="F109" r:id="rId106" display="2605112430" xr:uid="{2BBFA7B6-0590-47E2-BC53-4702CBC100BD}"/>
    <hyperlink ref="F110" r:id="rId107" xr:uid="{8CFC8E17-8805-480D-A4CF-579993828C39}"/>
    <hyperlink ref="F111" r:id="rId108" display="2605110760" xr:uid="{3AE6F478-4B1A-46CC-B305-C90E425CCA96}"/>
    <hyperlink ref="F112" r:id="rId109" display="2605112514" xr:uid="{F2E8C073-1E56-4875-ABE5-60E56FC2C221}"/>
    <hyperlink ref="F113" r:id="rId110" xr:uid="{542DB805-6BF4-43E1-825F-EB168D1A7A79}"/>
    <hyperlink ref="F114" r:id="rId111" display="2605108147" xr:uid="{2E27C889-3778-4556-9075-3A054AF12492}"/>
    <hyperlink ref="F115" r:id="rId112" display="2605109858" xr:uid="{00901718-2AD7-45DB-AFCC-FAFBA0ABF5F5}"/>
    <hyperlink ref="F116" r:id="rId113" xr:uid="{7B09BF5A-33D1-4321-A65F-581F510D1313}"/>
    <hyperlink ref="F117" r:id="rId114" display="2605109742" xr:uid="{B117BA26-09BD-437F-A959-07904FECACAE}"/>
    <hyperlink ref="F119" r:id="rId115" xr:uid="{1EE87133-86E4-4D9A-8DE0-63A8C1E35C8D}"/>
    <hyperlink ref="F120" r:id="rId116" display="2605108514" xr:uid="{24E78D9A-44B3-4CBC-BCC1-CF838CE2371C}"/>
    <hyperlink ref="F121" r:id="rId117" display="2605109851" xr:uid="{D5E95C89-517F-4996-8065-48D10F314373}"/>
    <hyperlink ref="F123" r:id="rId118" display="2605109732" xr:uid="{0EC83866-2E10-4483-A58D-9FB1E3E62E5E}"/>
    <hyperlink ref="F124" r:id="rId119" display="2605110161" xr:uid="{B2362A6C-AC60-4826-BE1D-07E35E9262B3}"/>
    <hyperlink ref="F125" r:id="rId120" xr:uid="{960C8D95-20BF-41F0-9B52-8888AD7C0D86}"/>
    <hyperlink ref="F126" r:id="rId121" display="2605113276" xr:uid="{7EEC7D01-8BE1-4279-AF67-807BD6D9B6E1}"/>
    <hyperlink ref="F127" r:id="rId122" display="2605114534" xr:uid="{5FDA50F2-596D-40AA-A2AA-2D7AC66A3BE4}"/>
    <hyperlink ref="F128" r:id="rId123" xr:uid="{3A3FD31A-B482-4B68-A652-82A57DBE16D8}"/>
    <hyperlink ref="F129" r:id="rId124" display="2605113362" xr:uid="{6ADDA9BE-5555-424E-9BBD-287EA503EF31}"/>
    <hyperlink ref="F130" r:id="rId125" display="2605114515" xr:uid="{8D272397-46AE-4BB8-92B1-A852A6ED15FA}"/>
    <hyperlink ref="F131" r:id="rId126" xr:uid="{CF8BFBC5-BE4D-4891-8BDB-DB529603A1DC}"/>
    <hyperlink ref="F132" r:id="rId127" display="2605108328" xr:uid="{CD07B9F8-C902-402D-8CE4-89BDE2570978}"/>
    <hyperlink ref="F133" r:id="rId128" display="2605109841" xr:uid="{700F9E95-FD9D-4B28-85F7-A096BD6A81C4}"/>
    <hyperlink ref="F134" r:id="rId129" xr:uid="{6148E173-D3E8-462C-BD99-5EE8898AA390}"/>
    <hyperlink ref="F135" r:id="rId130" display="2605109779" xr:uid="{D63418D0-28FD-4768-8500-17AA3932B3D5}"/>
    <hyperlink ref="F136" r:id="rId131" display="2605112451" xr:uid="{4AA22DC0-2B4E-4842-8EA9-4BB46C0D73D4}"/>
    <hyperlink ref="F137" r:id="rId132" xr:uid="{C1F73A37-9266-4B30-AA80-7C7D57CD8FE1}"/>
    <hyperlink ref="F138" r:id="rId133" display="2605108680" xr:uid="{01D1AB2A-DD72-429F-B520-ADDC8B3B0DD0}"/>
    <hyperlink ref="F139" r:id="rId134" display="2605110346" xr:uid="{AE50BF64-7075-4D2B-83D5-6C2DD68DE032}"/>
    <hyperlink ref="F140" r:id="rId135" xr:uid="{F649791C-01A6-4400-B781-CF44C823F6B8}"/>
    <hyperlink ref="F141" r:id="rId136" display="2605113395" xr:uid="{11399769-37DD-4EFD-8784-9B78937BBEFE}"/>
    <hyperlink ref="F142" r:id="rId137" display="2605114518" xr:uid="{FC6D7C9D-0D4F-4A78-B128-90346E8C75BB}"/>
    <hyperlink ref="F143" r:id="rId138" xr:uid="{83FC5DBD-FAE6-4502-BC78-29071466334F}"/>
    <hyperlink ref="F144" r:id="rId139" display="2605110890" xr:uid="{3027B7DC-079E-4731-81C3-B365A807FED6}"/>
    <hyperlink ref="F145" r:id="rId140" display="2605112505" xr:uid="{71AB46EC-F3E2-42F5-A695-3D59BD384D91}"/>
    <hyperlink ref="F146" r:id="rId141" xr:uid="{3A28683D-A839-4E45-813C-7FEADA5B2110}"/>
    <hyperlink ref="F147" r:id="rId142" display="2605113776" xr:uid="{1100EEAE-DF14-4FB2-B4D0-5560F5CEDE3B}"/>
    <hyperlink ref="F148" r:id="rId143" display="2605114358" xr:uid="{8F239356-295B-4682-BB20-43CE74742322}"/>
    <hyperlink ref="F149" r:id="rId144" xr:uid="{DEFD9833-8B23-4D0B-A85C-8389799BD9FE}"/>
    <hyperlink ref="F150" r:id="rId145" display="2605113989" xr:uid="{54F2EDC9-A8D0-4888-B49D-04A27230A382}"/>
    <hyperlink ref="F151" r:id="rId146" display="2605114359" xr:uid="{E4FB58EA-0EAB-4301-A03B-FA1837756A3D}"/>
    <hyperlink ref="F152" r:id="rId147" xr:uid="{96AAC63E-8715-4149-9FA8-4B8D7E9D38EC}"/>
    <hyperlink ref="F153" r:id="rId148" display="2605114628" xr:uid="{B18E4DDB-2C59-42C7-A189-9814CB91B3F9}"/>
    <hyperlink ref="F155" r:id="rId149" xr:uid="{8E6D9607-472D-41A3-9EF4-771B5790FC83}"/>
    <hyperlink ref="F156" r:id="rId150" display="2605111955" xr:uid="{219DF574-24C4-452D-9674-F00C4FCE9623}"/>
    <hyperlink ref="F157" r:id="rId151" display="2605112639" xr:uid="{781BC572-4559-438B-B1AF-812477D572E4}"/>
    <hyperlink ref="F158" r:id="rId152" xr:uid="{D5793EF5-CA65-482C-9ED1-FFCC4F3FB1DC}"/>
    <hyperlink ref="F159" r:id="rId153" display="2605111677" xr:uid="{031DC1F0-4649-4381-9577-4BDAAE0D76B5}"/>
    <hyperlink ref="F160" r:id="rId154" display="2605112425" xr:uid="{B45E41E4-AF5D-49B3-A9ED-2A83C2AF0FCB}"/>
    <hyperlink ref="F161" r:id="rId155" xr:uid="{3B443DC6-9372-4958-A511-876EFB146A27}"/>
    <hyperlink ref="F162" r:id="rId156" display="2605113022" xr:uid="{8C0D078E-E733-4AB7-BD34-4638C01C8266}"/>
    <hyperlink ref="F163" r:id="rId157" display="2605114351" xr:uid="{41D2DC98-3B91-4E7F-8540-F5D8295F27B7}"/>
    <hyperlink ref="F164" r:id="rId158" xr:uid="{469EEACA-606B-44C7-A7B0-3584C35F9486}"/>
    <hyperlink ref="F165" r:id="rId159" display="2605114146" xr:uid="{2471730F-0272-48B6-933A-48DA825EAF72}"/>
    <hyperlink ref="F166" r:id="rId160" display="2605117769" xr:uid="{F5125BC6-DEDA-418B-A4F4-DD498C80DC3B}"/>
    <hyperlink ref="F167" r:id="rId161" xr:uid="{4EDF37A6-E994-4E15-964B-E2628DCC34A2}"/>
    <hyperlink ref="F168" r:id="rId162" display="2605112925" xr:uid="{C938FBD6-DCF6-40FE-A6B9-20B5D99DD11E}"/>
    <hyperlink ref="F169" r:id="rId163" display="2605114353" xr:uid="{F87F103E-FE07-4EF0-BDB5-BC183C4CF640}"/>
    <hyperlink ref="F170" r:id="rId164" xr:uid="{33784FAD-A1C2-473D-84D1-9F98FD1F180A}"/>
    <hyperlink ref="F171" r:id="rId165" display="2605115963" xr:uid="{974A76FB-5D74-4658-95B2-21EFC36CA341}"/>
    <hyperlink ref="F173" r:id="rId166" xr:uid="{A1EC9A74-9A8D-43AC-A1BA-CE3B9C46C4D3}"/>
    <hyperlink ref="F174" r:id="rId167" display="2605116837" xr:uid="{DC1F8CC4-2B82-47C2-AC3B-D23FF74E4E76}"/>
    <hyperlink ref="F175" r:id="rId168" display="2605117897" xr:uid="{6A2065D9-C6ED-4201-A7F7-7117CDA21209}"/>
    <hyperlink ref="F176" r:id="rId169" xr:uid="{E376BA3E-8C63-4EE8-A740-F7D1D91EA294}"/>
    <hyperlink ref="F177" r:id="rId170" display="2605115511" xr:uid="{04B76692-AA39-4B17-8AD3-2FB566F576AD}"/>
    <hyperlink ref="F178" r:id="rId171" display="2605123254" xr:uid="{F934AC89-507E-42ED-BF9C-D36FE6B7E1DF}"/>
    <hyperlink ref="F179" r:id="rId172" xr:uid="{FF9A9891-789A-4DE3-BCDC-25308F583C39}"/>
    <hyperlink ref="F180" r:id="rId173" display="2605117066" xr:uid="{4E9188F8-8762-495A-947A-21DD5D6C16D2}"/>
    <hyperlink ref="F182" r:id="rId174" xr:uid="{BC39A7A6-F38F-4086-BA4B-5017DE99A6D4}"/>
    <hyperlink ref="F183" r:id="rId175" display="2605118034" xr:uid="{F0478684-1B2A-4C71-85A1-8D8BADE6A1E9}"/>
    <hyperlink ref="F185" r:id="rId176" xr:uid="{96CAF3D0-0D34-403D-9D11-7828360BE27E}"/>
    <hyperlink ref="F186" r:id="rId177" display="2605115713" xr:uid="{F132C275-D8B7-4E96-A0C2-CAB75D44BCF0}"/>
    <hyperlink ref="F188" r:id="rId178" xr:uid="{BF19F1CF-5DAE-4E0A-ABF6-2B15729965B4}"/>
    <hyperlink ref="F189" r:id="rId179" display="2605117336" xr:uid="{B5B8EE78-3C7B-4736-9A03-4CDB9F57CE6B}"/>
    <hyperlink ref="F191" r:id="rId180" xr:uid="{325BACBC-2BEF-4A4D-87E5-EF67823BABD5}"/>
    <hyperlink ref="F192" r:id="rId181" display="2605116674" xr:uid="{77A3503D-2583-4C42-A9D8-EF42DC1F9372}"/>
    <hyperlink ref="F194" r:id="rId182" xr:uid="{033D024A-5BFA-4F7A-BA84-ED43381EB88F}"/>
    <hyperlink ref="F195" r:id="rId183" display="2605116951" xr:uid="{741FEB40-4F5B-4B78-8C86-DB129D33188A}"/>
    <hyperlink ref="F197" r:id="rId184" xr:uid="{7430DFEC-C4AD-41C2-BDF5-6527B2A946C3}"/>
    <hyperlink ref="F198" r:id="rId185" display="2605119647" xr:uid="{F38BBB0E-2005-41E3-8070-50A13ADF38FA}"/>
    <hyperlink ref="F200" r:id="rId186" xr:uid="{A888A16F-1D45-4565-A5B1-A0F3A95D275E}"/>
    <hyperlink ref="F201" r:id="rId187" display="2605118330" xr:uid="{16729C80-C590-45F4-A39D-652D9622198D}"/>
    <hyperlink ref="F203" r:id="rId188" xr:uid="{B7D486F0-B724-4963-840F-9C91E5B5BD3E}"/>
    <hyperlink ref="F204" r:id="rId189" display="2605117369" xr:uid="{6131E06F-88FF-4791-A66B-457CB023BE99}"/>
    <hyperlink ref="F206" r:id="rId190" xr:uid="{98D7DB47-66AD-4E16-AEDD-3ABB2833FD6C}"/>
    <hyperlink ref="F207" r:id="rId191" display="2605116934" xr:uid="{7ACB6A41-36B1-48E4-BE93-9E0E4C6BDC05}"/>
    <hyperlink ref="F208" r:id="rId192" display="2605125477" xr:uid="{BE68A7CB-7F1D-4C33-BD51-DA67A7E54DD8}"/>
    <hyperlink ref="F209" r:id="rId193" xr:uid="{75E04216-4C1A-4C5F-9D31-2FE205BCB934}"/>
    <hyperlink ref="F210" r:id="rId194" display="2605117104" xr:uid="{025FC7F8-BB65-4CC8-8AB5-70859E051D89}"/>
    <hyperlink ref="F212" r:id="rId195" xr:uid="{9A353658-0240-4987-8CDE-8F0BC2AB1DA9}"/>
    <hyperlink ref="F213" r:id="rId196" display="2605119861" xr:uid="{FC623ADF-41A8-4D4C-A80D-E057C6DD2B6B}"/>
    <hyperlink ref="F215" r:id="rId197" xr:uid="{25DC0076-110C-4EA0-AA03-1E34175E0205}"/>
    <hyperlink ref="F216" r:id="rId198" display="2605118527" xr:uid="{04EF3E7F-759E-4BCE-A51B-05D5802F95B1}"/>
    <hyperlink ref="F218" r:id="rId199" xr:uid="{5B9AF754-9A4A-418F-B9FA-2DC38C836B06}"/>
    <hyperlink ref="F219" r:id="rId200" display="2605121781" xr:uid="{C99201CF-791D-4E25-8037-AEB2E2B48F73}"/>
    <hyperlink ref="F220" r:id="rId201" display="2605125611" xr:uid="{102955DD-123E-4503-8D9E-7CEC9E870E5A}"/>
    <hyperlink ref="F221" r:id="rId202" xr:uid="{16721CEE-1AAC-4ACB-83CC-86C173B61A40}"/>
    <hyperlink ref="F222" r:id="rId203" display="2605118861" xr:uid="{849E2647-B496-4B2D-A55B-C151B7D5EC8B}"/>
    <hyperlink ref="F223" r:id="rId204" display="2605120536" xr:uid="{69ED5199-5CF9-4890-8FAE-3FEB5678B307}"/>
    <hyperlink ref="F224" r:id="rId205" xr:uid="{8EBDE225-8E4A-473B-94C2-2DA98662A225}"/>
    <hyperlink ref="F225" r:id="rId206" display="2605119244" xr:uid="{8A7D587E-B009-4DBF-8B0B-DD03D9088FE7}"/>
    <hyperlink ref="F226" r:id="rId207" display="2605120402" xr:uid="{962607CE-310D-4074-AA1E-FE08ACFC4BA4}"/>
    <hyperlink ref="F227" r:id="rId208" xr:uid="{817C74F2-038A-4B14-A537-C7174C36D59C}"/>
    <hyperlink ref="F228" r:id="rId209" display="2605119955" xr:uid="{1273B0DB-5E7B-447A-B369-DABD2205AADF}"/>
    <hyperlink ref="F230" r:id="rId210" xr:uid="{B3CB79FD-FC20-4422-A9B4-EE80910A1134}"/>
    <hyperlink ref="F233" r:id="rId211" xr:uid="{DF4CA00F-1F20-470B-BB5C-F94EFD91F6C3}"/>
    <hyperlink ref="F231" r:id="rId212" display="2605120001" xr:uid="{3F83EB1A-E1AF-4CFA-9F94-C37B1F704E46}"/>
    <hyperlink ref="F234" r:id="rId213" display="2605118942" xr:uid="{AA5D8FFB-3D68-4216-B4D9-5065F2A882A9}"/>
    <hyperlink ref="F235" r:id="rId214" display="2605120305" xr:uid="{B7F5F74C-EAC2-4012-ADB6-37FB82214DC6}"/>
    <hyperlink ref="F236" r:id="rId215" xr:uid="{8C69FBE8-A60B-4FF3-B87D-2556116768C0}"/>
    <hyperlink ref="F237" r:id="rId216" display="2605118967" xr:uid="{AE5C6222-AF67-4769-8D42-D924790694D0}"/>
    <hyperlink ref="F238" r:id="rId217" display="2605120420" xr:uid="{F382F64D-0F0C-40F1-929F-12ABB27BEBF8}"/>
    <hyperlink ref="F239" r:id="rId218" xr:uid="{D31E1F4C-FB25-4E2B-BAB4-14F70A31E143}"/>
    <hyperlink ref="F240" r:id="rId219" display="2605120555" xr:uid="{694A3275-F4E2-4869-83EF-973217CD2D38}"/>
    <hyperlink ref="F242" r:id="rId220" xr:uid="{D11F28CF-E731-469C-B052-EB9F9CA92549}"/>
    <hyperlink ref="F243" r:id="rId221" display="2605120568" xr:uid="{3DA0AC15-E350-4B89-BCA1-95CE979DE2E3}"/>
    <hyperlink ref="F245" r:id="rId222" xr:uid="{7F1B0B74-34C6-4E16-9DD1-867C5A8D3FE5}"/>
    <hyperlink ref="F246" r:id="rId223" display="2605120044" xr:uid="{6D7F3918-C1D2-48C3-B31D-0FE9ACC411C1}"/>
    <hyperlink ref="F249" r:id="rId224" display="2605120769" xr:uid="{BB042FC6-64B5-4749-9C70-1CA20BC86D29}"/>
    <hyperlink ref="F250" r:id="rId225" display="2605122963" xr:uid="{9D069B62-ADDF-498D-BD37-A2D01DA804CC}"/>
    <hyperlink ref="F251" r:id="rId226" xr:uid="{F931CA03-7730-4A2F-A37F-01918B3D89B4}"/>
    <hyperlink ref="F252" r:id="rId227" display="2605121478" xr:uid="{6EEC7FAF-BE4E-412B-AE12-9689D5286006}"/>
    <hyperlink ref="F253" r:id="rId228" display="2605122911" xr:uid="{E18E24F4-9146-4ED0-92C4-9C24F7CF2DE3}"/>
    <hyperlink ref="F254" r:id="rId229" xr:uid="{E9D1927B-AD74-4B4A-AECD-AEFF0F7A3405}"/>
    <hyperlink ref="F255" r:id="rId230" display="2605125296" xr:uid="{BD833DB6-0761-4C66-AA86-DBBF9E0AC313}"/>
    <hyperlink ref="F257" r:id="rId231" xr:uid="{5C9094B4-3EA9-4EAD-8FF8-976D4B86D87F}"/>
    <hyperlink ref="F258" r:id="rId232" display="2605122382" xr:uid="{982502F9-8685-4900-A508-726F1BACF692}"/>
    <hyperlink ref="F260" r:id="rId233" xr:uid="{0848CBFD-9D33-4A83-AB75-F38BBF8EAE3D}"/>
    <hyperlink ref="F261" r:id="rId234" display="2605122451" xr:uid="{248CEB5E-D0A1-4400-BDE1-D2ED109FA4F2}"/>
    <hyperlink ref="F263" r:id="rId235" xr:uid="{46C9B47E-0D86-437D-8061-C40231E53A67}"/>
    <hyperlink ref="F264" r:id="rId236" display="2605125301" xr:uid="{A5737E98-D953-4BFE-B386-43E087A470FE}"/>
    <hyperlink ref="F266" r:id="rId237" xr:uid="{6478231A-BC0C-47CC-BB3F-CD3104547AD5}"/>
    <hyperlink ref="F267" r:id="rId238" display="2605123608" xr:uid="{7EA32CB2-D6C6-44B7-A7D2-4DC15BCFB9A1}"/>
    <hyperlink ref="F269" r:id="rId239" xr:uid="{ADC9ADEB-E0C4-4892-AEF6-F3D0CEE123FB}"/>
    <hyperlink ref="F270" r:id="rId240" display="2605121569" xr:uid="{E4EB314F-4FA5-4CAD-B6D5-FD70819E0C39}"/>
    <hyperlink ref="F272" r:id="rId241" xr:uid="{11073C37-363F-4A27-BA38-2C6AFA828B71}"/>
    <hyperlink ref="F273" r:id="rId242" display="2605123199" xr:uid="{5D93782C-6F97-426C-8A95-AD49DF3FB616}"/>
    <hyperlink ref="F275" r:id="rId243" xr:uid="{EB3686F7-A464-46A1-84B5-A023C8079687}"/>
    <hyperlink ref="F276" r:id="rId244" display="2605125312" xr:uid="{7D8452B9-5830-4B1D-9932-8C54DAF2FD3D}"/>
    <hyperlink ref="F278" r:id="rId245" xr:uid="{E4B04CD7-F52D-41C7-95C1-E80AC034BFC2}"/>
    <hyperlink ref="F279" r:id="rId246" display="2605123531" xr:uid="{C50F49C5-289B-4294-BB96-FE9F97BAD6B7}"/>
    <hyperlink ref="F281" r:id="rId247" xr:uid="{390C77E6-CA74-44DE-AEB1-B557C37CBF83}"/>
    <hyperlink ref="F282" r:id="rId248" display="2605124864" xr:uid="{A87D81C1-59F7-4406-B9B6-8B9523275CAF}"/>
    <hyperlink ref="F284" r:id="rId249" xr:uid="{6F85229C-1E53-4DD6-A3E4-57F2A8CEAA22}"/>
    <hyperlink ref="F285" r:id="rId250" display="2605124553" xr:uid="{3D22AD79-67B5-4ECB-83D2-0926B6642A21}"/>
    <hyperlink ref="F287" r:id="rId251" xr:uid="{35B0904A-F970-41BC-B6BE-499E9A3482D0}"/>
    <hyperlink ref="F288" r:id="rId252" display="2605127196" xr:uid="{34EABF50-A8F1-46F3-AD92-66AA6525C717}"/>
    <hyperlink ref="F290" r:id="rId253" xr:uid="{21F46602-BABE-4600-B5E2-826705C689E6}"/>
    <hyperlink ref="F291" r:id="rId254" display="2605123208" xr:uid="{8E8FC181-E5C6-49B5-BCE1-B26D4700FC5D}"/>
    <hyperlink ref="F293" r:id="rId255" xr:uid="{AB324B8A-C1F9-4259-A729-33D7C7E92B0D}"/>
    <hyperlink ref="F294" r:id="rId256" display="2605125079" xr:uid="{2E02892F-EC8A-4BE8-BB2D-948B28463A90}"/>
    <hyperlink ref="F296" r:id="rId257" xr:uid="{D8195768-D7C3-4760-94EF-6A0954A2270D}"/>
    <hyperlink ref="F297" r:id="rId258" display="2605124012" xr:uid="{6642F05C-D140-42E1-BD3E-0A0A6F5400F2}"/>
    <hyperlink ref="F299" r:id="rId259" xr:uid="{839BDD27-2D0D-4B07-9479-A3AA119E5B18}"/>
    <hyperlink ref="F300" r:id="rId260" display="2605127558" xr:uid="{937567B1-52C6-4608-A8C6-F8553F8E6573}"/>
    <hyperlink ref="F302" r:id="rId261" xr:uid="{5A6EDBC5-9976-44C0-8DCD-731439FEE2A0}"/>
    <hyperlink ref="F303" r:id="rId262" display="2605124992" xr:uid="{1E467AF6-D27D-4A40-A05B-61E261DCA6BC}"/>
    <hyperlink ref="F305" r:id="rId263" xr:uid="{7B0FE963-7095-42C5-9523-06259FDD14A6}"/>
    <hyperlink ref="F306" r:id="rId264" display="2605125152" xr:uid="{600C9096-406B-4AAC-8E68-08E7B782AE42}"/>
    <hyperlink ref="F308" r:id="rId265" xr:uid="{C0BCB432-C855-4D65-BD41-AD9FD3B7E8F7}"/>
    <hyperlink ref="F309" r:id="rId266" display="2605127560" xr:uid="{141DFABB-7F85-4427-BC95-372739B77126}"/>
    <hyperlink ref="F311" r:id="rId267" xr:uid="{0195F917-5E51-4ACB-8553-DE1DFC7D247E}"/>
    <hyperlink ref="F312" r:id="rId268" display="2605126039" xr:uid="{A0759CB6-7F4F-4D94-9E05-D9B95E705FE8}"/>
    <hyperlink ref="F314" r:id="rId269" xr:uid="{0DCAF71E-0C5F-4CCB-9E58-2905731F3F7C}"/>
    <hyperlink ref="F317" r:id="rId270" xr:uid="{F1A11D14-11FC-4A8B-83B8-8CB6736F2A56}"/>
    <hyperlink ref="F315" r:id="rId271" display="2605125430" xr:uid="{5BD9D43C-EBD5-4E2E-B0D8-74490CE0CB78}"/>
    <hyperlink ref="F318" r:id="rId272" display="2605125143" xr:uid="{3FC8475A-8190-4233-9C8F-EFAED453A226}"/>
    <hyperlink ref="F320" r:id="rId273" xr:uid="{295F4D27-B27F-4C83-9A17-E4DA74E04B30}"/>
    <hyperlink ref="F321" r:id="rId274" display="2605126060" xr:uid="{6E4E208F-9AD8-478A-8FE8-667CF15BACC6}"/>
    <hyperlink ref="F323" r:id="rId275" xr:uid="{6FE75629-FF67-47B9-A72B-8C1E60B848B7}"/>
    <hyperlink ref="F330" r:id="rId276" display="2605126161" xr:uid="{A1786728-4631-467E-B5C1-74F9A108C2B0}"/>
    <hyperlink ref="F332" r:id="rId277" xr:uid="{0C1CA5AF-A4D7-4CCA-B0E0-6D9101DD902D}"/>
    <hyperlink ref="F333" r:id="rId278" display="2605126884" xr:uid="{B5813A46-B433-4A04-9493-61F6CBBF743B}"/>
    <hyperlink ref="F335" r:id="rId279" xr:uid="{8FBEE9B4-A1CE-4203-B93D-032B33F79FB9}"/>
    <hyperlink ref="F336" r:id="rId280" display="2605127561" xr:uid="{6380E7AC-5C2C-48B3-8611-008248B094FA}"/>
    <hyperlink ref="F338" r:id="rId281" xr:uid="{0D696659-35D5-497F-B8D3-B21D6FAA63C7}"/>
    <hyperlink ref="F339" r:id="rId282" display="2605127669" xr:uid="{40EFE328-A2C5-4336-9E1E-FE06BFFF95CE}"/>
    <hyperlink ref="F341" r:id="rId283" xr:uid="{329254AB-6974-42E4-8971-6182E388A5BA}"/>
    <hyperlink ref="F342" r:id="rId284" display="2605126627" xr:uid="{10611392-B692-48A0-AF99-1D3668C48646}"/>
    <hyperlink ref="F344" r:id="rId285" xr:uid="{BEB6EC55-2FA1-4B3D-ACB4-66C3F1E90C44}"/>
    <hyperlink ref="F348" r:id="rId286" display="2605127563" xr:uid="{5446934C-E6D3-4C71-A71B-93323126D880}"/>
    <hyperlink ref="F350" r:id="rId287" xr:uid="{282C8FAB-294C-415B-98CE-82BB2C092BE0}"/>
    <hyperlink ref="F353" r:id="rId288" xr:uid="{F205FEC1-C43E-4204-BA09-0A2AD65C3235}"/>
    <hyperlink ref="F354" r:id="rId289" display="2605126952" xr:uid="{31F574A8-9B39-49D7-8D10-B05D51DA08B2}"/>
    <hyperlink ref="F356" r:id="rId290" xr:uid="{21CABB98-B042-4BD8-8750-8D4BA9420898}"/>
    <hyperlink ref="F357" r:id="rId291" display="2605127649" xr:uid="{B2CCD7EC-14B3-4490-8DFB-3656D003227D}"/>
    <hyperlink ref="F359" r:id="rId292" xr:uid="{E4AAF3CA-B328-4E51-9CFE-4E3B0A3626DE}"/>
    <hyperlink ref="F363" r:id="rId293" display="2605127293" xr:uid="{662FA620-8E5E-4156-B27B-FD09418E575A}"/>
    <hyperlink ref="F365" r:id="rId294" xr:uid="{47D78CD8-E987-4EE3-BE8F-848EF51850B4}"/>
    <hyperlink ref="F369" r:id="rId295" display="2605127654" xr:uid="{140718C9-8FF0-464F-9C83-96CBAF252A73}"/>
    <hyperlink ref="F371" r:id="rId296" xr:uid="{FCBD0CDF-AA1B-4458-B7A5-140C098D6FBA}"/>
    <hyperlink ref="F377" r:id="rId297" xr:uid="{97E08A08-AE47-4902-A99B-41138F2A2B6B}"/>
    <hyperlink ref="F389" r:id="rId298" xr:uid="{8A1DF946-DD9C-4B1E-9387-CFA6DB3FCC57}"/>
    <hyperlink ref="F392" r:id="rId299" xr:uid="{07AA8954-70D3-43F7-BDC6-7F6E2640C29B}"/>
    <hyperlink ref="F324" r:id="rId300" display="2605129127" xr:uid="{72E7144E-02E7-4771-B4FA-69BB39E9F5EA}"/>
    <hyperlink ref="F327" r:id="rId301" display="2605129274" xr:uid="{493362EE-A93D-4B06-A089-C3F597B3DCBE}"/>
    <hyperlink ref="F345" r:id="rId302" display="2605130145" xr:uid="{EBFECA68-BD9C-4C04-8F69-4738B880D928}"/>
    <hyperlink ref="F351" r:id="rId303" display="2605128458" xr:uid="{A11A2B65-FBED-4CF5-9060-7C9D6477BADE}"/>
    <hyperlink ref="F360" r:id="rId304" display="2605129781" xr:uid="{041C4130-4A3A-4622-BB09-F65272D5A431}"/>
    <hyperlink ref="F387" r:id="rId305" display="2605128897" xr:uid="{AC4FEBB4-A16E-4D0E-B513-C60AF46032A7}"/>
    <hyperlink ref="F390" r:id="rId306" display="2605127727" xr:uid="{0F7B6992-FF1A-4554-8CFA-D5075F7C0C96}"/>
    <hyperlink ref="F375" r:id="rId307" display="2605128791" xr:uid="{68FDAB99-5911-4E60-B963-C4626FB7E82A}"/>
    <hyperlink ref="F398" r:id="rId308" xr:uid="{08956473-3CF8-47A3-810C-750CA14A50BE}"/>
    <hyperlink ref="F384" r:id="rId309" display="2605130464" xr:uid="{3334B185-FBDD-42ED-9A99-D26EB4680788}"/>
    <hyperlink ref="F347" r:id="rId310" xr:uid="{7AD35CA4-6431-4DF7-8827-76526D1ECEFE}"/>
    <hyperlink ref="F362" r:id="rId311" xr:uid="{F84E2F52-4C14-4BCF-BBBB-F985319DB1DF}"/>
    <hyperlink ref="F386" r:id="rId312" xr:uid="{7E0A913C-4435-4727-85D7-7121912087D4}"/>
    <hyperlink ref="F410" r:id="rId313" xr:uid="{302D2150-9225-4433-BED4-BB2D857DB491}"/>
    <hyperlink ref="F248" r:id="rId314" xr:uid="{58753F6B-8A4F-40AF-B4E0-90F5D6F3AC9D}"/>
    <hyperlink ref="F122" r:id="rId315" xr:uid="{A516A41C-B57F-4226-B667-098087446555}"/>
    <hyperlink ref="F425" r:id="rId316" xr:uid="{2A4FC010-1D2D-45C1-AFAD-B2046A6DBE1E}"/>
  </hyperlinks>
  <pageMargins left="0.7" right="0.7" top="0.75" bottom="0.75" header="0.3" footer="0.3"/>
  <tableParts count="1">
    <tablePart r:id="rId3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3E6228-D059-4D4A-9844-9FB7E4EC76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3FB95-B7F1-4430-9D8C-98621A69F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2f0e3-f4c4-4931-8e76-960ae7228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864D4-4D75-4318-98FB-08B4DB48CF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 TERR</vt:lpstr>
      <vt:lpstr>CERTIFICACIONES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Alejandro Cifuentes</cp:lastModifiedBy>
  <cp:revision/>
  <dcterms:created xsi:type="dcterms:W3CDTF">2026-03-04T12:39:48Z</dcterms:created>
  <dcterms:modified xsi:type="dcterms:W3CDTF">2026-03-18T13:38:15Z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